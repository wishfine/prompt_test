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8925415bf19483b" /></Relationships>
</file>

<file path=xl/workbook.xml><?xml version="1.0" encoding="utf-8"?>
<x:workbook xmlns:x="http://schemas.openxmlformats.org/spreadsheetml/2006/main">
  <x:sheets>
    <x:sheet xmlns:r="http://schemas.openxmlformats.org/officeDocument/2006/relationships" name="复核汇总" sheetId="1" r:id="R9091e3896f02461a"/>
    <x:sheet xmlns:r="http://schemas.openxmlformats.org/officeDocument/2006/relationships" name="1066题逐题复核" sheetId="2" r:id="R2ac0f0b9ff724aba"/>
    <x:sheet xmlns:r="http://schemas.openxmlformats.org/officeDocument/2006/relationships" name="主标签修改20" sheetId="3" r:id="R3c7baa71ac5a40f6"/>
    <x:sheet xmlns:r="http://schemas.openxmlformats.org/officeDocument/2006/relationships" name="相邻边界157" sheetId="4" r:id="R837a5d4de9a048e6"/>
    <x:sheet xmlns:r="http://schemas.openxmlformats.org/officeDocument/2006/relationships" name="复核口径" sheetId="5" r:id="Reb62d9f34bb0475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
    <x:numFmt numFmtId="202" formatCode="0.0000"/>
    <x:numFmt numFmtId="203" formatCode="@"/>
  </x:numFmts>
  <x:fonts count="4">
    <x:font>
      <x:sz val="11"/>
      <x:name val="Carlito"/>
    </x:font>
    <x:font>
      <x:b/>
      <x:sz val="16"/>
      <x:color rgb="FFFFFFFF"/>
      <x:name val="Carlito"/>
    </x:font>
    <x:font>
      <x:b/>
      <x:sz val="11"/>
      <x:color rgb="FFFFFFFF"/>
      <x:name val="Carlito"/>
    </x:font>
    <x:font>
      <x:sz val="11"/>
      <x:color rgb="FF5D4500"/>
      <x:name val="Carlito"/>
    </x:font>
  </x:fonts>
  <x:fills count="5">
    <x:fill>
      <x:patternFill patternType="none"/>
    </x:fill>
    <x:fill>
      <x:patternFill patternType="gray125"/>
    </x:fill>
    <x:fill>
      <x:patternFill patternType="solid">
        <x:fgColor rgb="FF16324F"/>
      </x:patternFill>
    </x:fill>
    <x:fill>
      <x:patternFill patternType="solid">
        <x:fgColor rgb="FF2F6B9A"/>
      </x:patternFill>
    </x:fill>
    <x:fill>
      <x:patternFill patternType="solid">
        <x:fgColor rgb="FFFFF4D6"/>
      </x:patternFill>
    </x:fill>
  </x:fills>
  <x:borders count="13">
    <x:border/>
    <x:border>
      <x:right style="thin">
        <x:color rgb="FFD7DEE5"/>
      </x:right>
    </x:border>
    <x:border>
      <x:left style="thin">
        <x:color rgb="FFD7DEE5"/>
      </x:left>
    </x:border>
    <x:border>
      <x:right style="thin">
        <x:color rgb="FFD7DEE5"/>
      </x:right>
      <x:bottom style="thin">
        <x:color rgb="FFD7DEE5"/>
      </x:bottom>
    </x:border>
    <x:border>
      <x:left style="thin">
        <x:color rgb="FFD7DEE5"/>
      </x:left>
      <x:bottom style="thin">
        <x:color rgb="FFD7DEE5"/>
      </x:bottom>
    </x:border>
    <x:border>
      <x:right style="thin">
        <x:color rgb="FFD7DEE5"/>
      </x:right>
      <x:top style="thin">
        <x:color rgb="FFD7DEE5"/>
      </x:top>
      <x:bottom style="thin">
        <x:color rgb="FFD7DEE5"/>
      </x:bottom>
    </x:border>
    <x:border>
      <x:left style="thin">
        <x:color rgb="FFD7DEE5"/>
      </x:left>
      <x:top style="thin">
        <x:color rgb="FFD7DEE5"/>
      </x:top>
      <x:bottom style="thin">
        <x:color rgb="FFD7DEE5"/>
      </x:bottom>
    </x:border>
    <x:border>
      <x:right style="thin">
        <x:color rgb="FFD7DEE5"/>
      </x:right>
      <x:top style="thin">
        <x:color rgb="FFD7DEE5"/>
      </x:top>
    </x:border>
    <x:border>
      <x:left style="thin">
        <x:color rgb="FFD7DEE5"/>
      </x:left>
      <x:top style="thin">
        <x:color rgb="FFD7DEE5"/>
      </x:top>
    </x:border>
    <x:border>
      <x:left style="thin">
        <x:color rgb="FFD7DEE5"/>
      </x:left>
      <x:right style="thin">
        <x:color rgb="FFD7DEE5"/>
      </x:right>
    </x:border>
    <x:border>
      <x:left style="thin">
        <x:color rgb="FFD7DEE5"/>
      </x:left>
      <x:right style="thin">
        <x:color rgb="FFD7DEE5"/>
      </x:right>
      <x:bottom style="thin">
        <x:color rgb="FFD7DEE5"/>
      </x:bottom>
    </x:border>
    <x:border>
      <x:left style="thin">
        <x:color rgb="FFD7DEE5"/>
      </x:left>
      <x:right style="thin">
        <x:color rgb="FFD7DEE5"/>
      </x:right>
      <x:top style="thin">
        <x:color rgb="FFD7DEE5"/>
      </x:top>
      <x:bottom style="thin">
        <x:color rgb="FFD7DEE5"/>
      </x:bottom>
    </x:border>
    <x:border>
      <x:left style="thin">
        <x:color rgb="FFD7DEE5"/>
      </x:left>
      <x:right style="thin">
        <x:color rgb="FFD7DEE5"/>
      </x:right>
      <x:top style="thin">
        <x:color rgb="FFD7DEE5"/>
      </x:top>
    </x:border>
  </x:borders>
  <x:cellStyleXfs count="1">
    <x:xf numFmtId="0" fontId="0" fillId="0" borderId="0"/>
  </x:cellStyleXfs>
  <x:cellXfs count="8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1" xfId="0" applyNumberFormat="1" applyFont="1" applyFill="1" applyBorder="1" applyAlignment="1">
      <x:alignment vertical="center" wrapText="1"/>
    </x:xf>
    <x:xf numFmtId="0" fontId="2" fillId="3" borderId="2" xfId="0" applyNumberFormat="1" applyFont="1" applyFill="1" applyBorder="1" applyAlignment="1">
      <x:alignment vertical="center" wrapText="1"/>
    </x:xf>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200" fontId="0" fillId="0" borderId="4" xfId="0" applyNumberFormat="1" applyFont="1" applyFill="1" applyBorder="1"/>
    <x:xf numFmtId="200" fontId="0" fillId="0" borderId="6" xfId="0" applyNumberFormat="1" applyFont="1" applyFill="1" applyBorder="1"/>
    <x:xf numFmtId="200" fontId="0" fillId="0" borderId="8" xfId="0" applyNumberFormat="1" applyFont="1" applyFill="1" applyBorder="1"/>
    <x:xf numFmtId="0" fontId="2" fillId="3" borderId="9" xfId="0" applyNumberFormat="1" applyFont="1" applyFill="1" applyBorder="1"/>
    <x:xf numFmtId="0" fontId="2" fillId="3" borderId="9" xfId="0" applyNumberFormat="1" applyFont="1" applyFill="1" applyBorder="1" applyAlignment="1">
      <x:alignment wrapText="1"/>
    </x:xf>
    <x:xf numFmtId="0" fontId="2" fillId="3" borderId="9" xfId="0" applyNumberFormat="1" applyFont="1" applyFill="1" applyBorder="1" applyAlignment="1">
      <x:alignment vertical="center" wrapText="1"/>
    </x:xf>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201" fontId="0" fillId="0" borderId="0" xfId="0" applyNumberFormat="1" applyFont="1" applyFill="1" applyBorder="1"/>
    <x:xf numFmtId="202" fontId="0" fillId="0" borderId="0" xfId="0" applyNumberFormat="1" applyFont="1" applyFill="1" applyBorder="1"/>
    <x:xf numFmtId="201" fontId="0" fillId="0" borderId="10" xfId="0" applyNumberFormat="1" applyFont="1" applyFill="1" applyBorder="1"/>
    <x:xf numFmtId="202" fontId="0" fillId="0" borderId="10" xfId="0" applyNumberFormat="1" applyFont="1" applyFill="1" applyBorder="1"/>
    <x:xf numFmtId="201" fontId="0" fillId="0" borderId="11" xfId="0" applyNumberFormat="1" applyFont="1" applyFill="1" applyBorder="1"/>
    <x:xf numFmtId="202" fontId="0" fillId="0" borderId="11" xfId="0" applyNumberFormat="1" applyFont="1" applyFill="1" applyBorder="1"/>
    <x:xf numFmtId="201" fontId="0" fillId="0" borderId="12" xfId="0" applyNumberFormat="1" applyFont="1" applyFill="1" applyBorder="1"/>
    <x:xf numFmtId="202" fontId="0" fillId="0" borderId="12"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0" borderId="0" xfId="0" applyNumberFormat="1" applyFont="1" applyFill="1" applyBorder="1" applyAlignment="1">
      <x:alignment vertical="center"/>
    </x:xf>
    <x:xf numFmtId="0" fontId="0" fillId="0" borderId="3" xfId="0" applyNumberFormat="1" applyFont="1" applyFill="1" applyBorder="1" applyAlignment="1">
      <x:alignment vertical="center"/>
    </x:xf>
    <x:xf numFmtId="200" fontId="0" fillId="0" borderId="4" xfId="0" applyNumberFormat="1" applyFont="1" applyFill="1" applyBorder="1" applyAlignment="1">
      <x:alignment vertical="center"/>
    </x:xf>
    <x:xf numFmtId="0" fontId="0" fillId="0" borderId="10" xfId="0" applyNumberFormat="1" applyFont="1" applyFill="1" applyBorder="1" applyAlignment="1">
      <x:alignment vertical="center"/>
    </x:xf>
    <x:xf numFmtId="0" fontId="0" fillId="0" borderId="4" xfId="0" applyNumberFormat="1" applyFont="1" applyFill="1" applyBorder="1" applyAlignment="1">
      <x:alignment vertical="center"/>
    </x:xf>
    <x:xf numFmtId="0" fontId="0" fillId="0" borderId="5" xfId="0" applyNumberFormat="1" applyFont="1" applyFill="1" applyBorder="1" applyAlignment="1">
      <x:alignment vertical="center"/>
    </x:xf>
    <x:xf numFmtId="200" fontId="0" fillId="0" borderId="6" xfId="0" applyNumberFormat="1" applyFont="1" applyFill="1" applyBorder="1" applyAlignment="1">
      <x:alignment vertical="center"/>
    </x:xf>
    <x:xf numFmtId="0" fontId="0" fillId="0" borderId="11" xfId="0" applyNumberFormat="1" applyFont="1" applyFill="1" applyBorder="1" applyAlignment="1">
      <x:alignment vertical="center"/>
    </x:xf>
    <x:xf numFmtId="0" fontId="0" fillId="0" borderId="6" xfId="0" applyNumberFormat="1" applyFont="1" applyFill="1" applyBorder="1" applyAlignment="1">
      <x:alignment vertical="center"/>
    </x:xf>
    <x:xf numFmtId="0" fontId="0" fillId="0" borderId="7" xfId="0" applyNumberFormat="1" applyFont="1" applyFill="1" applyBorder="1" applyAlignment="1">
      <x:alignment vertical="center"/>
    </x:xf>
    <x:xf numFmtId="200" fontId="0" fillId="0" borderId="8" xfId="0" applyNumberFormat="1" applyFont="1" applyFill="1" applyBorder="1" applyAlignment="1">
      <x:alignment vertical="center"/>
    </x:xf>
    <x:xf numFmtId="0" fontId="0" fillId="0" borderId="12" xfId="0" applyNumberFormat="1" applyFont="1" applyFill="1" applyBorder="1" applyAlignment="1">
      <x:alignment vertical="center"/>
    </x:xf>
    <x:xf numFmtId="0" fontId="0" fillId="0" borderId="8" xfId="0" applyNumberFormat="1" applyFont="1" applyFill="1" applyBorder="1" applyAlignment="1">
      <x:alignment vertical="center"/>
    </x:xf>
    <x:xf numFmtId="201" fontId="0" fillId="0" borderId="10" xfId="0" applyNumberFormat="1" applyFont="1" applyFill="1" applyBorder="1" applyAlignment="1">
      <x:alignment vertical="center"/>
    </x:xf>
    <x:xf numFmtId="202" fontId="0" fillId="0" borderId="10" xfId="0" applyNumberFormat="1" applyFont="1" applyFill="1" applyBorder="1" applyAlignment="1">
      <x:alignment vertical="center"/>
    </x:xf>
    <x:xf numFmtId="201" fontId="0" fillId="0" borderId="11" xfId="0" applyNumberFormat="1" applyFont="1" applyFill="1" applyBorder="1" applyAlignment="1">
      <x:alignment vertical="center"/>
    </x:xf>
    <x:xf numFmtId="202" fontId="0" fillId="0" borderId="11" xfId="0" applyNumberFormat="1" applyFont="1" applyFill="1" applyBorder="1" applyAlignment="1">
      <x:alignment vertical="center"/>
    </x:xf>
    <x:xf numFmtId="201" fontId="0" fillId="0" borderId="12" xfId="0" applyNumberFormat="1" applyFont="1" applyFill="1" applyBorder="1" applyAlignment="1">
      <x:alignment vertical="center"/>
    </x:xf>
    <x:xf numFmtId="202" fontId="0" fillId="0" borderId="12" xfId="0" applyNumberFormat="1" applyFont="1" applyFill="1" applyBorder="1" applyAlignment="1">
      <x:alignment vertical="center"/>
    </x:xf>
    <x:xf numFmtId="203" fontId="0" fillId="0" borderId="0" xfId="0" applyNumberFormat="1" applyFont="1" applyFill="1" applyBorder="1"/>
    <x:xf numFmtId="0" fontId="2" fillId="3" borderId="1"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2" xfId="0" applyNumberFormat="1" applyFont="1" applyFill="1" applyBorder="1" applyAlignment="1">
      <x:alignment vertical="top" wrapText="1"/>
    </x:xf>
    <x:xf numFmtId="203" fontId="0" fillId="0" borderId="0" xfId="0" applyNumberFormat="1" applyFont="1" applyFill="1" applyBorder="1" applyAlignment="1">
      <x:alignment vertical="top"/>
    </x:xf>
    <x:xf numFmtId="0" fontId="0" fillId="0" borderId="0" xfId="0" applyNumberFormat="1" applyFont="1" applyFill="1" applyBorder="1" applyAlignment="1">
      <x:alignment vertical="top"/>
    </x:xf>
    <x:xf numFmtId="203"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3"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3"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8" xfId="0" applyNumberFormat="1" applyFont="1" applyFill="1" applyBorder="1" applyAlignment="1">
      <x:alignment vertical="top" wrapText="1"/>
    </x:xf>
  </x:cellXfs>
  <x:cellStyles count="1">
    <x:cellStyle name="Normal" xfId="0"/>
  </x:cellStyles>
  <x:dxfs count="6">
    <x:dxf>
      <x:font>
        <x:b/>
        <x:color rgb="FFA61B1B"/>
      </x:font>
      <x:fill>
        <x:patternFill patternType="solid">
          <x:bgColor rgb="FFFDECEC"/>
        </x:patternFill>
      </x:fill>
    </x:dxf>
    <x:dxf>
      <x:font>
        <x:color rgb="FF7A5200"/>
      </x:font>
      <x:fill>
        <x:patternFill patternType="solid">
          <x:bgColor rgb="FFFFF4D6"/>
        </x:patternFill>
      </x:fill>
    </x:dxf>
    <x:dxf>
      <x:font>
        <x:b/>
        <x:color rgb="FFA61B1B"/>
      </x:font>
      <x:fill>
        <x:patternFill patternType="solid">
          <x:bgColor rgb="FFFDECEC"/>
        </x:patternFill>
      </x:fill>
    </x:dxf>
    <x:dxf>
      <x:font>
        <x:color rgb="FF7A5200"/>
      </x:font>
      <x:fill>
        <x:patternFill patternType="solid">
          <x:bgColor rgb="FFFFF4D6"/>
        </x:patternFill>
      </x:fill>
    </x:dxf>
    <x:dxf>
      <x:font>
        <x:b/>
        <x:color rgb="FFA61B1B"/>
      </x:font>
      <x:fill>
        <x:patternFill patternType="solid">
          <x:bgColor rgb="FFFDECEC"/>
        </x:patternFill>
      </x:fill>
    </x:dxf>
    <x:dxf>
      <x:font>
        <x:color rgb="FF7A5200"/>
      </x:font>
      <x:fill>
        <x:patternFill patternType="solid">
          <x:bgColor rgb="FFFFF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64c115600a349ea" /><Relationship Type="http://schemas.openxmlformats.org/officeDocument/2006/relationships/theme" Target="/xl/theme/theme1.xml" Id="R6f1f95dff3e64772" /><Relationship Type="http://schemas.openxmlformats.org/officeDocument/2006/relationships/sharedStrings" Target="/xl/sharedStrings.xml" Id="Ra2cd1773f2e345c6" /><Relationship Type="http://schemas.openxmlformats.org/officeDocument/2006/relationships/worksheet" Target="/xl/worksheets/sheet1.xml" Id="R9091e3896f02461a" /><Relationship Type="http://schemas.openxmlformats.org/officeDocument/2006/relationships/worksheet" Target="/xl/worksheets/sheet2.xml" Id="R2ac0f0b9ff724aba" /><Relationship Type="http://schemas.openxmlformats.org/officeDocument/2006/relationships/worksheet" Target="/xl/worksheets/sheet3.xml" Id="R3c7baa71ac5a40f6" /><Relationship Type="http://schemas.openxmlformats.org/officeDocument/2006/relationships/worksheet" Target="/xl/worksheets/sheet4.xml" Id="R837a5d4de9a048e6" /><Relationship Type="http://schemas.openxmlformats.org/officeDocument/2006/relationships/worksheet" Target="/xl/worksheets/sheet5.xml" Id="Reb62d9f34bb04753" /></Relationships>
</file>

<file path=xl/drawings/_rels/drawing1.xml.rels>&#65279;<?xml version="1.0" encoding="utf-8"?><Relationships xmlns="http://schemas.openxmlformats.org/package/2006/relationships"><Relationship Type="http://schemas.openxmlformats.org/officeDocument/2006/relationships/chart" Target="/xl/drawings/charts/chart1.xml" Id="R40acd952ce244d5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原GPT标签与复核后标签分布</a:t>
            </a:r>
          </a:p>
        </c:rich>
      </c:tx>
    </c:title>
    <c:plotArea>
      <c:barChart>
        <c:barDir val="col"/>
        <c:varyColors val="0"/>
        <c:ser>
          <c:idx val="0"/>
          <c:order val="0"/>
          <c:tx>
            <c:v>原GPT分布</c:v>
          </c:tx>
          <c:cat>
            <c:strRef>
              <c:f>'复核汇总'!$D$4:$D$8</c:f>
              <c:strCache>
                <c:ptCount val="0"/>
              </c:strCache>
            </c:strRef>
          </c:cat>
          <c:val>
            <c:numRef>
              <c:f>'复核汇总'!$E$4:$E$8</c:f>
              <c:numCache>
                <c:formatCode>0</c:formatCode>
                <c:ptCount val="0"/>
              </c:numCache>
            </c:numRef>
          </c:val>
        </c:ser>
        <c:ser>
          <c:idx val="1"/>
          <c:order val="1"/>
          <c:tx>
            <c:v>复核后分布</c:v>
          </c:tx>
          <c:cat>
            <c:strRef>
              <c:f>'复核汇总'!$D$4:$D$8</c:f>
              <c:strCache>
                <c:ptCount val="0"/>
              </c:strCache>
            </c:strRef>
          </c:cat>
          <c:val>
            <c:numRef>
              <c:f>'复核汇总'!$F$4:$F$8</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pPr>
          </a:p>
        </c:txPr>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2</xdr:row>
      <xdr:rowOff>0</xdr:rowOff>
    </xdr:from>
    <xdr:to>
      <xdr:col>15</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0acd952ce244d5b"/>
        </a:graphicData>
      </a:graphic>
    </xdr:graphicFrame>
    <xdr:clientData/>
  </xdr:twoCellAnchor>
</xdr:wsDr>
</file>

<file path=xl/tables/table1.xml><?xml version="1.0" encoding="utf-8"?>
<x:table xmlns:x="http://schemas.openxmlformats.org/spreadsheetml/2006/main" id="1" name="AllReviewTable" displayName="AllReviewTable" ref="A2:V1068" headerRowCount="1" totalsRowCount="0" totalsRowShown="0">
  <x:tableColumns count="22">
    <x:tableColumn id="1" name="题目ID"/>
    <x:tableColumn id="2" name="原GPT裁定档"/>
    <x:tableColumn id="3" name="修订后主标签"/>
    <x:tableColumn id="4" name="可接受等级"/>
    <x:tableColumn id="5" name="复核状态"/>
    <x:tableColumn id="6" name="修订后置信度"/>
    <x:tableColumn id="7" name="教师标准档"/>
    <x:tableColumn id="8" name="初次盲评档"/>
    <x:tableColumn id="9" name="复核依据"/>
    <x:tableColumn id="10" name="复核证据来源"/>
    <x:tableColumn id="11" name="题干"/>
    <x:tableColumn id="12" name="选项"/>
    <x:tableColumn id="13" name="官方解析"/>
    <x:tableColumn id="14" name="题目图片URL"/>
    <x:tableColumn id="15" name="解析图片URL"/>
    <x:tableColumn id="16" name="结构_步骤"/>
    <x:tableColumn id="17" name="结构_题型"/>
    <x:tableColumn id="18" name="结构_状态"/>
    <x:tableColumn id="19" name="结构_约束"/>
    <x:tableColumn id="20" name="结构_实验"/>
    <x:tableColumn id="21" name="结构_图表"/>
    <x:tableColumn id="22" name="结构_推理"/>
  </x:tableColumns>
  <x:tableStyleInfo name="TableStyleMedium2" showFirstColumn="0" showLastColumn="0" showRowStripes="1" showColumnStripes="0"/>
</x:table>
</file>

<file path=xl/tables/table2.xml><?xml version="1.0" encoding="utf-8"?>
<x:table xmlns:x="http://schemas.openxmlformats.org/spreadsheetml/2006/main" id="2" name="ChangedLabelsTable" displayName="ChangedLabelsTable" ref="A2:V22" headerRowCount="1" totalsRowCount="0" totalsRowShown="0">
  <x:tableColumns count="22">
    <x:tableColumn id="1" name="题目ID"/>
    <x:tableColumn id="2" name="原GPT裁定档"/>
    <x:tableColumn id="3" name="修订后主标签"/>
    <x:tableColumn id="4" name="可接受等级"/>
    <x:tableColumn id="5" name="复核状态"/>
    <x:tableColumn id="6" name="修订后置信度"/>
    <x:tableColumn id="7" name="教师标准档"/>
    <x:tableColumn id="8" name="初次盲评档"/>
    <x:tableColumn id="9" name="复核依据"/>
    <x:tableColumn id="10" name="复核证据来源"/>
    <x:tableColumn id="11" name="题干"/>
    <x:tableColumn id="12" name="选项"/>
    <x:tableColumn id="13" name="官方解析"/>
    <x:tableColumn id="14" name="题目图片URL"/>
    <x:tableColumn id="15" name="解析图片URL"/>
    <x:tableColumn id="16" name="结构_步骤"/>
    <x:tableColumn id="17" name="结构_题型"/>
    <x:tableColumn id="18" name="结构_状态"/>
    <x:tableColumn id="19" name="结构_约束"/>
    <x:tableColumn id="20" name="结构_实验"/>
    <x:tableColumn id="21" name="结构_图表"/>
    <x:tableColumn id="22" name="结构_推理"/>
  </x:tableColumns>
  <x:tableStyleInfo name="TableStyleMedium2" showFirstColumn="0" showLastColumn="0" showRowStripes="1" showColumnStripes="0"/>
</x:table>
</file>

<file path=xl/tables/table3.xml><?xml version="1.0" encoding="utf-8"?>
<x:table xmlns:x="http://schemas.openxmlformats.org/spreadsheetml/2006/main" id="3" name="BoundaryLabelsTable" displayName="BoundaryLabelsTable" ref="A2:V159" headerRowCount="1" totalsRowCount="0" totalsRowShown="0">
  <x:tableColumns count="22">
    <x:tableColumn id="1" name="题目ID"/>
    <x:tableColumn id="2" name="原GPT裁定档"/>
    <x:tableColumn id="3" name="修订后主标签"/>
    <x:tableColumn id="4" name="可接受等级"/>
    <x:tableColumn id="5" name="复核状态"/>
    <x:tableColumn id="6" name="修订后置信度"/>
    <x:tableColumn id="7" name="教师标准档"/>
    <x:tableColumn id="8" name="初次盲评档"/>
    <x:tableColumn id="9" name="复核依据"/>
    <x:tableColumn id="10" name="复核证据来源"/>
    <x:tableColumn id="11" name="题干"/>
    <x:tableColumn id="12" name="选项"/>
    <x:tableColumn id="13" name="官方解析"/>
    <x:tableColumn id="14" name="题目图片URL"/>
    <x:tableColumn id="15" name="解析图片URL"/>
    <x:tableColumn id="16" name="结构_步骤"/>
    <x:tableColumn id="17" name="结构_题型"/>
    <x:tableColumn id="18" name="结构_状态"/>
    <x:tableColumn id="19" name="结构_约束"/>
    <x:tableColumn id="20" name="结构_实验"/>
    <x:tableColumn id="21" name="结构_图表"/>
    <x:tableColumn id="22" name="结构_推理"/>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15d56c35445245c3" /></Relationships>
</file>

<file path=xl/worksheets/_rels/sheet2.xml.rels>&#65279;<?xml version="1.0" encoding="utf-8"?><Relationships xmlns="http://schemas.openxmlformats.org/package/2006/relationships"><Relationship Type="http://schemas.openxmlformats.org/officeDocument/2006/relationships/table" Target="/xl/tables/table1.xml" Id="R6c0dd443ee124fdb" /></Relationships>
</file>

<file path=xl/worksheets/_rels/sheet3.xml.rels>&#65279;<?xml version="1.0" encoding="utf-8"?><Relationships xmlns="http://schemas.openxmlformats.org/package/2006/relationships"><Relationship Type="http://schemas.openxmlformats.org/officeDocument/2006/relationships/table" Target="/xl/tables/table2.xml" Id="R5be34baf1e80488f" /></Relationships>
</file>

<file path=xl/worksheets/_rels/sheet4.xml.rels>&#65279;<?xml version="1.0" encoding="utf-8"?><Relationships xmlns="http://schemas.openxmlformats.org/package/2006/relationships"><Relationship Type="http://schemas.openxmlformats.org/officeDocument/2006/relationships/table" Target="/xl/tables/table3.xml" Id="R553c74a98de34426" /></Relationships>
</file>

<file path=xl/worksheets/sheet1.xml><?xml version="1.0" encoding="utf-8"?>
<x:worksheet xmlns:x="http://schemas.openxmlformats.org/spreadsheetml/2006/main">
  <x:sheetViews>
    <x:sheetView showGridLines="0" workbookViewId="0"/>
  </x:sheetViews>
  <x:sheetFormatPr defaultRowHeight="15"/>
  <x:cols>
    <x:col min="1" max="1" width="32" hidden="0" customWidth="1"/>
    <x:col min="2" max="2" width="15" hidden="0" customWidth="1"/>
    <x:col min="3" max="3" width="30" hidden="0" customWidth="1"/>
    <x:col min="4" max="4" width="16" hidden="0" customWidth="1"/>
    <x:col min="5" max="5" width="16" hidden="0" customWidth="1"/>
    <x:col min="6" max="6" width="16" hidden="0" customWidth="1"/>
    <x:col min="7" max="7" width="16" hidden="0" customWidth="1"/>
  </x:cols>
  <x:sheetData>
    <x:row r="1" ht="34" customHeight="1">
      <x:c r="A1" s="3" t="str">
        <x:v>初中物理1066题 GPT-5.6标签重新复核</x:v>
      </x:c>
      <x:c r="B1" s="3" t="str">
        <x:v>初中物理1066题 GPT-5.6标签重新复核</x:v>
      </x:c>
      <x:c r="C1" s="3" t="str">
        <x:v>初中物理1066题 GPT-5.6标签重新复核</x:v>
      </x:c>
      <x:c r="D1" s="3" t="str">
        <x:v>初中物理1066题 GPT-5.6标签重新复核</x:v>
      </x:c>
      <x:c r="E1" s="3" t="str">
        <x:v>初中物理1066题 GPT-5.6标签重新复核</x:v>
      </x:c>
      <x:c r="F1" s="3" t="str">
        <x:v>初中物理1066题 GPT-5.6标签重新复核</x:v>
      </x:c>
      <x:c r="G1" s="3" t="str">
        <x:v>初中物理1066题 GPT-5.6标签重新复核</x:v>
      </x:c>
      <x:c r="H1" s="3" t="str">
        <x:v>初中物理1066题 GPT-5.6标签重新复核</x:v>
      </x:c>
      <x:c r="I1" s="3" t="str">
        <x:v>初中物理1066题 GPT-5.6标签重新复核</x:v>
      </x:c>
      <x:c r="J1" s="3" t="str">
        <x:v>初中物理1066题 GPT-5.6标签重新复核</x:v>
      </x:c>
      <x:c r="K1" s="3" t="str">
        <x:v>初中物理1066题 GPT-5.6标签重新复核</x:v>
      </x:c>
      <x:c r="L1" s="3" t="str">
        <x:v>初中物理1066题 GPT-5.6标签重新复核</x:v>
      </x:c>
      <x:c r="M1" s="3" t="str">
        <x:v>初中物理1066题 GPT-5.6标签重新复核</x:v>
      </x:c>
      <x:c r="N1" s="3" t="str">
        <x:v>初中物理1066题 GPT-5.6标签重新复核</x:v>
      </x:c>
      <x:c r="O1" s="3" t="str">
        <x:v>初中物理1066题 GPT-5.6标签重新复核</x:v>
      </x:c>
    </x:row>
    <x:row r="2">
      <x:c r="A2" s="39"/>
      <x:c r="B2" s="39"/>
      <x:c r="C2" s="39"/>
      <x:c r="D2" s="39"/>
      <x:c r="E2" s="39"/>
      <x:c r="F2" s="39"/>
      <x:c r="G2" s="39"/>
      <x:c r="H2" s="39"/>
      <x:c r="I2" s="39"/>
      <x:c r="J2" s="39"/>
      <x:c r="K2" s="39"/>
      <x:c r="L2" s="39"/>
      <x:c r="M2" s="39"/>
      <x:c r="N2" s="39"/>
      <x:c r="O2" s="39"/>
    </x:row>
    <x:row r="3" ht="28" customHeight="1">
      <x:c r="A3" s="10" t="str">
        <x:v>核心结论</x:v>
      </x:c>
      <x:c r="B3" s="11" t="str">
        <x:v>数量</x:v>
      </x:c>
      <x:c r="C3" s="39"/>
      <x:c r="D3" s="10" t="str">
        <x:v>档位</x:v>
      </x:c>
      <x:c r="E3" s="23" t="str">
        <x:v>原GPT分布</x:v>
      </x:c>
      <x:c r="F3" s="11" t="str">
        <x:v>复核后分布</x:v>
      </x:c>
      <x:c r="G3" s="39"/>
      <x:c r="H3" s="39"/>
      <x:c r="I3" s="39"/>
      <x:c r="J3" s="39"/>
      <x:c r="K3" s="39"/>
      <x:c r="L3" s="39"/>
      <x:c r="M3" s="39"/>
      <x:c r="N3" s="39"/>
      <x:c r="O3" s="39"/>
    </x:row>
    <x:row r="4">
      <x:c r="A4" s="40" t="str">
        <x:v>逐题覆盖</x:v>
      </x:c>
      <x:c r="B4" s="41" t="n">
        <x:f>COUNTA('1066题逐题复核'!A3:A1068)</x:f>
        <x:v>1066</x:v>
      </x:c>
      <x:c r="C4" s="39"/>
      <x:c r="D4" s="40" t="str">
        <x:v>送分题</x:v>
      </x:c>
      <x:c r="E4" s="42" t="n">
        <x:f>COUNTIF('1066题逐题复核'!B3:B1068,D4)</x:f>
        <x:v>133</x:v>
      </x:c>
      <x:c r="F4" s="43" t="n">
        <x:f>COUNTIF('1066题逐题复核'!C3:C1068,D4)</x:f>
        <x:v>130</x:v>
      </x:c>
      <x:c r="G4" s="39"/>
      <x:c r="H4" s="39"/>
      <x:c r="I4" s="39"/>
      <x:c r="J4" s="39"/>
      <x:c r="K4" s="39"/>
      <x:c r="L4" s="39"/>
      <x:c r="M4" s="39"/>
      <x:c r="N4" s="39"/>
      <x:c r="O4" s="39"/>
    </x:row>
    <x:row r="5">
      <x:c r="A5" s="44" t="str">
        <x:v>主标签修改</x:v>
      </x:c>
      <x:c r="B5" s="45" t="n">
        <x:f>COUNTIF('1066题逐题复核'!E3:E1068,"修订GPT主标签")</x:f>
        <x:v>20</x:v>
      </x:c>
      <x:c r="C5" s="39"/>
      <x:c r="D5" s="44" t="str">
        <x:v>基础题</x:v>
      </x:c>
      <x:c r="E5" s="46" t="n">
        <x:f>COUNTIF('1066题逐题复核'!B4:B1069,D5)</x:f>
        <x:v>344</x:v>
      </x:c>
      <x:c r="F5" s="47" t="n">
        <x:f>COUNTIF('1066题逐题复核'!C4:C1069,D5)</x:f>
        <x:v>345</x:v>
      </x:c>
      <x:c r="G5" s="39"/>
      <x:c r="H5" s="39"/>
      <x:c r="I5" s="39"/>
      <x:c r="J5" s="39"/>
      <x:c r="K5" s="39"/>
      <x:c r="L5" s="39"/>
      <x:c r="M5" s="39"/>
      <x:c r="N5" s="39"/>
      <x:c r="O5" s="39"/>
    </x:row>
    <x:row r="6">
      <x:c r="A6" s="44" t="str">
        <x:v>相邻双档边界</x:v>
      </x:c>
      <x:c r="B6" s="45" t="n">
        <x:f>COUNTA('相邻边界157'!A3:A159)</x:f>
        <x:v>157</x:v>
      </x:c>
      <x:c r="C6" s="39"/>
      <x:c r="D6" s="44" t="str">
        <x:v>中等题</x:v>
      </x:c>
      <x:c r="E6" s="46" t="n">
        <x:f>COUNTIF('1066题逐题复核'!B5:B1070,D6)</x:f>
        <x:v>409</x:v>
      </x:c>
      <x:c r="F6" s="47" t="n">
        <x:f>COUNTIF('1066题逐题复核'!C5:C1070,D6)</x:f>
        <x:v>415</x:v>
      </x:c>
      <x:c r="G6" s="39"/>
      <x:c r="H6" s="39"/>
      <x:c r="I6" s="39"/>
      <x:c r="J6" s="39"/>
      <x:c r="K6" s="39"/>
      <x:c r="L6" s="39"/>
      <x:c r="M6" s="39"/>
      <x:c r="N6" s="39"/>
      <x:c r="O6" s="39"/>
    </x:row>
    <x:row r="7">
      <x:c r="A7" s="48" t="str">
        <x:v>保留原主标签</x:v>
      </x:c>
      <x:c r="B7" s="49" t="n">
        <x:f>B4-B5</x:f>
        <x:v>1046</x:v>
      </x:c>
      <x:c r="C7" s="39"/>
      <x:c r="D7" s="44" t="str">
        <x:v>拔高题</x:v>
      </x:c>
      <x:c r="E7" s="46" t="n">
        <x:f>COUNTIF('1066题逐题复核'!B6:B1071,D7)</x:f>
        <x:v>144</x:v>
      </x:c>
      <x:c r="F7" s="47" t="n">
        <x:f>COUNTIF('1066题逐题复核'!C6:C1071,D7)</x:f>
        <x:v>143</x:v>
      </x:c>
      <x:c r="G7" s="39"/>
      <x:c r="H7" s="39"/>
      <x:c r="I7" s="39"/>
      <x:c r="J7" s="39"/>
      <x:c r="K7" s="39"/>
      <x:c r="L7" s="39"/>
      <x:c r="M7" s="39"/>
      <x:c r="N7" s="39"/>
      <x:c r="O7" s="39"/>
    </x:row>
    <x:row r="8">
      <x:c r="A8" s="39"/>
      <x:c r="B8" s="39"/>
      <x:c r="C8" s="39"/>
      <x:c r="D8" s="48" t="str">
        <x:v>压轴题</x:v>
      </x:c>
      <x:c r="E8" s="50" t="n">
        <x:f>COUNTIF('1066题逐题复核'!B7:B1072,D8)</x:f>
        <x:v>36</x:v>
      </x:c>
      <x:c r="F8" s="51" t="n">
        <x:f>COUNTIF('1066题逐题复核'!C7:C1072,D8)</x:f>
        <x:v>33</x:v>
      </x:c>
      <x:c r="G8" s="39"/>
      <x:c r="H8" s="39"/>
      <x:c r="I8" s="39"/>
      <x:c r="J8" s="39"/>
      <x:c r="K8" s="39"/>
      <x:c r="L8" s="39"/>
      <x:c r="M8" s="39"/>
      <x:c r="N8" s="39"/>
      <x:c r="O8" s="39"/>
    </x:row>
    <x:row r="9">
      <x:c r="A9" s="39"/>
      <x:c r="B9" s="39"/>
      <x:c r="C9" s="39"/>
      <x:c r="D9" s="39"/>
      <x:c r="E9" s="39"/>
      <x:c r="F9" s="39"/>
      <x:c r="G9" s="39"/>
      <x:c r="H9" s="39"/>
      <x:c r="I9" s="39"/>
      <x:c r="J9" s="39"/>
      <x:c r="K9" s="39"/>
      <x:c r="L9" s="39"/>
      <x:c r="M9" s="39"/>
      <x:c r="N9" s="39"/>
      <x:c r="O9" s="39"/>
    </x:row>
    <x:row r="10" ht="28" customHeight="1">
      <x:c r="A10" s="10" t="str">
        <x:v>主标签调整方向</x:v>
      </x:c>
      <x:c r="B10" s="23" t="str">
        <x:v>数量</x:v>
      </x:c>
      <x:c r="C10" s="11" t="str">
        <x:v>判断</x:v>
      </x:c>
      <x:c r="D10" s="39"/>
      <x:c r="E10" s="39"/>
      <x:c r="F10" s="39"/>
      <x:c r="G10" s="39"/>
      <x:c r="H10" s="39"/>
      <x:c r="I10" s="39"/>
      <x:c r="J10" s="39"/>
      <x:c r="K10" s="39"/>
      <x:c r="L10" s="39"/>
      <x:c r="M10" s="39"/>
      <x:c r="N10" s="39"/>
      <x:c r="O10" s="39"/>
    </x:row>
    <x:row r="11">
      <x:c r="A11" s="40" t="str">
        <x:v>拔高题→中等题</x:v>
      </x:c>
      <x:c r="B11" s="42" t="n">
        <x:v>8</x:v>
      </x:c>
      <x:c r="C11" s="43" t="str">
        <x:v>结构证据明确，排除原档</x:v>
      </x:c>
      <x:c r="D11" s="39"/>
      <x:c r="E11" s="39"/>
      <x:c r="F11" s="39"/>
      <x:c r="G11" s="39"/>
      <x:c r="H11" s="39"/>
      <x:c r="I11" s="39"/>
      <x:c r="J11" s="39"/>
      <x:c r="K11" s="39"/>
      <x:c r="L11" s="39"/>
      <x:c r="M11" s="39"/>
      <x:c r="N11" s="39"/>
      <x:c r="O11" s="39"/>
    </x:row>
    <x:row r="12">
      <x:c r="A12" s="44" t="str">
        <x:v>中等题→拔高题</x:v>
      </x:c>
      <x:c r="B12" s="46" t="n">
        <x:v>4</x:v>
      </x:c>
      <x:c r="C12" s="47" t="str">
        <x:v>结构证据明确，排除原档</x:v>
      </x:c>
      <x:c r="D12" s="39"/>
      <x:c r="E12" s="39"/>
      <x:c r="F12" s="39"/>
      <x:c r="G12" s="39"/>
      <x:c r="H12" s="39"/>
      <x:c r="I12" s="39"/>
      <x:c r="J12" s="39"/>
      <x:c r="K12" s="39"/>
      <x:c r="L12" s="39"/>
      <x:c r="M12" s="39"/>
      <x:c r="N12" s="39"/>
      <x:c r="O12" s="39"/>
    </x:row>
    <x:row r="13">
      <x:c r="A13" s="44" t="str">
        <x:v>送分题→基础题</x:v>
      </x:c>
      <x:c r="B13" s="46" t="n">
        <x:v>3</x:v>
      </x:c>
      <x:c r="C13" s="47" t="str">
        <x:v>结构证据明确，排除原档</x:v>
      </x:c>
      <x:c r="D13" s="39"/>
      <x:c r="E13" s="39"/>
      <x:c r="F13" s="39"/>
      <x:c r="G13" s="39"/>
      <x:c r="H13" s="39"/>
      <x:c r="I13" s="39"/>
      <x:c r="J13" s="39"/>
      <x:c r="K13" s="39"/>
      <x:c r="L13" s="39"/>
      <x:c r="M13" s="39"/>
      <x:c r="N13" s="39"/>
      <x:c r="O13" s="39"/>
    </x:row>
    <x:row r="14">
      <x:c r="A14" s="44" t="str">
        <x:v>基础题→中等题</x:v>
      </x:c>
      <x:c r="B14" s="46" t="n">
        <x:v>2</x:v>
      </x:c>
      <x:c r="C14" s="47" t="str">
        <x:v>结构证据明确，排除原档</x:v>
      </x:c>
      <x:c r="D14" s="39"/>
      <x:c r="E14" s="39"/>
      <x:c r="F14" s="39"/>
      <x:c r="G14" s="39"/>
      <x:c r="H14" s="39"/>
      <x:c r="I14" s="39"/>
      <x:c r="J14" s="39"/>
      <x:c r="K14" s="39"/>
      <x:c r="L14" s="39"/>
      <x:c r="M14" s="39"/>
      <x:c r="N14" s="39"/>
      <x:c r="O14" s="39"/>
    </x:row>
    <x:row r="15">
      <x:c r="A15" s="48" t="str">
        <x:v>压轴题→拔高题</x:v>
      </x:c>
      <x:c r="B15" s="50" t="n">
        <x:v>3</x:v>
      </x:c>
      <x:c r="C15" s="51" t="str">
        <x:v>结构证据明确，排除原档</x:v>
      </x:c>
      <x:c r="D15" s="39"/>
      <x:c r="E15" s="39"/>
      <x:c r="F15" s="39"/>
      <x:c r="G15" s="39"/>
      <x:c r="H15" s="39"/>
      <x:c r="I15" s="39"/>
      <x:c r="J15" s="39"/>
      <x:c r="K15" s="39"/>
      <x:c r="L15" s="39"/>
      <x:c r="M15" s="39"/>
      <x:c r="N15" s="39"/>
      <x:c r="O15" s="39"/>
    </x:row>
    <x:row r="16">
      <x:c r="A16" s="39"/>
      <x:c r="B16" s="39"/>
      <x:c r="C16" s="39"/>
      <x:c r="D16" s="39"/>
      <x:c r="E16" s="39"/>
      <x:c r="F16" s="39"/>
      <x:c r="G16" s="39"/>
      <x:c r="H16" s="39"/>
      <x:c r="I16" s="39"/>
      <x:c r="J16" s="39"/>
      <x:c r="K16" s="39"/>
      <x:c r="L16" s="39"/>
      <x:c r="M16" s="39"/>
      <x:c r="N16" s="39"/>
      <x:c r="O16" s="39"/>
    </x:row>
    <x:row r="17">
      <x:c r="A17" s="39"/>
      <x:c r="B17" s="39"/>
      <x:c r="C17" s="39"/>
      <x:c r="D17" s="39"/>
      <x:c r="E17" s="39"/>
      <x:c r="F17" s="39"/>
      <x:c r="G17" s="39"/>
      <x:c r="H17" s="39"/>
      <x:c r="I17" s="39"/>
      <x:c r="J17" s="39"/>
      <x:c r="K17" s="39"/>
      <x:c r="L17" s="39"/>
      <x:c r="M17" s="39"/>
      <x:c r="N17" s="39"/>
      <x:c r="O17" s="39"/>
    </x:row>
    <x:row r="18">
      <x:c r="A18" s="39"/>
      <x:c r="B18" s="39"/>
      <x:c r="C18" s="39"/>
      <x:c r="D18" s="39"/>
      <x:c r="E18" s="39"/>
      <x:c r="F18" s="39"/>
      <x:c r="G18" s="39"/>
      <x:c r="H18" s="39"/>
      <x:c r="I18" s="39"/>
      <x:c r="J18" s="39"/>
      <x:c r="K18" s="39"/>
      <x:c r="L18" s="39"/>
      <x:c r="M18" s="39"/>
      <x:c r="N18" s="39"/>
      <x:c r="O18" s="39"/>
    </x:row>
    <x:row r="19" ht="28" customHeight="1">
      <x:c r="A19" s="10" t="str">
        <x:v>历史模型运行</x:v>
      </x:c>
      <x:c r="B19" s="23" t="str">
        <x:v>原标签准确率</x:v>
      </x:c>
      <x:c r="C19" s="23" t="str">
        <x:v>复核标签准确率</x:v>
      </x:c>
      <x:c r="D19" s="23" t="str">
        <x:v>变化</x:v>
      </x:c>
      <x:c r="E19" s="23" t="str">
        <x:v>复核后一档内</x:v>
      </x:c>
      <x:c r="F19" s="23" t="str">
        <x:v>复核后MAE</x:v>
      </x:c>
      <x:c r="G19" s="11" t="str">
        <x:v>复核后严重偏差</x:v>
      </x:c>
      <x:c r="H19" s="39"/>
      <x:c r="I19" s="39"/>
      <x:c r="J19" s="39"/>
      <x:c r="K19" s="39"/>
      <x:c r="L19" s="39"/>
      <x:c r="M19" s="39"/>
      <x:c r="N19" s="39"/>
      <x:c r="O19" s="39"/>
    </x:row>
    <x:row r="20">
      <x:c r="A20" s="40" t="str">
        <x:v>gpt56_accuracyfix_run1</x:v>
      </x:c>
      <x:c r="B20" s="52" t="n">
        <x:v>0.7298</x:v>
      </x:c>
      <x:c r="C20" s="52" t="n">
        <x:v>0.7411</x:v>
      </x:c>
      <x:c r="D20" s="52" t="n">
        <x:v>0.011299999999999977</x:v>
      </x:c>
      <x:c r="E20" s="52" t="n">
        <x:v>0.9981</x:v>
      </x:c>
      <x:c r="F20" s="53" t="n">
        <x:v>0.2608</x:v>
      </x:c>
      <x:c r="G20" s="43" t="n">
        <x:v>2</x:v>
      </x:c>
      <x:c r="H20" s="39"/>
      <x:c r="I20" s="39"/>
      <x:c r="J20" s="39"/>
      <x:c r="K20" s="39"/>
      <x:c r="L20" s="39"/>
      <x:c r="M20" s="39"/>
      <x:c r="N20" s="39"/>
      <x:c r="O20" s="39"/>
    </x:row>
    <x:row r="21">
      <x:c r="A21" s="44" t="str">
        <x:v>gpt56_accuracyfix_run2</x:v>
      </x:c>
      <x:c r="B21" s="54" t="n">
        <x:v>0.7195</x:v>
      </x:c>
      <x:c r="C21" s="54" t="n">
        <x:v>0.728</x:v>
      </x:c>
      <x:c r="D21" s="54" t="n">
        <x:v>0.008499999999999952</x:v>
      </x:c>
      <x:c r="E21" s="54" t="n">
        <x:v>0.9972</x:v>
      </x:c>
      <x:c r="F21" s="55" t="n">
        <x:v>0.2749</x:v>
      </x:c>
      <x:c r="G21" s="47" t="n">
        <x:v>3</x:v>
      </x:c>
      <x:c r="H21" s="39"/>
      <x:c r="I21" s="39"/>
      <x:c r="J21" s="39"/>
      <x:c r="K21" s="39"/>
      <x:c r="L21" s="39"/>
      <x:c r="M21" s="39"/>
      <x:c r="N21" s="39"/>
      <x:c r="O21" s="39"/>
    </x:row>
    <x:row r="22">
      <x:c r="A22" s="44" t="str">
        <x:v>gpt56_accuracyfix_run3</x:v>
      </x:c>
      <x:c r="B22" s="54" t="n">
        <x:v>0.7223</x:v>
      </x:c>
      <x:c r="C22" s="54" t="n">
        <x:v>0.7345</x:v>
      </x:c>
      <x:c r="D22" s="54" t="n">
        <x:v>0.012199999999999989</x:v>
      </x:c>
      <x:c r="E22" s="54" t="n">
        <x:v>0.9962</x:v>
      </x:c>
      <x:c r="F22" s="55" t="n">
        <x:v>0.2692</x:v>
      </x:c>
      <x:c r="G22" s="47" t="n">
        <x:v>4</x:v>
      </x:c>
      <x:c r="H22" s="39"/>
      <x:c r="I22" s="39"/>
      <x:c r="J22" s="39"/>
      <x:c r="K22" s="39"/>
      <x:c r="L22" s="39"/>
      <x:c r="M22" s="39"/>
      <x:c r="N22" s="39"/>
      <x:c r="O22" s="39"/>
    </x:row>
    <x:row r="23">
      <x:c r="A23" s="44" t="str">
        <x:v>final_candidate_run1</x:v>
      </x:c>
      <x:c r="B23" s="54" t="n">
        <x:v>0.6951</x:v>
      </x:c>
      <x:c r="C23" s="54" t="n">
        <x:v>0.7073</x:v>
      </x:c>
      <x:c r="D23" s="54" t="n">
        <x:v>0.012199999999999989</x:v>
      </x:c>
      <x:c r="E23" s="54" t="n">
        <x:v>0.9981</x:v>
      </x:c>
      <x:c r="F23" s="55" t="n">
        <x:v>0.2946</x:v>
      </x:c>
      <x:c r="G23" s="47" t="n">
        <x:v>2</x:v>
      </x:c>
      <x:c r="H23" s="39"/>
      <x:c r="I23" s="39"/>
      <x:c r="J23" s="39"/>
      <x:c r="K23" s="39"/>
      <x:c r="L23" s="39"/>
      <x:c r="M23" s="39"/>
      <x:c r="N23" s="39"/>
      <x:c r="O23" s="39"/>
    </x:row>
    <x:row r="24">
      <x:c r="A24" s="44" t="str">
        <x:v>final_candidate_run2</x:v>
      </x:c>
      <x:c r="B24" s="54" t="n">
        <x:v>0.7045</x:v>
      </x:c>
      <x:c r="C24" s="54" t="n">
        <x:v>0.7186</x:v>
      </x:c>
      <x:c r="D24" s="54" t="n">
        <x:v>0.014100000000000001</x:v>
      </x:c>
      <x:c r="E24" s="54" t="n">
        <x:v>0.9962</x:v>
      </x:c>
      <x:c r="F24" s="55" t="n">
        <x:v>0.2852</x:v>
      </x:c>
      <x:c r="G24" s="47" t="n">
        <x:v>4</x:v>
      </x:c>
      <x:c r="H24" s="39"/>
      <x:c r="I24" s="39"/>
      <x:c r="J24" s="39"/>
      <x:c r="K24" s="39"/>
      <x:c r="L24" s="39"/>
      <x:c r="M24" s="39"/>
      <x:c r="N24" s="39"/>
      <x:c r="O24" s="39"/>
    </x:row>
    <x:row r="25">
      <x:c r="A25" s="48" t="str">
        <x:v>final_candidate_run3</x:v>
      </x:c>
      <x:c r="B25" s="56" t="n">
        <x:v>0.7158</x:v>
      </x:c>
      <x:c r="C25" s="56" t="n">
        <x:v>0.7298</x:v>
      </x:c>
      <x:c r="D25" s="56" t="n">
        <x:v>0.014000000000000012</x:v>
      </x:c>
      <x:c r="E25" s="56" t="n">
        <x:v>0.9981</x:v>
      </x:c>
      <x:c r="F25" s="57" t="n">
        <x:v>0.272</x:v>
      </x:c>
      <x:c r="G25" s="51" t="n">
        <x:v>2</x:v>
      </x:c>
      <x:c r="H25" s="39"/>
      <x:c r="I25" s="39"/>
      <x:c r="J25" s="39"/>
      <x:c r="K25" s="39"/>
      <x:c r="L25" s="39"/>
      <x:c r="M25" s="39"/>
      <x:c r="N25" s="39"/>
      <x:c r="O25" s="39"/>
    </x:row>
    <x:row r="26">
      <x:c r="A26" s="39"/>
      <x:c r="B26" s="39"/>
      <x:c r="C26" s="39"/>
      <x:c r="D26" s="39"/>
      <x:c r="E26" s="39"/>
      <x:c r="F26" s="39"/>
      <x:c r="G26" s="39"/>
      <x:c r="H26" s="39"/>
      <x:c r="I26" s="39"/>
      <x:c r="J26" s="39"/>
      <x:c r="K26" s="39"/>
      <x:c r="L26" s="39"/>
      <x:c r="M26" s="39"/>
      <x:c r="N26" s="39"/>
      <x:c r="O26" s="39"/>
    </x:row>
    <x:row r="27">
      <x:c r="A27" s="38" t="str">
        <x:v>解释：20道主标签修改只包含能够从题目任务结构中排除原档的明确错误；157道相邻边界题保留单一主标签，同时记录可接受等级。历史模型准确率的变化仅用于影响回放，不作为改标证据，因为这些题曾参与误差分析。</x:v>
      </x:c>
      <x:c r="B27" s="38"/>
      <x:c r="C27" s="38"/>
      <x:c r="D27" s="38"/>
      <x:c r="E27" s="38"/>
      <x:c r="F27" s="38"/>
      <x:c r="G27" s="38"/>
      <x:c r="H27" s="38"/>
      <x:c r="I27" s="38"/>
      <x:c r="J27" s="38"/>
      <x:c r="K27" s="38"/>
      <x:c r="L27" s="38"/>
      <x:c r="M27" s="38"/>
      <x:c r="N27" s="38"/>
      <x:c r="O27" s="38"/>
    </x:row>
    <x:row r="28">
      <x:c r="A28" s="38"/>
      <x:c r="B28" s="38"/>
      <x:c r="C28" s="38"/>
      <x:c r="D28" s="38"/>
      <x:c r="E28" s="38"/>
      <x:c r="F28" s="38"/>
      <x:c r="G28" s="38"/>
      <x:c r="H28" s="38"/>
      <x:c r="I28" s="38"/>
      <x:c r="J28" s="38"/>
      <x:c r="K28" s="38"/>
      <x:c r="L28" s="38"/>
      <x:c r="M28" s="38"/>
      <x:c r="N28" s="38"/>
      <x:c r="O28" s="38"/>
    </x:row>
    <x:row r="29">
      <x:c r="A29" s="38"/>
      <x:c r="B29" s="38"/>
      <x:c r="C29" s="38"/>
      <x:c r="D29" s="38"/>
      <x:c r="E29" s="38"/>
      <x:c r="F29" s="38"/>
      <x:c r="G29" s="38"/>
      <x:c r="H29" s="38"/>
      <x:c r="I29" s="38"/>
      <x:c r="J29" s="38"/>
      <x:c r="K29" s="38"/>
      <x:c r="L29" s="38"/>
      <x:c r="M29" s="38"/>
      <x:c r="N29" s="38"/>
      <x:c r="O29" s="38"/>
    </x:row>
    <x:row r="30">
      <x:c r="A30" s="38"/>
      <x:c r="B30" s="38"/>
      <x:c r="C30" s="38"/>
      <x:c r="D30" s="38"/>
      <x:c r="E30" s="38"/>
      <x:c r="F30" s="38"/>
      <x:c r="G30" s="38"/>
      <x:c r="H30" s="38"/>
      <x:c r="I30" s="38"/>
      <x:c r="J30" s="38"/>
      <x:c r="K30" s="38"/>
      <x:c r="L30" s="38"/>
      <x:c r="M30" s="38"/>
      <x:c r="N30" s="38"/>
      <x:c r="O30" s="38"/>
    </x:row>
  </x:sheetData>
  <x:mergeCells>
    <x:mergeCell ref="A1:O1"/>
    <x:mergeCell ref="A27:O30"/>
  </x:mergeCells>
  <x:pageMargins left="0.7" right="0.7" top="0.75" bottom="0.75" header="0.3" footer="0.3"/>
  <x:drawing xmlns:r="http://schemas.openxmlformats.org/officeDocument/2006/relationships" r:id="R15d56c35445245c3"/>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12" hidden="0" customWidth="1"/>
    <x:col min="3" max="3" width="12" hidden="0" customWidth="1"/>
    <x:col min="4" max="4" width="19" hidden="0" customWidth="1"/>
    <x:col min="5" max="5" width="22" hidden="0" customWidth="1"/>
    <x:col min="6" max="6" width="12" hidden="0" customWidth="1"/>
    <x:col min="7" max="7" width="12" hidden="0" customWidth="1"/>
    <x:col min="8" max="8" width="12" hidden="0" customWidth="1"/>
    <x:col min="9" max="9" width="55" hidden="0" customWidth="1"/>
    <x:col min="10" max="10" width="30" hidden="0" customWidth="1"/>
    <x:col min="11" max="11" width="70" hidden="0" customWidth="1"/>
    <x:col min="12" max="12" width="42" hidden="0" customWidth="1"/>
    <x:col min="13" max="13" width="72" hidden="0" customWidth="1"/>
    <x:col min="14" max="14" width="36" hidden="0" customWidth="1"/>
    <x:col min="15" max="15" width="36" hidden="0" customWidth="1"/>
    <x:col min="16" max="16" width="12" hidden="0" customWidth="1"/>
    <x:col min="17" max="17" width="14" hidden="0" customWidth="1"/>
    <x:col min="18" max="18" width="12" hidden="0" customWidth="1"/>
    <x:col min="19" max="19" width="12" hidden="0" customWidth="1"/>
    <x:col min="20" max="20" width="14" hidden="0" customWidth="1"/>
    <x:col min="21" max="21" width="14" hidden="0" customWidth="1"/>
    <x:col min="22" max="22" width="16" hidden="0" customWidth="1"/>
    <x:col min="23" max="23" width="14" hidden="0" customWidth="1"/>
  </x:cols>
  <x:sheetData>
    <x:row r="1" ht="34" customHeight="1">
      <x:c r="A1" s="3" t="str">
        <x:v>1066题逐题标签复核底表</x:v>
      </x:c>
      <x:c r="B1" s="3" t="str">
        <x:v>1066题逐题标签复核底表</x:v>
      </x:c>
      <x:c r="C1" s="3" t="str">
        <x:v>1066题逐题标签复核底表</x:v>
      </x:c>
      <x:c r="D1" s="3" t="str">
        <x:v>1066题逐题标签复核底表</x:v>
      </x:c>
      <x:c r="E1" s="3" t="str">
        <x:v>1066题逐题标签复核底表</x:v>
      </x:c>
      <x:c r="F1" s="3" t="str">
        <x:v>1066题逐题标签复核底表</x:v>
      </x:c>
      <x:c r="G1" s="3" t="str">
        <x:v>1066题逐题标签复核底表</x:v>
      </x:c>
      <x:c r="H1" s="3" t="str">
        <x:v>1066题逐题标签复核底表</x:v>
      </x:c>
      <x:c r="I1" s="3" t="str">
        <x:v>1066题逐题标签复核底表</x:v>
      </x:c>
      <x:c r="J1" s="3" t="str">
        <x:v>1066题逐题标签复核底表</x:v>
      </x:c>
      <x:c r="K1" s="3" t="str">
        <x:v>1066题逐题标签复核底表</x:v>
      </x:c>
      <x:c r="L1" s="3" t="str">
        <x:v>1066题逐题标签复核底表</x:v>
      </x:c>
      <x:c r="M1" s="3" t="str">
        <x:v>1066题逐题标签复核底表</x:v>
      </x:c>
      <x:c r="N1" s="3" t="str">
        <x:v>1066题逐题标签复核底表</x:v>
      </x:c>
      <x:c r="O1" s="3" t="str">
        <x:v>1066题逐题标签复核底表</x:v>
      </x:c>
      <x:c r="P1" s="3" t="str">
        <x:v>1066题逐题标签复核底表</x:v>
      </x:c>
      <x:c r="Q1" s="3" t="str">
        <x:v>1066题逐题标签复核底表</x:v>
      </x:c>
      <x:c r="R1" s="3" t="str">
        <x:v>1066题逐题标签复核底表</x:v>
      </x:c>
      <x:c r="S1" s="3" t="str">
        <x:v>1066题逐题标签复核底表</x:v>
      </x:c>
      <x:c r="T1" s="3" t="str">
        <x:v>1066题逐题标签复核底表</x:v>
      </x:c>
      <x:c r="U1" s="3" t="str">
        <x:v>1066题逐题标签复核底表</x:v>
      </x:c>
      <x:c r="V1" s="3" t="str">
        <x:v>1066题逐题标签复核底表</x:v>
      </x:c>
    </x:row>
    <x:row r="2" ht="28" customHeight="1">
      <x:c r="A2" s="59" t="str">
        <x:v>题目ID</x:v>
      </x:c>
      <x:c r="B2" s="60" t="str">
        <x:v>原GPT裁定档</x:v>
      </x:c>
      <x:c r="C2" s="60" t="str">
        <x:v>修订后主标签</x:v>
      </x:c>
      <x:c r="D2" s="60" t="str">
        <x:v>可接受等级</x:v>
      </x:c>
      <x:c r="E2" s="60" t="str">
        <x:v>复核状态</x:v>
      </x:c>
      <x:c r="F2" s="60" t="str">
        <x:v>修订后置信度</x:v>
      </x:c>
      <x:c r="G2" s="60" t="str">
        <x:v>教师标准档</x:v>
      </x:c>
      <x:c r="H2" s="60" t="str">
        <x:v>初次盲评档</x:v>
      </x:c>
      <x:c r="I2" s="60" t="str">
        <x:v>复核依据</x:v>
      </x:c>
      <x:c r="J2" s="60" t="str">
        <x:v>复核证据来源</x:v>
      </x:c>
      <x:c r="K2" s="60" t="str">
        <x:v>题干</x:v>
      </x:c>
      <x:c r="L2" s="60" t="str">
        <x:v>选项</x:v>
      </x:c>
      <x:c r="M2" s="60" t="str">
        <x:v>官方解析</x:v>
      </x:c>
      <x:c r="N2" s="60" t="str">
        <x:v>题目图片URL</x:v>
      </x:c>
      <x:c r="O2" s="60" t="str">
        <x:v>解析图片URL</x:v>
      </x:c>
      <x:c r="P2" s="60" t="str">
        <x:v>结构_步骤</x:v>
      </x:c>
      <x:c r="Q2" s="60" t="str">
        <x:v>结构_题型</x:v>
      </x:c>
      <x:c r="R2" s="60" t="str">
        <x:v>结构_状态</x:v>
      </x:c>
      <x:c r="S2" s="60" t="str">
        <x:v>结构_约束</x:v>
      </x:c>
      <x:c r="T2" s="60" t="str">
        <x:v>结构_实验</x:v>
      </x:c>
      <x:c r="U2" s="60" t="str">
        <x:v>结构_图表</x:v>
      </x:c>
      <x:c r="V2" s="61" t="str">
        <x:v>结构_推理</x:v>
      </x:c>
    </x:row>
    <x:row r="3">
      <x:c r="A3" s="64" t="str">
        <x:v>​2139835924700303365</x:v>
      </x:c>
      <x:c r="B3" s="65" t="str">
        <x:v>送分题</x:v>
      </x:c>
      <x:c r="C3" s="65" t="str">
        <x:v>送分题</x:v>
      </x:c>
      <x:c r="D3" s="65" t="str">
        <x:v>送分题|基础题</x:v>
      </x:c>
      <x:c r="E3" s="65" t="str">
        <x:v>保留原主标签；相邻档有争议</x:v>
      </x:c>
      <x:c r="F3" s="65" t="str">
        <x:v>中</x:v>
      </x:c>
      <x:c r="G3" s="65" t="str">
        <x:v>送分题</x:v>
      </x:c>
      <x:c r="H3" s="65" t="str">
        <x:v>基础题</x:v>
      </x:c>
      <x:c r="I3" s="65" t="str">
        <x:v>第二轮复核认为现有证据只能证明该题处于相邻档边界，不能排除原GPT主标签。为避免使用模型预测反向拟合真值，保留原主标签，并将另一档记录为可接受等级。</x:v>
      </x:c>
      <x:c r="J3" s="65" t="str">
        <x:v>三次运行错题并集逐题复核</x:v>
      </x:c>
      <x:c r="K3" s="63" t="str">
        <x:v>以下现象与大气压有关的是$(\qquad)$</x:v>
      </x:c>
      <x:c r="L3" s="63" t="str">
        <x:v>A. 用吸管喝饮料 B. 覆杯实验 C. 注射药液 D. 吸盘 E. 热气球升空 F. 用滴管吸取药液 G. 钢笔吸墨水 H. 堵住茶壶上的小孔，茶壶里的水就不容易被倒出来 I. 瓶吞鸡蛋 J. 利用离心泵抽水</x:v>
      </x:c>
      <x:c r="M3" s="63" t="str">
        <x:v>建议课堂活动，让学生来讲解原理 ① 用注射器吸取药液与大气压有关，原理与用吸管喝饮料类似，但是用注射器注射药液与大气压无关； ② 若堵住茶壶上的小洞，随着茶壶里水的流出，茶壶里气体质量没变但是体积变大，所以压强变小，小于外界大气压，使大气压托住水，倒不出来．</x:v>
      </x:c>
      <x:c r="N3" s="63" t="str">
        <x:v>https://k12static.xdf.cn/k12/image/externalized/be9a55f9-32b5-4c77-81ca-21ad0bf2b346.png</x:v>
      </x:c>
      <x:c r="O3" s="63" t="str">
        <x:v>https://k12static.xdf.cn/k12/image/externalized/f7a66f12-a242-4270-b59d-65a97700f255.png</x:v>
      </x:c>
      <x:c r="P3" s="63" t="str">
        <x:v>1-2步</x:v>
      </x:c>
      <x:c r="Q3" s="63" t="str">
        <x:v>概念判断</x:v>
      </x:c>
      <x:c r="R3" s="63" t="str">
        <x:v>单状态</x:v>
      </x:c>
      <x:c r="S3" s="63" t="str">
        <x:v>无约束</x:v>
      </x:c>
      <x:c r="T3" s="63" t="str">
        <x:v>无</x:v>
      </x:c>
      <x:c r="U3" s="63" t="str">
        <x:v>无</x:v>
      </x:c>
      <x:c r="V3" s="63" t="str">
        <x:v>简单因果推理</x:v>
      </x:c>
    </x:row>
    <x:row r="4">
      <x:c r="A4" s="64" t="str">
        <x:v>​2139855143991087106</x:v>
      </x:c>
      <x:c r="B4" s="65" t="str">
        <x:v>送分题</x:v>
      </x:c>
      <x:c r="C4" s="65" t="str">
        <x:v>送分题</x:v>
      </x:c>
      <x:c r="D4" s="65" t="str">
        <x:v>送分题|基础题</x:v>
      </x:c>
      <x:c r="E4" s="65" t="str">
        <x:v>保留原主标签；相邻档有争议</x:v>
      </x:c>
      <x:c r="F4" s="65" t="str">
        <x:v>中</x:v>
      </x:c>
      <x:c r="G4" s="65" t="str">
        <x:v>送分题</x:v>
      </x:c>
      <x:c r="H4" s="65" t="str">
        <x:v>送分题</x:v>
      </x:c>
      <x:c r="I4" s="65" t="str">
        <x:v>第二轮复核认为现有证据只能证明该题处于相邻档边界，不能排除原GPT主标签。为避免使用模型预测反向拟合真值，保留原主标签，并将另一档记录为可接受等级。</x:v>
      </x:c>
      <x:c r="J4" s="65" t="str">
        <x:v>三次运行错题并集逐题复核</x:v>
      </x:c>
      <x:c r="K4" s="63" t="str">
        <x:v>在温度为 $ 0^\circ{\rm C} $ 时，静止在桌面上的铁块$(\qquad)$</x:v>
      </x:c>
      <x:c r="L4" s="63" t="str">
        <x:v>A. 只具有内能 B. 只具有机械能 C. 既具有机械能，又具有内能 D. 既没有机械能，又没有内能</x:v>
      </x:c>
      <x:c r="M4" s="63" t="str">
        <x:v>铁块在桌面上，所以具有重力势能，从而具有机械能，虽然温度低，但任何物体的分子都在不停地做无规则运动，所以铁块也具有内能．因此ABD错误，C正确． 故选C。</x:v>
      </x:c>
      <x:c r="N4" s="63" t="str">
        <x:v>https://k12static.xdf.cn/k12/image/externalized/c2d25515-c212-4705-ae90-6bdbc909e39c.png</x:v>
      </x:c>
      <x:c r="O4" s="63" t="str">
        <x:v>https://k12static.xdf.cn/k12/image/externalized/2db12f7c-c129-4971-a257-fd45d921866f.png</x:v>
      </x:c>
      <x:c r="P4" s="63" t="str">
        <x:v>1-2步</x:v>
      </x:c>
      <x:c r="Q4" s="63" t="str">
        <x:v>概念判断</x:v>
      </x:c>
      <x:c r="R4" s="63" t="str">
        <x:v>单状态</x:v>
      </x:c>
      <x:c r="S4" s="63" t="str">
        <x:v>无约束</x:v>
      </x:c>
      <x:c r="T4" s="63" t="str">
        <x:v>无</x:v>
      </x:c>
      <x:c r="U4" s="63" t="str">
        <x:v>无</x:v>
      </x:c>
      <x:c r="V4" s="63" t="str">
        <x:v>简单因果推理</x:v>
      </x:c>
    </x:row>
    <x:row r="5">
      <x:c r="A5" s="64" t="str">
        <x:v>​2234554433063890944</x:v>
      </x:c>
      <x:c r="B5" s="65" t="str">
        <x:v>基础题</x:v>
      </x:c>
      <x:c r="C5" s="65" t="str">
        <x:v>基础题</x:v>
      </x:c>
      <x:c r="D5" s="65" t="str">
        <x:v>基础题|中等题</x:v>
      </x:c>
      <x:c r="E5" s="65" t="str">
        <x:v>保留原主标签；相邻档有争议</x:v>
      </x:c>
      <x:c r="F5" s="65" t="str">
        <x:v>中</x:v>
      </x:c>
      <x:c r="G5" s="65" t="str">
        <x:v>基础题</x:v>
      </x:c>
      <x:c r="H5" s="65" t="str">
        <x:v>基础题</x:v>
      </x:c>
      <x:c r="I5" s="65" t="str">
        <x:v>第二轮复核认为现有证据只能证明该题处于相邻档边界，不能排除原GPT主标签。为避免使用模型预测反向拟合真值，保留原主标签，并将另一档记录为可接受等级。</x:v>
      </x:c>
      <x:c r="J5" s="65" t="str">
        <x:v>三次运行错题并集逐题复核</x:v>
      </x:c>
      <x:c r="K5" s="63" t="str">
        <x:v>如图电路中，电源电压保持不变，当开关S闭合，滑动变阻器的滑片P向右移动时，电流表和电压表的示数变化情况分别为（ ）</x:v>
      </x:c>
      <x:c r="L5" s="63" t="str">
        <x:v>A. 电流表的示数变小，电压表的示数变大 B. 电流表的示数变大，电压表的示数变小 C. 电流表的示数变小，电压表的示数不变 D. 电流表的示数变小，电压表的示数变小</x:v>
      </x:c>
      <x:c r="M5" s="63" t="str">
        <x:v>解：∵电压表测电源的电压且电源的电压不变， ∴电压表的示数不变； 当滑动变阻器的滑片P向右移动时，滑动变阻器接入电路的电阻变大， ∵I=$\frac{U}{R}$，R1两端的电压不变； ∴R2支路的电流变小，R1支路的电流不变， ∵并联电路中干路电流等于各支路电流之和可知， ∴干路电流变小，即电流表的示数变小。 故选：C。</x:v>
      </x:c>
      <x:c r="N5" s="63" t="str">
        <x:v>https://k12static.xdf.cn/k12/image/externalized/18e5034f-d5ee-4179-809e-8d14b96c83ff.png</x:v>
      </x:c>
      <x:c r="O5" s="63" t="str">
        <x:v>https://k12static.xdf.cn/k12/image/externalized/94e12f6e-c8fc-42aa-a25b-ecf98e15398a.png</x:v>
      </x:c>
      <x:c r="P5" s="63" t="str">
        <x:v>3-5步</x:v>
      </x:c>
      <x:c r="Q5" s="63" t="str">
        <x:v>电路综合</x:v>
      </x:c>
      <x:c r="R5" s="63" t="str">
        <x:v>单状态</x:v>
      </x:c>
      <x:c r="S5" s="63" t="str">
        <x:v>单一约束</x:v>
      </x:c>
      <x:c r="T5" s="63" t="str">
        <x:v>无</x:v>
      </x:c>
      <x:c r="U5" s="63" t="str">
        <x:v>无</x:v>
      </x:c>
      <x:c r="V5" s="63" t="str">
        <x:v>多层因果推理</x:v>
      </x:c>
    </x:row>
    <x:row r="6">
      <x:c r="A6" s="64" t="str">
        <x:v>​2264327909711310848</x:v>
      </x:c>
      <x:c r="B6" s="65" t="str">
        <x:v>送分题</x:v>
      </x:c>
      <x:c r="C6" s="65" t="str">
        <x:v>送分题</x:v>
      </x:c>
      <x:c r="D6" s="65" t="str">
        <x:v>送分题|基础题</x:v>
      </x:c>
      <x:c r="E6" s="65" t="str">
        <x:v>保留原主标签；相邻档有争议</x:v>
      </x:c>
      <x:c r="F6" s="65" t="str">
        <x:v>中</x:v>
      </x:c>
      <x:c r="G6" s="65" t="str">
        <x:v>送分题</x:v>
      </x:c>
      <x:c r="H6" s="65" t="str">
        <x:v>送分题</x:v>
      </x:c>
      <x:c r="I6" s="65" t="str">
        <x:v>第二轮复核认为现有证据只能证明该题处于相邻档边界，不能排除原GPT主标签。为避免使用模型预测反向拟合真值，保留原主标签，并将另一档记录为可接受等级。</x:v>
      </x:c>
      <x:c r="J6" s="65" t="str">
        <x:v>三次运行错题并集逐题复核</x:v>
      </x:c>
      <x:c r="K6" s="63" t="str">
        <x:v>如图所示的电路中，闭合开关S，已知电源电压为6V，L2两端的电压为2V，则下列说法正确的是（ ）</x:v>
      </x:c>
      <x:c r="L6" s="63" t="str">
        <x:v>A. 电压表的示数为2V B. 电压表的示数为4V C. 灯泡L1的示数为2V D. 电压表的示数为6V</x:v>
      </x:c>
      <x:c r="M6" s="63" t="str">
        <x:v>解：如图所示，闭合开关S，两灯串联，电压表V测L1两端电压，电源电压为6V，L2两端的电压为2V，根据串联电路电压的规律，L1两端电压为：U1=U-U2=6V-2V=4V，即电压表V的示数为4V，故B正确。 故选：B。</x:v>
      </x:c>
      <x:c r="N6" s="63" t="str">
        <x:v>https://k12static.xdf.cn/k12/image/externalized/9daaeb83-9630-4e82-8925-cab5febbe88d.png</x:v>
      </x:c>
      <x:c r="O6" s="63" t="str">
        <x:v>https://k12static.xdf.cn/k12/image/externalized/ab1eaa23-a80b-4e9a-842c-f26811cb059b.png</x:v>
      </x:c>
      <x:c r="P6" s="63" t="str">
        <x:v>1-2步</x:v>
      </x:c>
      <x:c r="Q6" s="63" t="str">
        <x:v>电路综合</x:v>
      </x:c>
      <x:c r="R6" s="63" t="str">
        <x:v>单状态</x:v>
      </x:c>
      <x:c r="S6" s="63" t="str">
        <x:v>无约束</x:v>
      </x:c>
      <x:c r="T6" s="63" t="str">
        <x:v>无</x:v>
      </x:c>
      <x:c r="U6" s="63" t="str">
        <x:v>无</x:v>
      </x:c>
      <x:c r="V6" s="63" t="str">
        <x:v>简单因果推理</x:v>
      </x:c>
    </x:row>
    <x:row r="7">
      <x:c r="A7" s="64" t="str">
        <x:v>​2264327991126155264</x:v>
      </x:c>
      <x:c r="B7" s="65" t="str">
        <x:v>基础题</x:v>
      </x:c>
      <x:c r="C7" s="65" t="str">
        <x:v>基础题</x:v>
      </x:c>
      <x:c r="D7" s="65" t="str">
        <x:v>基础题|中等题</x:v>
      </x:c>
      <x:c r="E7" s="65" t="str">
        <x:v>保留原主标签；相邻档有争议</x:v>
      </x:c>
      <x:c r="F7" s="65" t="str">
        <x:v>中</x:v>
      </x:c>
      <x:c r="G7" s="65" t="str">
        <x:v>基础题</x:v>
      </x:c>
      <x:c r="H7" s="65" t="str">
        <x:v>基础题</x:v>
      </x:c>
      <x:c r="I7" s="65" t="str">
        <x:v>第二轮复核认为现有证据只能证明该题处于相邻档边界，不能排除原GPT主标签。为避免使用模型预测反向拟合真值，保留原主标签，并将另一档记录为可接受等级。</x:v>
      </x:c>
      <x:c r="J7" s="65" t="str">
        <x:v>三次运行错题并集逐题复核</x:v>
      </x:c>
      <x:c r="K7" s="63" t="str">
        <x:v>如图所示，电源电压为6V，闭合开关后，电压表的示数为4V，电流表示数为0.5A，下列描述不正确的是（ ）</x:v>
      </x:c>
      <x:c r="L7" s="63" t="str">
        <x:v>A. 通过L1电流为0.5A B. L1两端电压为4V C. L2电阻值比L1大 D. L1和L2两端电压之和为6V</x:v>
      </x:c>
      <x:c r="M7" s="63" t="str">
        <x:v>解：A、开关闭合后，该电路是串联电路，电流表示数为0.5A，因为串联电路中电流处处相等，所以通过L1电流为0.5A，故A正确； BD、因串联电路中总电压等于各个电压之和，电压表测L2两端的电压，则U2=4V，电源电压为6V，则L1两端电压为U1=U-U2=6V-4V=2V，故B错误、D正确； C、由$R=\frac{U}{I}$可知，L2电阻值比L1大，故C正确。 故选：B。</x:v>
      </x:c>
      <x:c r="N7" s="63" t="str">
        <x:v>https://k12static.xdf.cn/k12/image/externalized/0c8c7584-d0cc-4d03-a02f-3e1da8c012a6.png</x:v>
      </x:c>
      <x:c r="O7" s="63" t="str">
        <x:v>https://k12static.xdf.cn/k12/image/externalized/d5fb6052-9936-45cb-87ad-359cc417ab0b.png</x:v>
      </x:c>
      <x:c r="P7" s="63" t="str">
        <x:v>1-2步</x:v>
      </x:c>
      <x:c r="Q7" s="63" t="str">
        <x:v>电路综合</x:v>
      </x:c>
      <x:c r="R7" s="63" t="str">
        <x:v>单状态</x:v>
      </x:c>
      <x:c r="S7" s="63" t="str">
        <x:v>无约束</x:v>
      </x:c>
      <x:c r="T7" s="63" t="str">
        <x:v>无</x:v>
      </x:c>
      <x:c r="U7" s="63" t="str">
        <x:v>无</x:v>
      </x:c>
      <x:c r="V7" s="63" t="str">
        <x:v>多层因果推理</x:v>
      </x:c>
    </x:row>
    <x:row r="8">
      <x:c r="A8" s="64" t="str">
        <x:v>​2264328088771907584</x:v>
      </x:c>
      <x:c r="B8" s="65" t="str">
        <x:v>基础题</x:v>
      </x:c>
      <x:c r="C8" s="65" t="str">
        <x:v>基础题</x:v>
      </x:c>
      <x:c r="D8" s="65" t="str">
        <x:v>基础题|中等题</x:v>
      </x:c>
      <x:c r="E8" s="65" t="str">
        <x:v>保留原主标签；相邻档有争议</x:v>
      </x:c>
      <x:c r="F8" s="65" t="str">
        <x:v>中</x:v>
      </x:c>
      <x:c r="G8" s="65" t="str">
        <x:v>基础题</x:v>
      </x:c>
      <x:c r="H8" s="65" t="str">
        <x:v>基础题</x:v>
      </x:c>
      <x:c r="I8" s="65" t="str">
        <x:v>第二轮复核认为现有证据只能证明该题处于相邻档边界，不能排除原GPT主标签。为避免使用模型预测反向拟合真值，保留原主标签，并将另一档记录为可接受等级。</x:v>
      </x:c>
      <x:c r="J8" s="65" t="str">
        <x:v>三次运行错题并集逐题复核</x:v>
      </x:c>
      <x:c r="K8" s="63" t="str">
        <x:v>如图所示，L1和L2两个小灯泡接入电源电压为6V的电路中，当开关S闭合时，电压表示数为4V，则下列判断正确的是（ ）</x:v>
      </x:c>
      <x:c r="L8" s="63" t="str">
        <x:v>A. L1两端电压是4V B. L2两端电压是4V C. 当开关S断开时，电压表的示数为4V D. 当开关S断开时，电压表的示数为0</x:v>
      </x:c>
      <x:c r="M8" s="63" t="str">
        <x:v>解：当开关闭合时，两灯串联，电压表测量L2两端的电压，此时电压表示数为4V，即L2两端的电压U2=4V， 由串联电路的电压特点可得，L1两端电压：U1=U-U2=6V-4V=2V； 当开关断开时，电压表通过灯接在电源上，此时电压表测电源电压，则电压表的示数为6V。故B正确，ACD错误。 故选：B。</x:v>
      </x:c>
      <x:c r="N8" s="63" t="str">
        <x:v>https://k12static.xdf.cn/k12/image/externalized/3e218e72-d746-4950-b0d0-d3d28139eb74.png</x:v>
      </x:c>
      <x:c r="O8" s="63" t="str">
        <x:v>https://k12static.xdf.cn/k12/image/externalized/ea70974c-a308-4697-858d-6d49d2560d3b.png</x:v>
      </x:c>
      <x:c r="P8" s="63" t="str">
        <x:v>3-5步</x:v>
      </x:c>
      <x:c r="Q8" s="63" t="str">
        <x:v>电路综合</x:v>
      </x:c>
      <x:c r="R8" s="63" t="str">
        <x:v>双状态</x:v>
      </x:c>
      <x:c r="S8" s="63" t="str">
        <x:v>单一约束</x:v>
      </x:c>
      <x:c r="T8" s="63" t="str">
        <x:v>无</x:v>
      </x:c>
      <x:c r="U8" s="63" t="str">
        <x:v>无</x:v>
      </x:c>
      <x:c r="V8" s="63" t="str">
        <x:v>多层因果推理</x:v>
      </x:c>
    </x:row>
    <x:row r="9">
      <x:c r="A9" s="64" t="str">
        <x:v>​2284416127491153920</x:v>
      </x:c>
      <x:c r="B9" s="65" t="str">
        <x:v>中等题</x:v>
      </x:c>
      <x:c r="C9" s="65" t="str">
        <x:v>中等题</x:v>
      </x:c>
      <x:c r="D9" s="65" t="str">
        <x:v>基础题|中等题</x:v>
      </x:c>
      <x:c r="E9" s="65" t="str">
        <x:v>保留原主标签；相邻档有争议</x:v>
      </x:c>
      <x:c r="F9" s="65" t="str">
        <x:v>中</x:v>
      </x:c>
      <x:c r="G9" s="65" t="str">
        <x:v>中等题</x:v>
      </x:c>
      <x:c r="H9" s="65" t="str">
        <x:v>中等题</x:v>
      </x:c>
      <x:c r="I9" s="65" t="str">
        <x:v>第二轮复核认为现有证据只能证明该题处于相邻档边界，不能排除原GPT主标签。为避免使用模型预测反向拟合真值，保留原主标签，并将另一档记录为可接受等级。</x:v>
      </x:c>
      <x:c r="J9" s="65" t="str">
        <x:v>三次运行错题并集逐题复核</x:v>
      </x:c>
      <x:c r="K9" s="63" t="str">
        <x:v>如图是利用磁悬浮原理浮在空中的盆栽，盆栽底部有永磁体，底座内装有电磁铁。给盆栽慢慢浇水且水没有渗出，盆栽始终处于悬浮状态，下列说法正确的是（ ）</x:v>
      </x:c>
      <x:c r="L9" s="63" t="str">
        <x:v>A. 盆栽受到的磁场力保持不变 B. 底座对水平桌面的压强逐渐增大 C. 若底座上端为N极，盆栽下端可能为S极 D. 只改变底座内电流方向，盆栽还会处于悬浮状态</x:v>
      </x:c>
      <x:c r="M9" s="63" t="str">
        <x:v>解：A．该盆栽悬浮的原理利用了同名磁极相互排斥，当盆栽悬浮在空中静止不动时，受的力是平衡力，即盆栽的总重力和磁力大小相等，当浇水后重力变大，故磁力也变大，故A错误； B．影响压强的因素是压力和受力面积，当浇水后重力变大，磁力也变大，对桌面的压力也变大，根据p=$\frac{F}{S}$在压力变大，受力面积不变时，压强变大，故B正确； C．盆栽悬浮利用的同名磁极相互排斥，所以若底座上端为N极，盆栽下端应为N极，故C错误； D．改变底座内电流的方向，底座的磁极方向就会改变，底座与盆栽之间就会由同名磁极相互排斥改变为异名磁极相互吸引，盆栽不会处于悬浮状态，故D错误。 故选：B。</x:v>
      </x:c>
      <x:c r="N9" s="63" t="str">
        <x:v>https://k12static.xdf.cn/k12/image/externalized/60a40105-f2a1-45bc-86f9-e0f280a20b3b.png</x:v>
      </x:c>
      <x:c r="O9" s="63" t="str">
        <x:v>https://k12static.xdf.cn/k12/image/externalized/0900b181-1130-4863-a329-05d497e9b21f.png</x:v>
      </x:c>
      <x:c r="P9" s="63" t="str">
        <x:v>3-5步</x:v>
      </x:c>
      <x:c r="Q9" s="63" t="str">
        <x:v>概念判断</x:v>
      </x:c>
      <x:c r="R9" s="63" t="str">
        <x:v>单状态</x:v>
      </x:c>
      <x:c r="S9" s="63" t="str">
        <x:v>单一约束</x:v>
      </x:c>
      <x:c r="T9" s="63" t="str">
        <x:v>无</x:v>
      </x:c>
      <x:c r="U9" s="63" t="str">
        <x:v>无</x:v>
      </x:c>
      <x:c r="V9" s="63" t="str">
        <x:v>多层因果推理</x:v>
      </x:c>
    </x:row>
    <x:row r="10">
      <x:c r="A10" s="64" t="str">
        <x:v>​2289144114869739520</x:v>
      </x:c>
      <x:c r="B10" s="65" t="str">
        <x:v>送分题</x:v>
      </x:c>
      <x:c r="C10" s="65" t="str">
        <x:v>送分题</x:v>
      </x:c>
      <x:c r="D10" s="65" t="str">
        <x:v>送分题|基础题</x:v>
      </x:c>
      <x:c r="E10" s="65" t="str">
        <x:v>保留原主标签；相邻档有争议</x:v>
      </x:c>
      <x:c r="F10" s="65" t="str">
        <x:v>中</x:v>
      </x:c>
      <x:c r="G10" s="65" t="str">
        <x:v>送分题</x:v>
      </x:c>
      <x:c r="H10" s="65" t="str">
        <x:v>送分题</x:v>
      </x:c>
      <x:c r="I10" s="65" t="str">
        <x:v>第二轮复核认为现有证据只能证明该题处于相邻档边界，不能排除原GPT主标签。为避免使用模型预测反向拟合真值，保留原主标签，并将另一档记录为可接受等级。</x:v>
      </x:c>
      <x:c r="J10" s="65" t="str">
        <x:v>三次运行错题并集逐题复核</x:v>
      </x:c>
      <x:c r="K10" s="63" t="str">
        <x:v>如图，灯泡处于静止状态。与灯泡所受的重力相互作用的另一个力是（ ）</x:v>
      </x:c>
      <x:c r="L10" s="63" t="str">
        <x:v>A. 灯泡对地球的作用力 B. 天花板对电线的拉力 C. 灯泡对电线的拉力 D. 电线对灯泡的拉力</x:v>
      </x:c>
      <x:c r="M10" s="63" t="str">
        <x:v>解：灯泡所受的重力与电线对灯泡的拉力，这两个力都作用在物体上，大小都等于其重力，方向相反，且在同一直线上。所以这两个力是一对平衡力。 天花板对电线的拉力和灯泡对电线的拉力都是电线受到的，且大小都相等，方向相反，且在同一直线上。所以这两个力是一对平衡力。 灯泡对地球的作用力和灯泡所受的重力，这两个力等大，反向，共线。是灯泡和地球这两个物体之间相互发生的。所以这两个力是一对作用力与反作用力。 故选：A。</x:v>
      </x:c>
      <x:c r="N10" s="63" t="str">
        <x:v>https://k12static.xdf.cn/k12/image/externalized/54e83317-713e-425c-889c-f6be61f38a39.png</x:v>
      </x:c>
      <x:c r="O10" s="63" t="str">
        <x:v>https://k12static.xdf.cn/k12/image/externalized/03ba5ae3-9311-48b9-b8cf-fd4301018f9c.png</x:v>
      </x:c>
      <x:c r="P10" s="63" t="str">
        <x:v>1-2步</x:v>
      </x:c>
      <x:c r="Q10" s="63" t="str">
        <x:v>概念判断</x:v>
      </x:c>
      <x:c r="R10" s="63" t="str">
        <x:v>单状态</x:v>
      </x:c>
      <x:c r="S10" s="63" t="str">
        <x:v>无约束</x:v>
      </x:c>
      <x:c r="T10" s="63" t="str">
        <x:v>无</x:v>
      </x:c>
      <x:c r="U10" s="63" t="str">
        <x:v>无</x:v>
      </x:c>
      <x:c r="V10" s="63" t="str">
        <x:v>简单因果推理</x:v>
      </x:c>
    </x:row>
    <x:row r="11">
      <x:c r="A11" s="64" t="str">
        <x:v>​2289188810121846784</x:v>
      </x:c>
      <x:c r="B11" s="65" t="str">
        <x:v>送分题</x:v>
      </x:c>
      <x:c r="C11" s="65" t="str">
        <x:v>送分题</x:v>
      </x:c>
      <x:c r="D11" s="65" t="str">
        <x:v>送分题|基础题</x:v>
      </x:c>
      <x:c r="E11" s="65" t="str">
        <x:v>保留原主标签；相邻档有争议</x:v>
      </x:c>
      <x:c r="F11" s="65" t="str">
        <x:v>中</x:v>
      </x:c>
      <x:c r="G11" s="65" t="str">
        <x:v>送分题</x:v>
      </x:c>
      <x:c r="H11" s="65" t="str">
        <x:v>送分题</x:v>
      </x:c>
      <x:c r="I11" s="65" t="str">
        <x:v>第二轮复核认为现有证据只能证明该题处于相邻档边界，不能排除原GPT主标签。为避免使用模型预测反向拟合真值，保留原主标签，并将另一档记录为可接受等级。</x:v>
      </x:c>
      <x:c r="J11" s="65" t="str">
        <x:v>三次运行错题并集逐题复核</x:v>
      </x:c>
      <x:c r="K11" s="63" t="str">
        <x:v>用真空采血管抽血时，将采血针一端刺入人体静脉后，另一端插入真空采血管的胶塞，血液便会自动流入采血管。血液能够流进真空采血管的动力来自（ ）</x:v>
      </x:c>
      <x:c r="L11" s="63" t="str">
        <x:v>A. 大气压 B. 人体内血压 C. 护士的拉力 D. 血液自身重力</x:v>
      </x:c>
      <x:c r="M11" s="63" t="str">
        <x:v>解：真空采血管在组装后应保持一定的负压，即真空试管内气体的压强低于大气压，针头插入检查者的静脉时，在检查者体内血压的压力下，血液流入真空采血管。故B正确，ACD错误。 故选：B。</x:v>
      </x:c>
      <x:c r="N11" s="63" t="str">
        <x:v>https://k12static.xdf.cn/k12/image/externalized/8668eb07-e63f-4bea-a67c-cbb484189964.png</x:v>
      </x:c>
      <x:c r="O11" s="63" t="str">
        <x:v>https://k12static.xdf.cn/k12/image/externalized/716c95bd-8aec-4fa2-a762-7a58f043af84.png</x:v>
      </x:c>
      <x:c r="P11" s="63" t="str">
        <x:v>1-2步</x:v>
      </x:c>
      <x:c r="Q11" s="63" t="str">
        <x:v>概念判断</x:v>
      </x:c>
      <x:c r="R11" s="63" t="str">
        <x:v>单状态</x:v>
      </x:c>
      <x:c r="S11" s="63" t="str">
        <x:v>无约束</x:v>
      </x:c>
      <x:c r="T11" s="63" t="str">
        <x:v>无</x:v>
      </x:c>
      <x:c r="U11" s="63" t="str">
        <x:v>无</x:v>
      </x:c>
      <x:c r="V11" s="63" t="str">
        <x:v>简单因果推理</x:v>
      </x:c>
    </x:row>
    <x:row r="12">
      <x:c r="A12" s="64" t="str">
        <x:v>​2290577834254311424</x:v>
      </x:c>
      <x:c r="B12" s="65" t="str">
        <x:v>送分题</x:v>
      </x:c>
      <x:c r="C12" s="65" t="str">
        <x:v>送分题</x:v>
      </x:c>
      <x:c r="D12" s="65" t="str">
        <x:v>送分题|基础题</x:v>
      </x:c>
      <x:c r="E12" s="65" t="str">
        <x:v>保留原主标签；相邻档有争议</x:v>
      </x:c>
      <x:c r="F12" s="65" t="str">
        <x:v>中</x:v>
      </x:c>
      <x:c r="G12" s="65" t="str">
        <x:v>送分题</x:v>
      </x:c>
      <x:c r="H12" s="65" t="str">
        <x:v>基础题</x:v>
      </x:c>
      <x:c r="I12" s="65" t="str">
        <x:v>第二轮复核认为现有证据只能证明该题处于相邻档边界，不能排除原GPT主标签。为避免使用模型预测反向拟合真值，保留原主标签，并将另一档记录为可接受等级。</x:v>
      </x:c>
      <x:c r="J12" s="65" t="str">
        <x:v>三次运行错题并集逐题复核</x:v>
      </x:c>
      <x:c r="K12" s="63" t="str">
        <x:v>如图是筷子夹菜时的杠杆示意图，其中的一根筷子受阻力和动力方向都正确的是（ ）</x:v>
      </x:c>
      <x:c r="L12" s="63" t="str"/>
      <x:c r="M12" s="63" t="str">
        <x:v>解：手对筷子的作用力为动力，其方向与筷子垂直向下；食物对筷子的阻碍力为阻力，其阻力的作用点为筷子与食物的接触点，并且方向垂直筷子向上。 故选：B。</x:v>
      </x:c>
      <x:c r="N12" s="63" t="str">
        <x:v>https://k12static.xdf.cn/k12/image/externalized/9d890203-aa47-4c70-ab8d-44aa836bcf55.png</x:v>
      </x:c>
      <x:c r="O12" s="63" t="str">
        <x:v>https://k12static.xdf.cn/k12/image/externalized/590d071f-3ffc-4347-ac01-a567f5551bd8.png</x:v>
      </x:c>
      <x:c r="P12" s="63" t="str">
        <x:v>1-2步</x:v>
      </x:c>
      <x:c r="Q12" s="63" t="str">
        <x:v>概念判断</x:v>
      </x:c>
      <x:c r="R12" s="63" t="str">
        <x:v>单状态</x:v>
      </x:c>
      <x:c r="S12" s="63" t="str">
        <x:v>无约束</x:v>
      </x:c>
      <x:c r="T12" s="63" t="str">
        <x:v>无</x:v>
      </x:c>
      <x:c r="U12" s="63" t="str">
        <x:v>无</x:v>
      </x:c>
      <x:c r="V12" s="63" t="str">
        <x:v>简单因果推理</x:v>
      </x:c>
    </x:row>
    <x:row r="13">
      <x:c r="A13" s="64" t="str">
        <x:v>​2290668466418765824</x:v>
      </x:c>
      <x:c r="B13" s="65" t="str">
        <x:v>基础题</x:v>
      </x:c>
      <x:c r="C13" s="65" t="str">
        <x:v>基础题</x:v>
      </x:c>
      <x:c r="D13" s="65" t="str">
        <x:v>基础题|中等题</x:v>
      </x:c>
      <x:c r="E13" s="65" t="str">
        <x:v>保留原主标签；相邻档有争议</x:v>
      </x:c>
      <x:c r="F13" s="65" t="str">
        <x:v>中</x:v>
      </x:c>
      <x:c r="G13" s="65" t="str">
        <x:v>基础题</x:v>
      </x:c>
      <x:c r="H13" s="65" t="str">
        <x:v>基础题</x:v>
      </x:c>
      <x:c r="I13" s="65" t="str">
        <x:v>第二轮复核认为现有证据只能证明该题处于相邻档边界，不能排除原GPT主标签。为避免使用模型预测反向拟合真值，保留原主标签，并将另一档记录为可接受等级。</x:v>
      </x:c>
      <x:c r="J13" s="65" t="str">
        <x:v>三次运行错题并集逐题复核</x:v>
      </x:c>
      <x:c r="K13" s="63" t="str">
        <x:v>如图是“探究影响音调高低因素”的实验装置。下列说法正确的是（ ）</x:v>
      </x:c>
      <x:c r="L13" s="63" t="str">
        <x:v>A. 实验中，改变钢尺伸出桌面的长度是为了改变钢尺振动的频率 B. 实验中，保持钢尺振动的振幅相同是运用了控制变量法 C. 钢尺伸出桌面越长，振动越快 D. 钢尺振动得越快，频率越高，发出的声音音调越高</x:v>
      </x:c>
      <x:c r="M13" s="63" t="str">
        <x:v>解：A、实验中，改变钢尺伸出桌面的长度是为了改变钢尺振动的频率，故A正确； B、实验中，保持钢尺振动的振幅相同是运用了控制变量法，故B正确； C、钢尺伸出桌面越长，振动越慢，故C错误； D、钢尺振动得越快，频率越高，发出的声音音调越高，故D正确。 故选：ABD。</x:v>
      </x:c>
      <x:c r="N13" s="63" t="str">
        <x:v>https://k12static.xdf.cn/k12/image/externalized/25f7a426-a303-4a2e-b7fd-6c5d145ae044.png</x:v>
      </x:c>
      <x:c r="O13" s="63" t="str">
        <x:v>https://k12static.xdf.cn/k12/image/externalized/3e798617-750d-480d-88a2-a0e3e06759a8.png</x:v>
      </x:c>
      <x:c r="P13" s="63" t="str">
        <x:v>1-2步</x:v>
      </x:c>
      <x:c r="Q13" s="63" t="str">
        <x:v>概念判断</x:v>
      </x:c>
      <x:c r="R13" s="63" t="str">
        <x:v>单状态</x:v>
      </x:c>
      <x:c r="S13" s="63" t="str">
        <x:v>无约束</x:v>
      </x:c>
      <x:c r="T13" s="63" t="str">
        <x:v>控制变量或故障分析</x:v>
      </x:c>
      <x:c r="U13" s="63" t="str">
        <x:v>无</x:v>
      </x:c>
      <x:c r="V13" s="63" t="str">
        <x:v>简单因果推理</x:v>
      </x:c>
    </x:row>
    <x:row r="14">
      <x:c r="A14" s="64" t="str">
        <x:v>​2291679002701086720</x:v>
      </x:c>
      <x:c r="B14" s="65" t="str">
        <x:v>基础题</x:v>
      </x:c>
      <x:c r="C14" s="65" t="str">
        <x:v>基础题</x:v>
      </x:c>
      <x:c r="D14" s="65" t="str">
        <x:v>基础题|中等题</x:v>
      </x:c>
      <x:c r="E14" s="65" t="str">
        <x:v>保留原主标签；相邻档有争议</x:v>
      </x:c>
      <x:c r="F14" s="65" t="str">
        <x:v>中</x:v>
      </x:c>
      <x:c r="G14" s="65" t="str">
        <x:v>基础题</x:v>
      </x:c>
      <x:c r="H14" s="65" t="str">
        <x:v>基础题</x:v>
      </x:c>
      <x:c r="I14" s="65" t="str">
        <x:v>第二轮复核认为现有证据只能证明该题处于相邻档边界，不能排除原GPT主标签。为避免使用模型预测反向拟合真值，保留原主标签，并将另一档记录为可接受等级。</x:v>
      </x:c>
      <x:c r="J14" s="65" t="str">
        <x:v>三次运行错题并集逐题复核</x:v>
      </x:c>
      <x:c r="K14" s="63" t="str">
        <x:v>某同学用一把分度值为1mm的直尺，先后测量同一木块的厚度，五次测量结果分别是3.12cm、3.14cm、3.32cm、3.12cm、3.12cm。则测量该木块的厚度的记录结果是（ ）</x:v>
      </x:c>
      <x:c r="L14" s="63" t="str">
        <x:v>A. 3.12cm B. 3.125cm C. 3.13cm D. 3.16cm</x:v>
      </x:c>
      <x:c r="M14" s="63" t="str">
        <x:v>解：依据取多次测量平均值的方法，在最后结果除不尽时采取四舍五入，保留到小数点后面两位。 所以木块的厚度=$\frac{3.12cm+3.14cm+3.12cm+3.12cm}{4}$=3.125cm≈3.13cm。 故选：C。</x:v>
      </x:c>
      <x:c r="N14" s="63" t="str">
        <x:v>https://k12static.xdf.cn/k12/image/externalized/7ea07307-740b-465c-b4d6-d3b80f4eaebb.png</x:v>
      </x:c>
      <x:c r="O14" s="63" t="str">
        <x:v>https://k12static.xdf.cn/k12/image/externalized/58042672-45d8-4cd6-9a67-b0addfadb071.png</x:v>
      </x:c>
      <x:c r="P14" s="63" t="str">
        <x:v>1-2步</x:v>
      </x:c>
      <x:c r="Q14" s="63" t="str">
        <x:v>概念判断</x:v>
      </x:c>
      <x:c r="R14" s="63" t="str">
        <x:v>单状态</x:v>
      </x:c>
      <x:c r="S14" s="63" t="str">
        <x:v>无约束</x:v>
      </x:c>
      <x:c r="T14" s="63" t="str">
        <x:v>无</x:v>
      </x:c>
      <x:c r="U14" s="63" t="str">
        <x:v>无</x:v>
      </x:c>
      <x:c r="V14" s="63" t="str">
        <x:v>简单因果推理</x:v>
      </x:c>
    </x:row>
    <x:row r="15">
      <x:c r="A15" s="64" t="str">
        <x:v>​2328296993517297664</x:v>
      </x:c>
      <x:c r="B15" s="65" t="str">
        <x:v>基础题</x:v>
      </x:c>
      <x:c r="C15" s="65" t="str">
        <x:v>基础题</x:v>
      </x:c>
      <x:c r="D15" s="65" t="str">
        <x:v>基础题|中等题</x:v>
      </x:c>
      <x:c r="E15" s="65" t="str">
        <x:v>保留原主标签；相邻档有争议</x:v>
      </x:c>
      <x:c r="F15" s="65" t="str">
        <x:v>中</x:v>
      </x:c>
      <x:c r="G15" s="65" t="str">
        <x:v>基础题</x:v>
      </x:c>
      <x:c r="H15" s="65" t="str">
        <x:v>基础题</x:v>
      </x:c>
      <x:c r="I15" s="65" t="str">
        <x:v>第二轮复核认为现有证据只能证明该题处于相邻档边界，不能排除原GPT主标签。为避免使用模型预测反向拟合真值，保留原主标签，并将另一档记录为可接受等级。</x:v>
      </x:c>
      <x:c r="J15" s="65" t="str">
        <x:v>三次运行错题并集逐题复核</x:v>
      </x:c>
      <x:c r="K15" s="63" t="str">
        <x:v>如图所示的电路，闭合开关后，当滑片P向左移动时，下列说法正确的是（ ）</x:v>
      </x:c>
      <x:c r="L15" s="63" t="str">
        <x:v>A. 灯泡L变亮 B. 电压表示数变大 C. 电流表A1示数变小 D. 电路消耗的总功率变大</x:v>
      </x:c>
      <x:c r="M15" s="63" t="str">
        <x:v>解：由图可知滑动变阻器R与灯L并联，电压表的示数显示的是电源电压，当滑片P向左移动时，电压表的示数不变，故选项B是错误的； 当滑片P向左移动时，不影响灯L所在的支路的电压和电流，所以灯L的亮度不变，故选项A是错误的； 当滑片P向左移动时，灯L所在的支路电流不变，滑动变阻器所在的支路电压不变，电阻减小，电流增大，而电流表A1的示数是干路中的电流，所以A1的示数增大，故选项C是错误的； 当滑片P向左移动时，电路中的总电流增大，总电压不变，由电功率公式P=UI可知电功率增大，故选项D是正确的。 故选：D。</x:v>
      </x:c>
      <x:c r="N15" s="63" t="str">
        <x:v>https://k12static.xdf.cn/k12/image/externalized/52263d8a-feec-4275-993a-7128486acc6b.png</x:v>
      </x:c>
      <x:c r="O15" s="63" t="str">
        <x:v>https://k12static.xdf.cn/k12/image/externalized/31975d05-1a23-48c6-947b-5a3c567f4b95.png</x:v>
      </x:c>
      <x:c r="P15" s="63" t="str">
        <x:v>3-5步</x:v>
      </x:c>
      <x:c r="Q15" s="63" t="str">
        <x:v>电路综合</x:v>
      </x:c>
      <x:c r="R15" s="63" t="str">
        <x:v>双状态</x:v>
      </x:c>
      <x:c r="S15" s="63" t="str">
        <x:v>单一约束</x:v>
      </x:c>
      <x:c r="T15" s="63" t="str">
        <x:v>无</x:v>
      </x:c>
      <x:c r="U15" s="63" t="str">
        <x:v>无</x:v>
      </x:c>
      <x:c r="V15" s="63" t="str">
        <x:v>多层因果推理</x:v>
      </x:c>
    </x:row>
    <x:row r="16">
      <x:c r="A16" s="64" t="str">
        <x:v>​2336939532704858112</x:v>
      </x:c>
      <x:c r="B16" s="65" t="str">
        <x:v>送分题</x:v>
      </x:c>
      <x:c r="C16" s="65" t="str">
        <x:v>送分题</x:v>
      </x:c>
      <x:c r="D16" s="65" t="str">
        <x:v>送分题|基础题</x:v>
      </x:c>
      <x:c r="E16" s="65" t="str">
        <x:v>保留原主标签；相邻档有争议</x:v>
      </x:c>
      <x:c r="F16" s="65" t="str">
        <x:v>中</x:v>
      </x:c>
      <x:c r="G16" s="65" t="str">
        <x:v>送分题</x:v>
      </x:c>
      <x:c r="H16" s="65" t="str">
        <x:v>送分题</x:v>
      </x:c>
      <x:c r="I16" s="65" t="str">
        <x:v>第二轮复核认为现有证据只能证明该题处于相邻档边界，不能排除原GPT主标签。为避免使用模型预测反向拟合真值，保留原主标签，并将另一档记录为可接受等级。</x:v>
      </x:c>
      <x:c r="J16" s="65" t="str">
        <x:v>三次运行错题并集逐题复核</x:v>
      </x:c>
      <x:c r="K16" s="63" t="str">
        <x:v>滑块被固定在光滑斜面底端的压缩弹簧弹出，滑块离开弹簧后沿斜面向上运动的过程中，不考虑空气阻力，关于滑块的受力示意图正确的是（ ）</x:v>
      </x:c>
      <x:c r="L16" s="63" t="str"/>
      <x:c r="M16" s="63" t="str">
        <x:v>解：光滑斜面，则滑块不受摩擦力作用，故只受竖直向下的重力和垂直于斜面向上的支持力作用。 A、图中支持力方向错误，故A错误； B、图中只画了重力和支持力，且其作用点和方向均正确，故B正确； C、图中重力方向错误，故C错误； D、图中画了摩擦力示意图，故D错误。 故选：B。</x:v>
      </x:c>
      <x:c r="N16" s="63" t="str">
        <x:v>https://k12static.xdf.cn/k12/image/externalized/620aa991-21a9-4bed-8b20-73aa098d89e0.png</x:v>
      </x:c>
      <x:c r="O16" s="63" t="str">
        <x:v>https://k12static.xdf.cn/k12/image/externalized/37c54889-8b36-4a2c-a66d-2a413861ddec.png</x:v>
      </x:c>
      <x:c r="P16" s="63" t="str">
        <x:v>1-2步</x:v>
      </x:c>
      <x:c r="Q16" s="63" t="str">
        <x:v>概念判断</x:v>
      </x:c>
      <x:c r="R16" s="63" t="str">
        <x:v>单状态</x:v>
      </x:c>
      <x:c r="S16" s="63" t="str">
        <x:v>无约束</x:v>
      </x:c>
      <x:c r="T16" s="63" t="str">
        <x:v>无</x:v>
      </x:c>
      <x:c r="U16" s="63" t="str">
        <x:v>无</x:v>
      </x:c>
      <x:c r="V16" s="63" t="str">
        <x:v>简单因果推理</x:v>
      </x:c>
    </x:row>
    <x:row r="17">
      <x:c r="A17" s="64" t="str">
        <x:v>​2352775425867919360</x:v>
      </x:c>
      <x:c r="B17" s="65" t="str">
        <x:v>送分题</x:v>
      </x:c>
      <x:c r="C17" s="65" t="str">
        <x:v>送分题</x:v>
      </x:c>
      <x:c r="D17" s="65" t="str">
        <x:v>送分题|基础题</x:v>
      </x:c>
      <x:c r="E17" s="65" t="str">
        <x:v>保留原主标签；相邻档有争议</x:v>
      </x:c>
      <x:c r="F17" s="65" t="str">
        <x:v>中</x:v>
      </x:c>
      <x:c r="G17" s="65" t="str">
        <x:v>送分题</x:v>
      </x:c>
      <x:c r="H17" s="65" t="str">
        <x:v>送分题</x:v>
      </x:c>
      <x:c r="I17" s="65" t="str">
        <x:v>第二轮复核认为现有证据只能证明该题处于相邻档边界，不能排除原GPT主标签。为避免使用模型预测反向拟合真值，保留原主标签，并将另一档记录为可接受等级。</x:v>
      </x:c>
      <x:c r="J17" s="65" t="str">
        <x:v>三次运行错题并集逐题复核</x:v>
      </x:c>
      <x:c r="K17" s="63" t="str">
        <x:v>一张报纸平摊后用剪刀将它剪成相等的四份，其中的一份平放在水平桌面上，则它对桌面的压强约为（ ）</x:v>
      </x:c>
      <x:c r="L17" s="63" t="str">
        <x:v>A. 0.25帕 B. 0.75帕 C. 1帕 D. 4帕</x:v>
      </x:c>
      <x:c r="M17" s="63" t="str">
        <x:v>解：一张报纸对水平桌面的压强约为1Pa。用剪刀将它剪成相等的四份，压力和面积均变为原来的$\frac{1}{4}$，根据$p=\frac{F}{S}$可知，它对桌面的压强不变，仍为1Pa,故C正确。 故选C。</x:v>
      </x:c>
      <x:c r="N17" s="63" t="str">
        <x:v>https://k12static.xdf.cn/k12/image/externalized/c6ea55af-e28a-4353-a596-5930dc0e183c.png</x:v>
      </x:c>
      <x:c r="O17" s="63" t="str">
        <x:v>https://k12static.xdf.cn/k12/image/externalized/dc108d25-84ac-4f60-ab11-cd68c2371480.png</x:v>
      </x:c>
      <x:c r="P17" s="63" t="str">
        <x:v>1-2步</x:v>
      </x:c>
      <x:c r="Q17" s="63" t="str">
        <x:v>概念判断</x:v>
      </x:c>
      <x:c r="R17" s="63" t="str">
        <x:v>单状态</x:v>
      </x:c>
      <x:c r="S17" s="63" t="str">
        <x:v>无约束</x:v>
      </x:c>
      <x:c r="T17" s="63" t="str">
        <x:v>无</x:v>
      </x:c>
      <x:c r="U17" s="63" t="str">
        <x:v>无</x:v>
      </x:c>
      <x:c r="V17" s="63" t="str">
        <x:v>简单因果推理</x:v>
      </x:c>
    </x:row>
    <x:row r="18">
      <x:c r="A18" s="64" t="str">
        <x:v>​2354294166169890816</x:v>
      </x:c>
      <x:c r="B18" s="65" t="str">
        <x:v>基础题</x:v>
      </x:c>
      <x:c r="C18" s="65" t="str">
        <x:v>基础题</x:v>
      </x:c>
      <x:c r="D18" s="65" t="str">
        <x:v>基础题|中等题</x:v>
      </x:c>
      <x:c r="E18" s="65" t="str">
        <x:v>保留原主标签；相邻档有争议</x:v>
      </x:c>
      <x:c r="F18" s="65" t="str">
        <x:v>中</x:v>
      </x:c>
      <x:c r="G18" s="65" t="str">
        <x:v>基础题</x:v>
      </x:c>
      <x:c r="H18" s="65" t="str">
        <x:v>拔高题</x:v>
      </x:c>
      <x:c r="I18" s="65" t="str">
        <x:v>第二轮复核认为现有证据只能证明该题处于相邻档边界，不能排除原GPT主标签。为避免使用模型预测反向拟合真值，保留原主标签，并将另一档记录为可接受等级。</x:v>
      </x:c>
      <x:c r="J18" s="65" t="str">
        <x:v>三次运行错题并集逐题复核</x:v>
      </x:c>
      <x:c r="K18" s="63" t="str">
        <x:v>如图所示是在一个标准大气压p0下完成的托里拆利实验，玻璃管先竖直放置，管内水银上方为真空，再让玻璃管倾斜，水银充满全管，如图所示，玻璃管倾斜后，水银对玻璃管上端压强为（ ）</x:v>
      </x:c>
      <x:c r="L18" s="63" t="str">
        <x:v>A. 2cm水银柱的压强 B. 0 C. 76cm水银柱的压强 D. 74cm水银柱的压强</x:v>
      </x:c>
      <x:c r="M18" s="63" t="str">
        <x:v>解：在一个标准大气压p0下，大气压等于76cm高水银柱产生的压强；让玻璃管倾斜，水银充满全管，水银柱的高度为74cm,水银对玻璃管上端压强等于76cm-74cm=2cm水银柱的压强。故A正确，BCD错误。 故选：A。</x:v>
      </x:c>
      <x:c r="N18" s="63" t="str">
        <x:v>https://k12static.xdf.cn/k12/image/externalized/fe612313-a0b1-43eb-a711-a2b372ddcd25.png</x:v>
      </x:c>
      <x:c r="O18" s="63" t="str">
        <x:v>https://k12static.xdf.cn/k12/image/externalized/0c6d11fb-5e04-4473-985a-2d94559c0aa9.png</x:v>
      </x:c>
      <x:c r="P18" s="63" t="str">
        <x:v>1-2步</x:v>
      </x:c>
      <x:c r="Q18" s="63" t="str">
        <x:v>概念判断</x:v>
      </x:c>
      <x:c r="R18" s="63" t="str">
        <x:v>双状态</x:v>
      </x:c>
      <x:c r="S18" s="63" t="str">
        <x:v>单一约束</x:v>
      </x:c>
      <x:c r="T18" s="63" t="str">
        <x:v>无</x:v>
      </x:c>
      <x:c r="U18" s="63" t="str">
        <x:v>无</x:v>
      </x:c>
      <x:c r="V18" s="63" t="str">
        <x:v>简单因果推理</x:v>
      </x:c>
    </x:row>
    <x:row r="19">
      <x:c r="A19" s="64" t="str">
        <x:v>​2355737047499063296</x:v>
      </x:c>
      <x:c r="B19" s="65" t="str">
        <x:v>拔高题</x:v>
      </x:c>
      <x:c r="C19" s="65" t="str">
        <x:v>中等题</x:v>
      </x:c>
      <x:c r="D19" s="65" t="str">
        <x:v>中等题|拔高题</x:v>
      </x:c>
      <x:c r="E19" s="65" t="str">
        <x:v>修订GPT主标签</x:v>
      </x:c>
      <x:c r="F19" s="65" t="str">
        <x:v>高</x:v>
      </x:c>
      <x:c r="G19" s="65" t="str">
        <x:v>拔高题</x:v>
      </x:c>
      <x:c r="H19" s="65" t="str">
        <x:v>拔高题</x:v>
      </x:c>
      <x:c r="I19" s="65" t="str">
        <x:v>需要围绕标准实验流程、读数与数据归纳完成常规的3—4个有效决策，或完成一套完整标准实验/共享过程分析。关系仍显性、方法常规，没有决定性隐含转换、复杂边界筛选或多状态强耦合。</x:v>
      </x:c>
      <x:c r="J19" s="65" t="str">
        <x:v>三次运行错题并集逐题复核</x:v>
      </x:c>
      <x:c r="K19" s="63" t="str">
        <x:v>某同学在做萘的熔解[熔化]实验时，根据记录的数据，画出了如图所示的曲线。如果记录和作图没有错误，则以下判断中错误的是（ ）</x:v>
      </x:c>
      <x:c r="L19" s="63" t="str">
        <x:v>A. 在t1时刻刚停止加热，t2时刻又开始加热 B. 在t=0的时刻显示的温度就是萘的熔点 C. 在0～t1的时间内含有萘的放热过程 D. 在t1～t2的时间内萘在不断地放出热量</x:v>
      </x:c>
      <x:c r="M19" s="63" t="str">
        <x:v>解：A、这个图显示的应该是萘从固液混合态慢慢冷却之后又加热的过程。所以“在t1时刻刚停止加热，t2时刻又开始加热”的前半句是错误的。 B、0到t1是萘正在结晶的过程，这个过程中液态的萘不断变成固态的萘，但因为是晶体而不会有温度变化，但凝固过程肯定是放热的，当然是不需要加热的。所以“在t=0的时刻显示的温度就是萘的熔点”； C、“在0～t1的时间内含有萘的放热过程”是正确的； D、t1到t2的时间段里，萘已经全部是固体了，但由于温度还比常温高，所以仍在放热冷却，所以“在t1～t2的时间内萘在不断地放出热量”正确。 故选：A。</x:v>
      </x:c>
      <x:c r="N19" s="63" t="str">
        <x:v>https://k12static.xdf.cn/k12/image/externalized/18da4178-ba49-4f46-b936-8fac5dc06c14.png</x:v>
      </x:c>
      <x:c r="O19" s="63" t="str">
        <x:v>https://k12static.xdf.cn/k12/image/externalized/88a2e8c7-64af-4759-b5c7-4b9f314f4dfd.png</x:v>
      </x:c>
      <x:c r="P19" s="63" t="str">
        <x:v>3-5步</x:v>
      </x:c>
      <x:c r="Q19" s="63" t="str">
        <x:v>概念判断</x:v>
      </x:c>
      <x:c r="R19" s="63" t="str">
        <x:v>双状态</x:v>
      </x:c>
      <x:c r="S19" s="63" t="str">
        <x:v>无约束</x:v>
      </x:c>
      <x:c r="T19" s="63" t="str">
        <x:v>无</x:v>
      </x:c>
      <x:c r="U19" s="63" t="str">
        <x:v>多组比较归纳</x:v>
      </x:c>
      <x:c r="V19" s="63" t="str">
        <x:v>多层因果推理</x:v>
      </x:c>
    </x:row>
    <x:row r="20">
      <x:c r="A20" s="64" t="str">
        <x:v>​2359091761527738368</x:v>
      </x:c>
      <x:c r="B20" s="65" t="str">
        <x:v>拔高题</x:v>
      </x:c>
      <x:c r="C20" s="65" t="str">
        <x:v>中等题</x:v>
      </x:c>
      <x:c r="D20" s="65" t="str">
        <x:v>中等题|拔高题</x:v>
      </x:c>
      <x:c r="E20" s="65" t="str">
        <x:v>修订GPT主标签</x:v>
      </x:c>
      <x:c r="F20" s="65" t="str">
        <x:v>高</x:v>
      </x:c>
      <x:c r="G20" s="65" t="str">
        <x:v>拔高题</x:v>
      </x:c>
      <x:c r="H20" s="65" t="str">
        <x:v>拔高题</x:v>
      </x:c>
      <x:c r="I20" s="65" t="str">
        <x:v>需要围绕力学模型、运动/受力与能量关系完成常规的3—4个有效决策，或完成一套完整标准实验/共享过程分析。关系仍显性、方法常规，没有决定性隐含转换、复杂边界筛选或多状态强耦合。</x:v>
      </x:c>
      <x:c r="J20" s="65" t="str">
        <x:v>三次运行错题并集逐题复核</x:v>
      </x:c>
      <x:c r="K20" s="63" t="str">
        <x:v>随着人们生活水平的日益提高，小汽车越来越多地走进了百姓人家。一辆使用汽油为燃料的小汽车，以72km/h的速度在水平路面上匀速行驶时，发动机的实际功率为20kW；若小汽车行驶的路程为108km,汽油的热值q=4.6×107J/kg,小汽车发动机的效率为25%。则关于小汽车在这段路程中，下列说法正确的是（ ）</x:v>
      </x:c>
      <x:c r="L20" s="63" t="str">
        <x:v>A. 运动的时间为1.2h B. 发动机所做的功为1.08×108J C. 汽车所受的阻力为1000N D. 消耗汽油的质量为5kg</x:v>
      </x:c>
      <x:c r="M20" s="63" t="str">
        <x:v>解：A、运动的时间t=$\frac{s}{v}$=$\frac{108km}{72km/h}$=1.5h,故A错误。 B、发动机所做的功W有=Pt=20×103W×1.5×3600s=1.08×108J，故B正确。 C、汽车的牵引力F=$\frac{P}{v}$=$\frac{20×10^{3}W}{20\;m/s}$=103N，因为汽车的功率是20kW，汽车做匀速运动，所以阻力等于牵引力，为1000N，故C正确。 D、汽油燃烧放出的热量Q=$\frac{{W}_{有}}{η}$=$\frac{1.08×1{0}^{8}J}{0.25}$=4.32×108J，消耗汽油的质量m=$\frac{Q}{q}$=$\frac{4.32×1{0}^{8}J}{4.6×1{0}^{7}J}$≈9.4kg,故D错误。 故选：BC。</x:v>
      </x:c>
      <x:c r="N20" s="63" t="str">
        <x:v>https://k12static.xdf.cn/k12/image/externalized/57f7fa94-b4e4-4119-b2ad-0898401cd827.png</x:v>
      </x:c>
      <x:c r="O20" s="63" t="str">
        <x:v>https://k12static.xdf.cn/k12/image/externalized/82475d13-8dee-4fd0-a6d9-6407742074fc.png</x:v>
      </x:c>
      <x:c r="P20" s="63" t="str">
        <x:v>3-5步</x:v>
      </x:c>
      <x:c r="Q20" s="63" t="str">
        <x:v>热学综合</x:v>
      </x:c>
      <x:c r="R20" s="63" t="str">
        <x:v>单状态</x:v>
      </x:c>
      <x:c r="S20" s="63" t="str">
        <x:v>无约束</x:v>
      </x:c>
      <x:c r="T20" s="63" t="str">
        <x:v>无</x:v>
      </x:c>
      <x:c r="U20" s="63" t="str">
        <x:v>无</x:v>
      </x:c>
      <x:c r="V20" s="63" t="str">
        <x:v>多层因果推理</x:v>
      </x:c>
    </x:row>
    <x:row r="21">
      <x:c r="A21" s="64" t="str">
        <x:v>​2426721994671964160</x:v>
      </x:c>
      <x:c r="B21" s="65" t="str">
        <x:v>基础题</x:v>
      </x:c>
      <x:c r="C21" s="65" t="str">
        <x:v>基础题</x:v>
      </x:c>
      <x:c r="D21" s="65" t="str">
        <x:v>基础题|中等题</x:v>
      </x:c>
      <x:c r="E21" s="65" t="str">
        <x:v>保留原主标签；相邻档有争议</x:v>
      </x:c>
      <x:c r="F21" s="65" t="str">
        <x:v>中</x:v>
      </x:c>
      <x:c r="G21" s="65" t="str">
        <x:v>基础题</x:v>
      </x:c>
      <x:c r="H21" s="65" t="str">
        <x:v>基础题</x:v>
      </x:c>
      <x:c r="I21" s="65" t="str">
        <x:v>第二轮复核认为现有证据只能证明该题处于相邻档边界，不能排除原GPT主标签。为避免使用模型预测反向拟合真值，保留原主标签，并将另一档记录为可接受等级。</x:v>
      </x:c>
      <x:c r="J21" s="65" t="str">
        <x:v>三次运行错题并集逐题复核</x:v>
      </x:c>
      <x:c r="K21" s="63" t="str">
        <x:v>如图是无线电广播工作过程的简易图。话筒把播音员的 转换成 信号，调制器把音频信号加载到 电流上发射到空中，收音机接收到各种电磁波并从中选出特定频率的信号。通过解调将 信号留下，通过 把播音员的声音从收音机播放出来。</x:v>
      </x:c>
      <x:c r="L21" s="63" t="str"/>
      <x:c r="M21" s="63" t="str">
        <x:v>解：话筒将声信号转化为音频电信号，而后该信号经调制器后加载在高频电磁波上，然后由天线发射到空中； 收音机接收装置收到空中的各种电磁波，并通过调谐器从众多的电磁波中找出特定频率的信号，通过调谐器选出音频电信号，送到扬声器即可发出声音。 故答案为：声信号；电；高频；音频；扬声器。</x:v>
      </x:c>
      <x:c r="N21" s="63" t="str">
        <x:v>https://k12static.xdf.cn/k12/image/externalized/4e61b545-2555-40d7-9c78-f27ad2ea55dd.png</x:v>
      </x:c>
      <x:c r="O21" s="63" t="str">
        <x:v>https://k12static.xdf.cn/k12/image/externalized/a64c78b7-1fbd-4ae5-b3bf-14a1279ac709.png</x:v>
      </x:c>
      <x:c r="P21" s="63" t="str">
        <x:v>1-2步</x:v>
      </x:c>
      <x:c r="Q21" s="63" t="str">
        <x:v>概念判断</x:v>
      </x:c>
      <x:c r="R21" s="63" t="str">
        <x:v>单状态</x:v>
      </x:c>
      <x:c r="S21" s="63" t="str">
        <x:v>无约束</x:v>
      </x:c>
      <x:c r="T21" s="63" t="str">
        <x:v>无</x:v>
      </x:c>
      <x:c r="U21" s="63" t="str">
        <x:v>无</x:v>
      </x:c>
      <x:c r="V21" s="63" t="str">
        <x:v>直接套用</x:v>
      </x:c>
    </x:row>
    <x:row r="22">
      <x:c r="A22" s="64" t="str">
        <x:v>​2426820619775299584</x:v>
      </x:c>
      <x:c r="B22" s="65" t="str">
        <x:v>中等题</x:v>
      </x:c>
      <x:c r="C22" s="65" t="str">
        <x:v>拔高题</x:v>
      </x:c>
      <x:c r="D22" s="65" t="str">
        <x:v>中等题|拔高题</x:v>
      </x:c>
      <x:c r="E22" s="65" t="str">
        <x:v>修订GPT主标签</x:v>
      </x:c>
      <x:c r="F22" s="65" t="str">
        <x:v>高</x:v>
      </x:c>
      <x:c r="G22" s="65" t="str">
        <x:v>中等题</x:v>
      </x:c>
      <x:c r="H22" s="65" t="str">
        <x:v>拔高题</x:v>
      </x:c>
      <x:c r="I22" s="65" t="str">
        <x:v>最高难任务在受力、浮力/压强与状态变化中包含图线反推、状态转换、误差评价、几何/等效转换、方程联立或参数反求等决定性卡点，整体约5—6个有效决策；尚未形成压轴所需的完整复杂约束网络。</x:v>
      </x:c>
      <x:c r="J22" s="65" t="str">
        <x:v>三次运行错题并集逐题复核</x:v>
      </x:c>
      <x:c r="K22" s="63" t="str">
        <x:v>如图所示，底面积不同的物体甲、乙分别放置在水平地面上，它们对地面的压强相等。若在两物体上方分别水平截去部分物体后，剩余部分物体对地面的压强仍然相等，则截去部分的物体可能具有（ ）​</x:v>
      </x:c>
      <x:c r="L22" s="63" t="str">
        <x:v>A. 相同的高度，不同的质量 B. 相同的体积，不同的质量 C. 相同的质量，不同的高度 D. 相同的质量，不同的体积</x:v>
      </x:c>
      <x:c r="M22" s="63" t="str">
        <x:v>解：CD、已知底面积不同的物体甲、乙分别放置在水平地面上，它们对地面的压强相等，即p甲=p乙，由图可知，S甲＞S乙，由p=$\frac{F}{S}$可知，甲、乙对地面的压力F甲＞F乙，则G甲＞G乙，m甲＞m乙， 若在两物体上方分别水平截去部分物体后，剩余部分物体对地面的压强仍然相等，即p甲剩=p乙剩， 设水平截去部分物体的质量分别为m甲切、m乙切，则$\frac{{F}_{甲}-{m}_{甲切}g}{{S}_{甲}}$=$\frac{{F}_{乙}-{m}_{乙切}g}{{S}_{乙}}$， 因为F甲＞F乙，S甲＞S乙，所以截去部分的物体质量m甲切＞m乙切，因此截去部分的物体质量不可能相同，故CD错误； AB、已知底面积不同的物体甲、乙分别放置在水平地面上，它们对地面的压强相等，即p甲=p乙， 由图可知，h甲＜h乙，由p=$\frac{F}{S}$=$\frac{G}{S}$=$\frac{mg}{S}$=$\frac{ρVgh}{S}$=ρgh可知，甲、乙的密度关系ρ甲＞ρ乙， 若截取相同的高度，则剩余部分物体对地面的压强不会相等，故A错误； 已经推出m甲切＞m乙切，由ρ=$\frac{m}{V}$可得，截去部分的物体体积可能相同，也可能不同，故B正确。 故选：B。</x:v>
      </x:c>
      <x:c r="N22" s="63" t="str">
        <x:v>https://k12static.xdf.cn/k12/image/externalized/5e2ee2fc-2c61-417e-9aea-e6ef0927d8c3.png</x:v>
      </x:c>
      <x:c r="O22" s="63" t="str">
        <x:v>https://k12static.xdf.cn/k12/image/externalized/9f7ac9e1-d411-4063-a362-f50741d690b5.png</x:v>
      </x:c>
      <x:c r="P22" s="63" t="str">
        <x:v>3-5步</x:v>
      </x:c>
      <x:c r="Q22" s="63" t="str">
        <x:v>力学综合</x:v>
      </x:c>
      <x:c r="R22" s="63" t="str">
        <x:v>双状态</x:v>
      </x:c>
      <x:c r="S22" s="63" t="str">
        <x:v>单一约束</x:v>
      </x:c>
      <x:c r="T22" s="63" t="str">
        <x:v>无</x:v>
      </x:c>
      <x:c r="U22" s="63" t="str">
        <x:v>无</x:v>
      </x:c>
      <x:c r="V22" s="63" t="str">
        <x:v>多层因果推理</x:v>
      </x:c>
    </x:row>
    <x:row r="23">
      <x:c r="A23" s="64" t="str">
        <x:v>​2428756805070626816</x:v>
      </x:c>
      <x:c r="B23" s="65" t="str">
        <x:v>基础题</x:v>
      </x:c>
      <x:c r="C23" s="65" t="str">
        <x:v>基础题</x:v>
      </x:c>
      <x:c r="D23" s="65" t="str">
        <x:v>基础题|中等题</x:v>
      </x:c>
      <x:c r="E23" s="65" t="str">
        <x:v>保留原主标签；相邻档有争议</x:v>
      </x:c>
      <x:c r="F23" s="65" t="str">
        <x:v>中</x:v>
      </x:c>
      <x:c r="G23" s="65" t="str">
        <x:v>基础题</x:v>
      </x:c>
      <x:c r="H23" s="65" t="str">
        <x:v>基础题</x:v>
      </x:c>
      <x:c r="I23" s="65" t="str">
        <x:v>第二轮复核认为现有证据只能证明该题处于相邻档边界，不能排除原GPT主标签。为避免使用模型预测反向拟合真值，保留原主标签，并将另一档记录为可接受等级。</x:v>
      </x:c>
      <x:c r="J23" s="65" t="str">
        <x:v>三次运行错题并集逐题复核</x:v>
      </x:c>
      <x:c r="K23" s="63" t="str">
        <x:v>如图所示，一块长为L、质量分布均匀的木板A放在水平桌面上，板A右端与桌边相齐，在板的右端施一水平力F使板A右端缓慢地离开桌边$\frac{1}{3}$，在板A移动过程中，下列说法正确的是（ ）</x:v>
      </x:c>
      <x:c r="L23" s="63" t="str">
        <x:v>A. A对桌面的摩擦力不断变小 B. A对桌面的弹力是桌面形变产生的 C. A对桌面的压强不变 D. 桌面对A的弹力不变</x:v>
      </x:c>
      <x:c r="M23" s="63" t="str">
        <x:v>解：A、因滑动摩擦力的大小只与接触面的粗糙程度和压力的大小有关， 所以，在板的右端施一水平力F使板A右端缓慢地离开桌边$\frac{1}{3}$时，压力和接触面的粗糙程度不变， 所以，A受到桌面的摩擦力不变，故A错误； B、A对桌面的弹力是A发生形变产生的，故B错误； C、因水平面上物体的压力和自身的重力相等， 所以，在板A移动过程中，A对桌面的压力不变，因在板的右端施一水平力F使板A右端缓慢地离开桌边$\frac{1}{3}$时，木板与桌面的接触面积变小，受力面积变小，所以，由p=$\frac{F}{S}$可知，A对桌面的压强变大，故C错误； D、桌面对A的弹力与A对桌面的压力是一对相互作用力，大小相等，由于A对桌面的压力不变，所以桌面对A的弹力不变，故D正确。 故选：D。</x:v>
      </x:c>
      <x:c r="N23" s="63" t="str">
        <x:v>https://k12static.xdf.cn/k12/image/externalized/e85826ae-4ab8-4603-9d0f-1e48934115e6.png</x:v>
      </x:c>
      <x:c r="O23" s="63" t="str">
        <x:v>https://k12static.xdf.cn/k12/image/externalized/16f7fa04-3866-4d5a-8486-cb6a1fbb98e9.png</x:v>
      </x:c>
      <x:c r="P23" s="63" t="str">
        <x:v>1-2步</x:v>
      </x:c>
      <x:c r="Q23" s="63" t="str">
        <x:v>概念判断</x:v>
      </x:c>
      <x:c r="R23" s="63" t="str">
        <x:v>连续变化</x:v>
      </x:c>
      <x:c r="S23" s="63" t="str">
        <x:v>无约束</x:v>
      </x:c>
      <x:c r="T23" s="63" t="str">
        <x:v>无</x:v>
      </x:c>
      <x:c r="U23" s="63" t="str">
        <x:v>无</x:v>
      </x:c>
      <x:c r="V23" s="63" t="str">
        <x:v>多层因果推理</x:v>
      </x:c>
    </x:row>
    <x:row r="24">
      <x:c r="A24" s="64" t="str">
        <x:v>​2483355573030768640</x:v>
      </x:c>
      <x:c r="B24" s="65" t="str">
        <x:v>送分题</x:v>
      </x:c>
      <x:c r="C24" s="65" t="str">
        <x:v>送分题</x:v>
      </x:c>
      <x:c r="D24" s="65" t="str">
        <x:v>送分题|基础题</x:v>
      </x:c>
      <x:c r="E24" s="65" t="str">
        <x:v>保留原主标签；相邻档有争议</x:v>
      </x:c>
      <x:c r="F24" s="65" t="str">
        <x:v>中</x:v>
      </x:c>
      <x:c r="G24" s="65" t="str">
        <x:v>送分题</x:v>
      </x:c>
      <x:c r="H24" s="65" t="str">
        <x:v>送分题</x:v>
      </x:c>
      <x:c r="I24" s="65" t="str">
        <x:v>第二轮复核认为现有证据只能证明该题处于相邻档边界，不能排除原GPT主标签。为避免使用模型预测反向拟合真值，保留原主标签，并将另一档记录为可接受等级。</x:v>
      </x:c>
      <x:c r="J24" s="65" t="str">
        <x:v>三次运行错题并集逐题复核</x:v>
      </x:c>
      <x:c r="K24" s="63" t="str">
        <x:v>将一个体育测试用的实心球和一个乒乓球同时没入水中，放手后发现：实心球沉入水底。而乒乓球浮出水面，如图所示。比较实心球和乒乓球没入水中时受到的浮力大小，则（ ）</x:v>
      </x:c>
      <x:c r="L24" s="63" t="str">
        <x:v>A. 实心球受到的浮力大 B. 乒乓球受到的浮力大 C. 它们受到的浮力一样大 D. 不能确定</x:v>
      </x:c>
      <x:c r="M24" s="63" t="str">
        <x:v>解：两球没入水中后，实心球排开水的体积较大，由F浮=ρ水gV排可知，实心球受到的浮力较大，A正确，BCD错误。 故选：A。</x:v>
      </x:c>
      <x:c r="N24" s="63" t="str">
        <x:v>https://k12static.xdf.cn/k12/image/externalized/41511d35-8de5-4dec-b063-2dbb2afa2e32.png</x:v>
      </x:c>
      <x:c r="O24" s="63" t="str">
        <x:v>https://k12static.xdf.cn/k12/image/externalized/379b1538-4b3c-4912-b35d-999d77bd2c88.png</x:v>
      </x:c>
      <x:c r="P24" s="63" t="str">
        <x:v>1-2步</x:v>
      </x:c>
      <x:c r="Q24" s="63" t="str">
        <x:v>概念判断</x:v>
      </x:c>
      <x:c r="R24" s="63" t="str">
        <x:v>单状态</x:v>
      </x:c>
      <x:c r="S24" s="63" t="str">
        <x:v>无约束</x:v>
      </x:c>
      <x:c r="T24" s="63" t="str">
        <x:v>无</x:v>
      </x:c>
      <x:c r="U24" s="63" t="str">
        <x:v>无</x:v>
      </x:c>
      <x:c r="V24" s="63" t="str">
        <x:v>简单因果推理</x:v>
      </x:c>
    </x:row>
    <x:row r="25">
      <x:c r="A25" s="64" t="str">
        <x:v>​2533842913537921024</x:v>
      </x:c>
      <x:c r="B25" s="65" t="str">
        <x:v>基础题</x:v>
      </x:c>
      <x:c r="C25" s="65" t="str">
        <x:v>基础题</x:v>
      </x:c>
      <x:c r="D25" s="65" t="str">
        <x:v>基础题|中等题</x:v>
      </x:c>
      <x:c r="E25" s="65" t="str">
        <x:v>保留原主标签；相邻档有争议</x:v>
      </x:c>
      <x:c r="F25" s="65" t="str">
        <x:v>中</x:v>
      </x:c>
      <x:c r="G25" s="65" t="str">
        <x:v>基础题</x:v>
      </x:c>
      <x:c r="H25" s="65" t="str">
        <x:v>基础题</x:v>
      </x:c>
      <x:c r="I25" s="65" t="str">
        <x:v>第二轮复核认为现有证据只能证明该题处于相邻档边界，不能排除原GPT主标签。为避免使用模型预测反向拟合真值，保留原主标签，并将另一档记录为可接受等级。</x:v>
      </x:c>
      <x:c r="J25" s="65" t="str">
        <x:v>三次运行错题并集逐题复核</x:v>
      </x:c>
      <x:c r="K25" s="63" t="str">
        <x:v>分子很小，看不见摸不着，但我们可以通过一些直接感知的现象经过合理的推测来认识分子的一些性质，下列推测既合理又符合事实的有（ ）个。 ①现象：在空调房间内吸烟看到烟雾在空中弥漫；推测：分子在做无规则运动 ②现象：注射器内封住的水很难被压缩；推测：分子之间没有间隙 ③现象：磁铁上吸住了很多小铁钉；推测：分子之间存在引力作用 ④现象：打开酒精瓶的瓶塞后，教室里弥漫着酒精味；推测：分子在做无规则运动 ⑤现象：破镜不能重圆；推测：分子间有排斥力</x:v>
      </x:c>
      <x:c r="L25" s="63" t="str">
        <x:v>A. 1个 B. 2个 C. 3个 D. 4个</x:v>
      </x:c>
      <x:c r="M25" s="63" t="str">
        <x:v>解：①看到烟雾在空中弥漫，是固体小颗粒的运动，属于机械运动，不能说明分子在做无规则运动，故①错误； ②注射器内的水很难压缩正是由于分子间存在着强大的斥力的缘故，分子之间有间隙，故②错误； ③磁铁上吸住了很多小铁钉是因为小铁钉受到磁力的作用，故③错误； ④打开酒精瓶的瓶塞后，教室里弥漫着酒精味，说明分子在做无规则运动，故④正确； ⑤破镜不能重圆是因为分子间的距离没有达到分子力作用范围，故⑤错误。 故选：A。</x:v>
      </x:c>
      <x:c r="N25" s="63" t="str">
        <x:v>https://k12static.xdf.cn/k12/image/externalized/1a7a482a-2f06-4449-afd2-5ab4ae019935.png</x:v>
      </x:c>
      <x:c r="O25" s="63" t="str">
        <x:v>https://k12static.xdf.cn/k12/image/externalized/1ca4bcde-07f3-46b9-900b-e8827b2cc99c.png</x:v>
      </x:c>
      <x:c r="P25" s="63" t="str">
        <x:v>1-2步</x:v>
      </x:c>
      <x:c r="Q25" s="63" t="str">
        <x:v>概念判断</x:v>
      </x:c>
      <x:c r="R25" s="63" t="str">
        <x:v>单状态</x:v>
      </x:c>
      <x:c r="S25" s="63" t="str">
        <x:v>无约束</x:v>
      </x:c>
      <x:c r="T25" s="63" t="str">
        <x:v>无</x:v>
      </x:c>
      <x:c r="U25" s="63" t="str">
        <x:v>无</x:v>
      </x:c>
      <x:c r="V25" s="63" t="str">
        <x:v>简单因果推理</x:v>
      </x:c>
    </x:row>
    <x:row r="26">
      <x:c r="A26" s="64" t="str">
        <x:v>​2538082621992771584</x:v>
      </x:c>
      <x:c r="B26" s="65" t="str">
        <x:v>送分题</x:v>
      </x:c>
      <x:c r="C26" s="65" t="str">
        <x:v>基础题</x:v>
      </x:c>
      <x:c r="D26" s="65" t="str">
        <x:v>送分题|基础题</x:v>
      </x:c>
      <x:c r="E26" s="65" t="str">
        <x:v>修订GPT主标签</x:v>
      </x:c>
      <x:c r="F26" s="65" t="str">
        <x:v>高</x:v>
      </x:c>
      <x:c r="G26" s="65" t="str">
        <x:v>基础题</x:v>
      </x:c>
      <x:c r="H26" s="65" t="str">
        <x:v>中等题</x:v>
      </x:c>
      <x:c r="I26" s="65" t="str">
        <x:v>需要将光的折射规律映射到水中刻度的视觉变化，超过送分题的直接检索，但最长链仍只有1—2个常规决策，不足以达到中等题。</x:v>
      </x:c>
      <x:c r="J26" s="65" t="str">
        <x:v>三次运行错题并集逐题复核</x:v>
      </x:c>
      <x:c r="K26" s="63" t="str">
        <x:v>如图所示，将刻度尺斜插入水中，从水面上看去，水中尺子的刻度情况（ ）</x:v>
      </x:c>
      <x:c r="L26" s="63" t="str">
        <x:v>A. 变得疏了 B. 变得密了 C. 一部分变疏一部分变密 D. 疏密没有变化</x:v>
      </x:c>
      <x:c r="M26" s="63" t="str">
        <x:v>解：将刻度尺斜插入水中，从水中的尺子上反射出的光线由水中斜射入空气时，在水面上发生折射，折射角大于入射角，折射光线进入人眼，人眼会逆着折射光线的方向看去，就会觉得尺子变短了，所以水中尺子的刻度看起来变得密了。 故选：B。</x:v>
      </x:c>
      <x:c r="N26" s="63" t="str">
        <x:v>https://k12static.xdf.cn/k12/image/externalized/86378710-5a54-4e2e-9176-d4b0ed65ce6d.png</x:v>
      </x:c>
      <x:c r="O26" s="63" t="str">
        <x:v>https://k12static.xdf.cn/k12/image/externalized/86c97aad-a436-4963-a1e1-02fdd382411f.png</x:v>
      </x:c>
      <x:c r="P26" s="63" t="str">
        <x:v>1-2步</x:v>
      </x:c>
      <x:c r="Q26" s="63" t="str">
        <x:v>光学声学综合</x:v>
      </x:c>
      <x:c r="R26" s="63" t="str">
        <x:v>单状态</x:v>
      </x:c>
      <x:c r="S26" s="63" t="str">
        <x:v>无约束</x:v>
      </x:c>
      <x:c r="T26" s="63" t="str">
        <x:v>无</x:v>
      </x:c>
      <x:c r="U26" s="63" t="str">
        <x:v>无</x:v>
      </x:c>
      <x:c r="V26" s="63" t="str">
        <x:v>简单因果推理</x:v>
      </x:c>
    </x:row>
    <x:row r="27">
      <x:c r="A27" s="64" t="str">
        <x:v>​2540318633685504000</x:v>
      </x:c>
      <x:c r="B27" s="65" t="str">
        <x:v>基础题</x:v>
      </x:c>
      <x:c r="C27" s="65" t="str">
        <x:v>基础题</x:v>
      </x:c>
      <x:c r="D27" s="65" t="str">
        <x:v>基础题|中等题</x:v>
      </x:c>
      <x:c r="E27" s="65" t="str">
        <x:v>保留原主标签；相邻档有争议</x:v>
      </x:c>
      <x:c r="F27" s="65" t="str">
        <x:v>中</x:v>
      </x:c>
      <x:c r="G27" s="65" t="str">
        <x:v>基础题</x:v>
      </x:c>
      <x:c r="H27" s="65" t="str">
        <x:v>基础题</x:v>
      </x:c>
      <x:c r="I27" s="65" t="str">
        <x:v>第二轮复核认为现有证据只能证明该题处于相邻档边界，不能排除原GPT主标签。为避免使用模型预测反向拟合真值，保留原主标签，并将另一档记录为可接受等级。</x:v>
      </x:c>
      <x:c r="J27" s="65" t="str">
        <x:v>三次运行错题并集逐题复核</x:v>
      </x:c>
      <x:c r="K27" s="63" t="str">
        <x:v>小明利用如图所示的装置探究杠杆的平衡条件，对于该实验，下列说法正确的是（ ）</x:v>
      </x:c>
      <x:c r="L27" s="63" t="str">
        <x:v>A. 实验过程中，应控制一侧的钩码数量及位置不变，用到了控制变量法 B. 实验结论表明“动力×支点到动力作用点的距离=阻力×支点到阻力作用点的距离” C. 应该用质量可忽略的轻质杠杆进行实验，否则杠杆的自重会对实验造成影响 D. 为了让实验结论更具有普遍性，既可以改变钩码的数量，又可以改变钩码的位置</x:v>
      </x:c>
      <x:c r="M27" s="63" t="str">
        <x:v>解：AD．实验过程中，为了得到普遍规律，既可以改变钩码的数量，又可以改变钩码的位置，进行多次实验，没有用到控制变量法。故A错误，D正确； B．力臂是支点到力的作用线的距离，实验结论表明“动力×动力臂=阻力×阻力臂”，故B错误； C．实验中只需将杠杆的重心通过支点，就可以避免杠杆的自重会对实验造成的影响，故C错误。 故选：D。</x:v>
      </x:c>
      <x:c r="N27" s="63" t="str">
        <x:v>https://k12static.xdf.cn/k12/image/externalized/2b36ff4c-3f4d-4438-864b-43ea2d85fc1e.png</x:v>
      </x:c>
      <x:c r="O27" s="63" t="str">
        <x:v>https://k12static.xdf.cn/k12/image/externalized/8e64d731-3243-4d19-92af-92c708ae3dba.png</x:v>
      </x:c>
      <x:c r="P27" s="63" t="str">
        <x:v>1-2步</x:v>
      </x:c>
      <x:c r="Q27" s="63" t="str">
        <x:v>概念判断</x:v>
      </x:c>
      <x:c r="R27" s="63" t="str">
        <x:v>单状态</x:v>
      </x:c>
      <x:c r="S27" s="63" t="str">
        <x:v>无约束</x:v>
      </x:c>
      <x:c r="T27" s="63" t="str">
        <x:v>控制变量或故障分析</x:v>
      </x:c>
      <x:c r="U27" s="63" t="str">
        <x:v>无</x:v>
      </x:c>
      <x:c r="V27" s="63" t="str">
        <x:v>多层因果推理</x:v>
      </x:c>
    </x:row>
    <x:row r="28">
      <x:c r="A28" s="64" t="str">
        <x:v>​2568486439690219520</x:v>
      </x:c>
      <x:c r="B28" s="65" t="str">
        <x:v>送分题</x:v>
      </x:c>
      <x:c r="C28" s="65" t="str">
        <x:v>送分题</x:v>
      </x:c>
      <x:c r="D28" s="65" t="str">
        <x:v>送分题|基础题</x:v>
      </x:c>
      <x:c r="E28" s="65" t="str">
        <x:v>保留原主标签；相邻档有争议</x:v>
      </x:c>
      <x:c r="F28" s="65" t="str">
        <x:v>中</x:v>
      </x:c>
      <x:c r="G28" s="65" t="str">
        <x:v>送分题</x:v>
      </x:c>
      <x:c r="H28" s="65" t="str">
        <x:v>送分题</x:v>
      </x:c>
      <x:c r="I28" s="65" t="str">
        <x:v>第二轮复核认为现有证据只能证明该题处于相邻档边界，不能排除原GPT主标签。为避免使用模型预测反向拟合真值，保留原主标签，并将另一档记录为可接受等级。</x:v>
      </x:c>
      <x:c r="J28" s="65" t="str">
        <x:v>三次运行错题并集逐题复核</x:v>
      </x:c>
      <x:c r="K28" s="63" t="str">
        <x:v>如图是一辆小车做直线运动的路程-时间图象，由图象可知该小车在0～3s内运动的路程为（ ）</x:v>
      </x:c>
      <x:c r="L28" s="63" t="str">
        <x:v>A. 1m B. 2m C. 3m D. 4m</x:v>
      </x:c>
      <x:c r="M28" s="63" t="str">
        <x:v>解：由图象可知：小车在0～1s内处于静止状态；在1～2s内处于运动状态，运动的路程为2m-1m=1m；在2～3s内处于静止状态，所以小车在0～3s内运动的路程为1m。 故选：A。</x:v>
      </x:c>
      <x:c r="N28" s="63" t="str">
        <x:v>https://k12static.xdf.cn/k12/image/externalized/9c2e7b44-7890-4088-b4de-25099619796a.png</x:v>
      </x:c>
      <x:c r="O28" s="63" t="str">
        <x:v>https://k12static.xdf.cn/k12/image/externalized/db42b2ed-6c2f-4cde-aa74-89ee56ffd67d.png</x:v>
      </x:c>
      <x:c r="P28" s="63" t="str">
        <x:v>1-2步</x:v>
      </x:c>
      <x:c r="Q28" s="63" t="str">
        <x:v>图像表格分析</x:v>
      </x:c>
      <x:c r="R28" s="63" t="str">
        <x:v>单状态</x:v>
      </x:c>
      <x:c r="S28" s="63" t="str">
        <x:v>无约束</x:v>
      </x:c>
      <x:c r="T28" s="63" t="str">
        <x:v>无</x:v>
      </x:c>
      <x:c r="U28" s="63" t="str">
        <x:v>直接读数</x:v>
      </x:c>
      <x:c r="V28" s="63" t="str">
        <x:v>简单因果推理</x:v>
      </x:c>
    </x:row>
    <x:row r="29">
      <x:c r="A29" s="64" t="str">
        <x:v>​2577618973254782976</x:v>
      </x:c>
      <x:c r="B29" s="65" t="str">
        <x:v>基础题</x:v>
      </x:c>
      <x:c r="C29" s="65" t="str">
        <x:v>基础题</x:v>
      </x:c>
      <x:c r="D29" s="65" t="str">
        <x:v>基础题|中等题</x:v>
      </x:c>
      <x:c r="E29" s="65" t="str">
        <x:v>保留原主标签；相邻档有争议</x:v>
      </x:c>
      <x:c r="F29" s="65" t="str">
        <x:v>中</x:v>
      </x:c>
      <x:c r="G29" s="65" t="str">
        <x:v>基础题</x:v>
      </x:c>
      <x:c r="H29" s="65" t="str">
        <x:v>基础题</x:v>
      </x:c>
      <x:c r="I29" s="65" t="str">
        <x:v>第二轮复核认为现有证据只能证明该题处于相邻档边界，不能排除原GPT主标签。为避免使用模型预测反向拟合真值，保留原主标签，并将另一档记录为可接受等级。</x:v>
      </x:c>
      <x:c r="J29" s="65" t="str">
        <x:v>三次运行错题并集逐题复核</x:v>
      </x:c>
      <x:c r="K29" s="63" t="str">
        <x:v>张先生驾车从广州到肇庆旅游，汽车以90km/h的平均速度行驶0.5h到达三水，休息0.5h后，再以80km/h的平均速度行驶1.5h到达肇庆，请求： （1）广州到三水，汽车行驶的路程是多少km？ （2）广州到肇庆，汽车的平均速度是多少km/h？</x:v>
      </x:c>
      <x:c r="L29" s="63" t="str"/>
      <x:c r="M29" s="63" t="str">
        <x:v>解：（1）汽车从广州到三水的路程： s1=v1t1=90km/h×0.5h=45km； （2）汽车从三水到肇庆的路程： s2=v2t2=80km/h×1.5h=120km, 总路程：s=s1+s2=45km+120km=165km, 行驶的总时间：t=t1+t3+t2=0.5h+0.5h+1.5h=2.5h, 平均速度：v=$\frac{s}{t}$=$\frac{165km}{2.5h}$=66km/h。 答：（1）广州到三水，汽车行驶的路程是45km； （2）广州到肇庆，汽车的平均速度是66km/h。</x:v>
      </x:c>
      <x:c r="N29" s="63" t="str">
        <x:v>https://k12static.xdf.cn/k12/image/externalized/f35354f2-3d5a-4224-93a7-94fdddcec4c1.png</x:v>
      </x:c>
      <x:c r="O29" s="63" t="str">
        <x:v>https://k12static.xdf.cn/k12/image/externalized/78a969b9-9d1e-4676-9387-3270ce99d955.png</x:v>
      </x:c>
      <x:c r="P29" s="63" t="str">
        <x:v>3-5步</x:v>
      </x:c>
      <x:c r="Q29" s="63" t="str">
        <x:v>力学综合</x:v>
      </x:c>
      <x:c r="R29" s="63" t="str">
        <x:v>双状态</x:v>
      </x:c>
      <x:c r="S29" s="63" t="str">
        <x:v>无约束</x:v>
      </x:c>
      <x:c r="T29" s="63" t="str">
        <x:v>无</x:v>
      </x:c>
      <x:c r="U29" s="63" t="str">
        <x:v>无</x:v>
      </x:c>
      <x:c r="V29" s="63" t="str">
        <x:v>多层因果推理</x:v>
      </x:c>
    </x:row>
    <x:row r="30">
      <x:c r="A30" s="64" t="str">
        <x:v>​2589025820182601728</x:v>
      </x:c>
      <x:c r="B30" s="65" t="str">
        <x:v>送分题</x:v>
      </x:c>
      <x:c r="C30" s="65" t="str">
        <x:v>送分题</x:v>
      </x:c>
      <x:c r="D30" s="65" t="str">
        <x:v>送分题|基础题</x:v>
      </x:c>
      <x:c r="E30" s="65" t="str">
        <x:v>保留原主标签；相邻档有争议</x:v>
      </x:c>
      <x:c r="F30" s="65" t="str">
        <x:v>中</x:v>
      </x:c>
      <x:c r="G30" s="65" t="str">
        <x:v>送分题</x:v>
      </x:c>
      <x:c r="H30" s="65" t="str">
        <x:v>送分题</x:v>
      </x:c>
      <x:c r="I30" s="65" t="str">
        <x:v>第二轮复核认为现有证据只能证明该题处于相邻档边界，不能排除原GPT主标签。为避免使用模型预测反向拟合真值，保留原主标签，并将另一档记录为可接受等级。</x:v>
      </x:c>
      <x:c r="J30" s="65" t="str">
        <x:v>三次运行错题并集逐题复核</x:v>
      </x:c>
      <x:c r="K30" s="63" t="str">
        <x:v>现代农业利用喷药无人机喷洒农药，安全又高效，如图所示，喷药无人机在农田上方沿水平方向匀速飞行，同时均匀喷洒农药，此过程中，喷药无人机的（ ）</x:v>
      </x:c>
      <x:c r="L30" s="63" t="str">
        <x:v>A. 动能减小、重力势能减小 B. 动能减小、重力势能不变 C. 动能不变、重力势能减小 D. 动能不变、重力势能不变</x:v>
      </x:c>
      <x:c r="M30" s="63" t="str">
        <x:v>解： 无人机在农田上空的某一高度水平匀速飞行，同时均匀喷洒农药，飞机的速度和高度均不变，但质量变小，所以无人机的动能减小，重力势能减小。 故选：A。</x:v>
      </x:c>
      <x:c r="N30" s="63" t="str">
        <x:v>https://k12static.xdf.cn/k12/image/externalized/3f38dce1-9810-4467-b12c-b0c9334f8445.png</x:v>
      </x:c>
      <x:c r="O30" s="63" t="str">
        <x:v>https://k12static.xdf.cn/k12/image/externalized/fbdd2a64-1d46-4385-9dd1-961eb07d53a0.png</x:v>
      </x:c>
      <x:c r="P30" s="63" t="str">
        <x:v>1-2步</x:v>
      </x:c>
      <x:c r="Q30" s="63" t="str">
        <x:v>概念判断</x:v>
      </x:c>
      <x:c r="R30" s="63" t="str">
        <x:v>单状态</x:v>
      </x:c>
      <x:c r="S30" s="63" t="str">
        <x:v>无约束</x:v>
      </x:c>
      <x:c r="T30" s="63" t="str">
        <x:v>无</x:v>
      </x:c>
      <x:c r="U30" s="63" t="str">
        <x:v>无</x:v>
      </x:c>
      <x:c r="V30" s="63" t="str">
        <x:v>简单因果推理</x:v>
      </x:c>
    </x:row>
    <x:row r="31">
      <x:c r="A31" s="64" t="str">
        <x:v>​2589556251897663488</x:v>
      </x:c>
      <x:c r="B31" s="65" t="str">
        <x:v>基础题</x:v>
      </x:c>
      <x:c r="C31" s="65" t="str">
        <x:v>基础题</x:v>
      </x:c>
      <x:c r="D31" s="65" t="str">
        <x:v>基础题|中等题</x:v>
      </x:c>
      <x:c r="E31" s="65" t="str">
        <x:v>保留原主标签；相邻档有争议</x:v>
      </x:c>
      <x:c r="F31" s="65" t="str">
        <x:v>中</x:v>
      </x:c>
      <x:c r="G31" s="65" t="str">
        <x:v>基础题</x:v>
      </x:c>
      <x:c r="H31" s="65" t="str">
        <x:v>基础题</x:v>
      </x:c>
      <x:c r="I31" s="65" t="str">
        <x:v>第二轮复核认为现有证据只能证明该题处于相邻档边界，不能排除原GPT主标签。为避免使用模型预测反向拟合真值，保留原主标签，并将另一档记录为可接受等级。</x:v>
      </x:c>
      <x:c r="J31" s="65" t="str">
        <x:v>三次运行错题并集逐题复核</x:v>
      </x:c>
      <x:c r="K31" s="63" t="str">
        <x:v>如图所示，电源电压不变，闭合开关S，电压表V1的示数为6V，电压表V2的示数为4V。下列说法正确的是（ ）</x:v>
      </x:c>
      <x:c r="L31" s="63" t="str">
        <x:v>A. L1两端电压为4V B. L1与L2电流之比为2：1 C. 若灯L1发生断路，灯L2不能继续发光 D. 断开开关，只将电压表V2换成电流表，则L1与L2串联</x:v>
      </x:c>
      <x:c r="M31" s="63" t="str">
        <x:v>解：A、由电路图可知，两灯泡串联，电压表V1测电源的电压，电压表V2测L2两端的电压，由两个电压表的示数可知，电源的电压U=6V；电压表V2的示数为4V，则L2两端的电压U2=4V；因串联电路中总电压等于各分电压之和，所以，L1两端电压：U1=U-U2=6V-4V=2V，故A错误； B、两灯泡串联，串联电路中电流处处相等，通过两灯的电流相等，则L1与L2电流之比为：1，故B错误； C、串联电路只有一条电流的路径，若灯L1发生断路，整个电路断开，灯L2不会发光，故C正确； D、将电压表V2换成电流表，灯泡L2短路，电路为灯泡L1的简单电路，电流表测量灯泡L1的电流，故D错误。 故选：C。</x:v>
      </x:c>
      <x:c r="N31" s="63" t="str">
        <x:v>https://k12static.xdf.cn/k12/image/externalized/ab5e10ec-882b-4ccc-b004-20d5517f9099.png</x:v>
      </x:c>
      <x:c r="O31" s="63" t="str">
        <x:v>https://k12static.xdf.cn/k12/image/externalized/90698dac-7bf4-40d8-8a83-66a02d5bb916.png</x:v>
      </x:c>
      <x:c r="P31" s="63" t="str">
        <x:v>3-5步</x:v>
      </x:c>
      <x:c r="Q31" s="63" t="str">
        <x:v>概念判断</x:v>
      </x:c>
      <x:c r="R31" s="63" t="str">
        <x:v>单状态</x:v>
      </x:c>
      <x:c r="S31" s="63" t="str">
        <x:v>无约束</x:v>
      </x:c>
      <x:c r="T31" s="63" t="str">
        <x:v>无</x:v>
      </x:c>
      <x:c r="U31" s="63" t="str">
        <x:v>无</x:v>
      </x:c>
      <x:c r="V31" s="63" t="str">
        <x:v>多层因果推理</x:v>
      </x:c>
    </x:row>
    <x:row r="32">
      <x:c r="A32" s="64" t="str">
        <x:v>​2602610157647134720</x:v>
      </x:c>
      <x:c r="B32" s="65" t="str">
        <x:v>基础题</x:v>
      </x:c>
      <x:c r="C32" s="65" t="str">
        <x:v>基础题</x:v>
      </x:c>
      <x:c r="D32" s="65" t="str">
        <x:v>基础题|中等题</x:v>
      </x:c>
      <x:c r="E32" s="65" t="str">
        <x:v>保留原主标签；相邻档有争议</x:v>
      </x:c>
      <x:c r="F32" s="65" t="str">
        <x:v>中</x:v>
      </x:c>
      <x:c r="G32" s="65" t="str">
        <x:v>基础题</x:v>
      </x:c>
      <x:c r="H32" s="65" t="str">
        <x:v>基础题</x:v>
      </x:c>
      <x:c r="I32" s="65" t="str">
        <x:v>第二轮复核认为现有证据只能证明该题处于相邻档边界，不能排除原GPT主标签。为避免使用模型预测反向拟合真值，保留原主标签，并将另一档记录为可接受等级。</x:v>
      </x:c>
      <x:c r="J32" s="65" t="str">
        <x:v>三次运行错题并集逐题复核</x:v>
      </x:c>
      <x:c r="K32" s="63" t="str">
        <x:v>甲、乙两辆车同时从同一地点出发，其路程—时间图像如图所示，由图像可知（ ）</x:v>
      </x:c>
      <x:c r="L32" s="63" t="str">
        <x:v>A. 第10秒时，甲、乙两车速度相同 B. 10～20秒，乙车做匀速直线运动 C. 0～10秒，乙车通过的路程比甲车的路程长 D. 通过前15米时，乙车的平均速度比甲车的平均速度大</x:v>
      </x:c>
      <x:c r="M32" s="63" t="str">
        <x:v>解：AB、由图可知，0～20s时，甲车的是一条过原点的直线，可知甲车做匀速直线运动；乙车的是一条平行于时间轴的直线，可知乙车静止，速度为零，所以第10秒时，甲、乙两车速度不相同，故AB不符合题意； C、由图可知，第10s时，两车的位置相同，即两车相遇，表示通过的路程相同，C不符合题意； D．通过前15米时，乙车所用的时间少于甲车所用的时间，根据$v=\frac{s}{t}$可知，乙车的平均速度速度大于甲车的平均速度，故D符合题意。 故选：D。</x:v>
      </x:c>
      <x:c r="N32" s="63" t="str">
        <x:v>https://k12static.xdf.cn/k12/image/externalized/d5f5e77b-bb45-424b-ba11-6f17db1d8541.png</x:v>
      </x:c>
      <x:c r="O32" s="63" t="str">
        <x:v>https://k12static.xdf.cn/k12/image/externalized/5977a071-4cce-4851-ae8c-d3bdf16a17e6.png</x:v>
      </x:c>
      <x:c r="P32" s="63" t="str">
        <x:v>3-5步</x:v>
      </x:c>
      <x:c r="Q32" s="63" t="str">
        <x:v>概念判断</x:v>
      </x:c>
      <x:c r="R32" s="63" t="str">
        <x:v>单状态</x:v>
      </x:c>
      <x:c r="S32" s="63" t="str">
        <x:v>无约束</x:v>
      </x:c>
      <x:c r="T32" s="63" t="str">
        <x:v>无</x:v>
      </x:c>
      <x:c r="U32" s="63" t="str">
        <x:v>多组比较归纳</x:v>
      </x:c>
      <x:c r="V32" s="63" t="str">
        <x:v>多层因果推理</x:v>
      </x:c>
    </x:row>
    <x:row r="33">
      <x:c r="A33" s="64" t="str">
        <x:v>​2613775611097567232</x:v>
      </x:c>
      <x:c r="B33" s="65" t="str">
        <x:v>送分题</x:v>
      </x:c>
      <x:c r="C33" s="65" t="str">
        <x:v>送分题</x:v>
      </x:c>
      <x:c r="D33" s="65" t="str">
        <x:v>送分题|基础题</x:v>
      </x:c>
      <x:c r="E33" s="65" t="str">
        <x:v>保留原主标签；相邻档有争议</x:v>
      </x:c>
      <x:c r="F33" s="65" t="str">
        <x:v>中</x:v>
      </x:c>
      <x:c r="G33" s="65" t="str">
        <x:v>送分题</x:v>
      </x:c>
      <x:c r="H33" s="65" t="str">
        <x:v>基础题</x:v>
      </x:c>
      <x:c r="I33" s="65" t="str">
        <x:v>第二轮复核认为现有证据只能证明该题处于相邻档边界，不能排除原GPT主标签。为避免使用模型预测反向拟合真值，保留原主标签，并将另一档记录为可接受等级。</x:v>
      </x:c>
      <x:c r="J33" s="65" t="str">
        <x:v>三次运行错题并集逐题复核</x:v>
      </x:c>
      <x:c r="K33" s="63" t="str">
        <x:v>为了揭示微观世界的奥秘，无数科学家进行了不懈的探索，下列说法错误的是（ ）</x:v>
      </x:c>
      <x:c r="L33" s="63" t="str">
        <x:v>A. 查德威克发现了电子，表明原子不是物质的不可再分的最小单元 B. 卢瑟福建立了原子结构的行星模型 C. 科学家发现原子核由带正电的质子和不带电的中子组成 D. 质子、中子、电子就是组成物质世界的最小微粒，不可再分</x:v>
      </x:c>
      <x:c r="M33" s="63" t="str">
        <x:v>解：A．汤姆生发现了电子，从而揭示了原子是可以再分的，查德威克发现了中子，故A错误； B．卢瑟福建立了原子结构的行星模型，即原子的核式结构，故B正确； C．原子核是由带正电的质子和不带电的中子组成，原子的质量主要集中在原子核上，故C正确； D．质子和中子都是由被称为夸克的更小粒子组成的，即质子和中子可再分，电子没有已知的内部结构，是不可再分的粒子，故D错误。 故选：AD。</x:v>
      </x:c>
      <x:c r="N33" s="63" t="str">
        <x:v>https://k12static.xdf.cn/k12/image/externalized/b48a9e90-97c1-4749-a6d0-f754f358e274.png</x:v>
      </x:c>
      <x:c r="O33" s="63" t="str">
        <x:v>https://k12static.xdf.cn/k12/image/externalized/7eeab14e-68d5-40b1-bd67-f763f664b1a3.png</x:v>
      </x:c>
      <x:c r="P33" s="63" t="str">
        <x:v>1-2步</x:v>
      </x:c>
      <x:c r="Q33" s="63" t="str">
        <x:v>概念判断</x:v>
      </x:c>
      <x:c r="R33" s="63" t="str">
        <x:v>单状态</x:v>
      </x:c>
      <x:c r="S33" s="63" t="str">
        <x:v>无约束</x:v>
      </x:c>
      <x:c r="T33" s="63" t="str">
        <x:v>无</x:v>
      </x:c>
      <x:c r="U33" s="63" t="str">
        <x:v>无</x:v>
      </x:c>
      <x:c r="V33" s="63" t="str">
        <x:v>直接套用</x:v>
      </x:c>
    </x:row>
    <x:row r="34">
      <x:c r="A34" s="64" t="str">
        <x:v>​2623881201234239488</x:v>
      </x:c>
      <x:c r="B34" s="65" t="str">
        <x:v>送分题</x:v>
      </x:c>
      <x:c r="C34" s="65" t="str">
        <x:v>送分题</x:v>
      </x:c>
      <x:c r="D34" s="65" t="str">
        <x:v>送分题|基础题</x:v>
      </x:c>
      <x:c r="E34" s="65" t="str">
        <x:v>保留原主标签；相邻档有争议</x:v>
      </x:c>
      <x:c r="F34" s="65" t="str">
        <x:v>中</x:v>
      </x:c>
      <x:c r="G34" s="65" t="str">
        <x:v>送分题</x:v>
      </x:c>
      <x:c r="H34" s="65" t="str">
        <x:v>送分题</x:v>
      </x:c>
      <x:c r="I34" s="65" t="str">
        <x:v>第二轮复核认为现有证据只能证明该题处于相邻档边界，不能排除原GPT主标签。为避免使用模型预测反向拟合真值，保留原主标签，并将另一档记录为可接受等级。</x:v>
      </x:c>
      <x:c r="J34" s="65" t="str">
        <x:v>三次运行错题并集逐题复核</x:v>
      </x:c>
      <x:c r="K34" s="63" t="str">
        <x:v>当家庭电路中使用的用电器越多，则电路的（ ）</x:v>
      </x:c>
      <x:c r="L34" s="63" t="str">
        <x:v>A. 总电阻越小 B. 总电流越小 C. 总电压越小 D. 总电压越大</x:v>
      </x:c>
      <x:c r="M34" s="63" t="str">
        <x:v>解：因为家庭电路中各用电器是并联的，并且家庭电路电压为220V，因此家庭电路两端总电压不变；故CD错误； 由并联电路特点知，并联电路总电阻的倒数等于各支路电阻倒数之和，并联电路支路越多，并联电路总阻值越小，故A正确，B错误。 故选：A。</x:v>
      </x:c>
      <x:c r="N34" s="63" t="str">
        <x:v>https://k12static.xdf.cn/k12/image/externalized/b35e3be4-57c7-4e50-880e-5f91de993141.png</x:v>
      </x:c>
      <x:c r="O34" s="63" t="str">
        <x:v>https://k12static.xdf.cn/k12/image/externalized/521a4d3d-e884-465c-989d-2b809413dad2.png</x:v>
      </x:c>
      <x:c r="P34" s="63" t="str">
        <x:v>1-2步</x:v>
      </x:c>
      <x:c r="Q34" s="63" t="str">
        <x:v>概念判断</x:v>
      </x:c>
      <x:c r="R34" s="63" t="str">
        <x:v>单状态</x:v>
      </x:c>
      <x:c r="S34" s="63" t="str">
        <x:v>无约束</x:v>
      </x:c>
      <x:c r="T34" s="63" t="str">
        <x:v>无</x:v>
      </x:c>
      <x:c r="U34" s="63" t="str">
        <x:v>无</x:v>
      </x:c>
      <x:c r="V34" s="63" t="str">
        <x:v>简单因果推理</x:v>
      </x:c>
    </x:row>
    <x:row r="35">
      <x:c r="A35" s="64" t="str">
        <x:v>​2625536342911447040</x:v>
      </x:c>
      <x:c r="B35" s="65" t="str">
        <x:v>基础题</x:v>
      </x:c>
      <x:c r="C35" s="65" t="str">
        <x:v>基础题</x:v>
      </x:c>
      <x:c r="D35" s="65" t="str">
        <x:v>基础题|中等题</x:v>
      </x:c>
      <x:c r="E35" s="65" t="str">
        <x:v>保留原主标签；相邻档有争议</x:v>
      </x:c>
      <x:c r="F35" s="65" t="str">
        <x:v>中</x:v>
      </x:c>
      <x:c r="G35" s="65" t="str">
        <x:v>基础题</x:v>
      </x:c>
      <x:c r="H35" s="65" t="str">
        <x:v>基础题</x:v>
      </x:c>
      <x:c r="I35" s="65" t="str">
        <x:v>第二轮复核认为现有证据只能证明该题处于相邻档边界，不能排除原GPT主标签。为避免使用模型预测反向拟合真值，保留原主标签，并将另一档记录为可接受等级。</x:v>
      </x:c>
      <x:c r="J35" s="65" t="str">
        <x:v>三次运行错题并集逐题复核</x:v>
      </x:c>
      <x:c r="K35" s="63" t="str">
        <x:v>如图所示是甲和乙两种物质的质量与体积关系图象，分析图象可知（ ）</x:v>
      </x:c>
      <x:c r="L35" s="63" t="str">
        <x:v>A. 甲、乙两种物质的密度之比为4：1 B. 若甲、乙的质量相等，则甲的体积较大 C. 若甲、乙的体积相等，则甲的质量较小 D. 乙物质的密度为0.5kg/m3</x:v>
      </x:c>
      <x:c r="M35" s="63" t="str">
        <x:v>解：A、由图像可知当V甲=10cm3时，m甲=20g,根据${ρ}_{甲}=\frac{{m}_{甲}}{{V}_{甲}}=\frac{20g}{10c{m}^{3}}=2g/c{m}^{3}$； 当${V}_{乙}=10c{m}^{3}$时，m乙=5g,根据${ρ}_{乙}=\frac{{m}_{乙}}{{V}_{乙}}=\frac{5g}{10c{m}^{3}}=0.5g/c{m}^{3}$， 则$\frac{{ρ}_{甲}}{{ρ}_{乙}}=\frac{2g/c{m}^{3}}{0.5g/c{m}^{3}}=4：1$，故A正确； B、根据图像分析当甲乙的质量相同时，即当m=10g时，${V}_{甲}=5c{m}^{3}＜{V}_{乙}=20c{m}^{3}$，故B错误； C、根据图像分析当甲乙的体积相同时，即当V=10cm3时，m甲=20g＞m乙=5g,故C错误； D、由图像可知${ρ}_{乙}=\frac{{m}_{乙}}{{V}_{乙}}=\frac{5g}{10c{m}^{3}}=0.5g/c{m}^{3}$，故D错误。 故选：A。</x:v>
      </x:c>
      <x:c r="N35" s="63" t="str">
        <x:v>https://k12static.xdf.cn/k12/image/externalized/44e3a985-bd48-4fa2-9172-7d3fa365d746.png</x:v>
      </x:c>
      <x:c r="O35" s="63" t="str">
        <x:v>https://k12static.xdf.cn/k12/image/externalized/9ecddc8e-ddf0-4361-afc5-a4d627e251e3.png</x:v>
      </x:c>
      <x:c r="P35" s="63" t="str">
        <x:v>3-5步</x:v>
      </x:c>
      <x:c r="Q35" s="63" t="str">
        <x:v>图像表格分析</x:v>
      </x:c>
      <x:c r="R35" s="63" t="str">
        <x:v>单状态</x:v>
      </x:c>
      <x:c r="S35" s="63" t="str">
        <x:v>无约束</x:v>
      </x:c>
      <x:c r="T35" s="63" t="str">
        <x:v>无</x:v>
      </x:c>
      <x:c r="U35" s="63" t="str">
        <x:v>直接读数</x:v>
      </x:c>
      <x:c r="V35" s="63" t="str">
        <x:v>多层因果推理</x:v>
      </x:c>
    </x:row>
    <x:row r="36">
      <x:c r="A36" s="64" t="str">
        <x:v>​2627228903808696320</x:v>
      </x:c>
      <x:c r="B36" s="65" t="str">
        <x:v>送分题</x:v>
      </x:c>
      <x:c r="C36" s="65" t="str">
        <x:v>送分题</x:v>
      </x:c>
      <x:c r="D36" s="65" t="str">
        <x:v>送分题|基础题</x:v>
      </x:c>
      <x:c r="E36" s="65" t="str">
        <x:v>保留原主标签；相邻档有争议</x:v>
      </x:c>
      <x:c r="F36" s="65" t="str">
        <x:v>中</x:v>
      </x:c>
      <x:c r="G36" s="65" t="str">
        <x:v>送分题</x:v>
      </x:c>
      <x:c r="H36" s="65" t="str">
        <x:v>基础题</x:v>
      </x:c>
      <x:c r="I36" s="65" t="str">
        <x:v>第二轮复核认为现有证据只能证明该题处于相邻档边界，不能排除原GPT主标签。为避免使用模型预测反向拟合真值，保留原主标签，并将另一档记录为可接受等级。</x:v>
      </x:c>
      <x:c r="J36" s="65" t="str">
        <x:v>三次运行错题并集逐题复核</x:v>
      </x:c>
      <x:c r="K36" s="63" t="str">
        <x:v>如图所示，两个完全相同的验电器A和B，A带正电，B不带电。现用金属棒连接验电器A和B，则下列说法中正确的是（ ）</x:v>
      </x:c>
      <x:c r="L36" s="63" t="str">
        <x:v>A. 电荷从验电器A流动到验电器B B. 电荷从验电器B流动到验电器A C. 验电器A得到正电荷 D. 验电器B得到正电荷</x:v>
      </x:c>
      <x:c r="M36" s="63" t="str">
        <x:v>解： AB、由题知，A带正电，B不带电，用带有绝缘柄的金属棒把A和B连接起来，则B上的一部分电子会通过金属棒转移到A上，A得到电子，与正电荷相互抵消一部分，A带的正电荷会减少从而张角变小，而B因为失去电子也带上了正电荷，B的两金属箔带上同种电荷使B金属箔张角变大，故A错误，B正确。 CD、由上面分析知，验电器A得到电子，B失去电子，而不是正电荷的移动，故CD错误。 故选：B。</x:v>
      </x:c>
      <x:c r="N36" s="63" t="str">
        <x:v>https://k12static.xdf.cn/k12/image/externalized/721e0b36-ac5b-4a6f-81a5-51234d7674cd.png</x:v>
      </x:c>
      <x:c r="O36" s="63" t="str">
        <x:v>https://k12static.xdf.cn/k12/image/externalized/d42975ef-f363-4167-be3d-b1714b85939f.png</x:v>
      </x:c>
      <x:c r="P36" s="63" t="str">
        <x:v>1-2步</x:v>
      </x:c>
      <x:c r="Q36" s="63" t="str">
        <x:v>概念判断</x:v>
      </x:c>
      <x:c r="R36" s="63" t="str">
        <x:v>单状态</x:v>
      </x:c>
      <x:c r="S36" s="63" t="str">
        <x:v>无约束</x:v>
      </x:c>
      <x:c r="T36" s="63" t="str">
        <x:v>无</x:v>
      </x:c>
      <x:c r="U36" s="63" t="str">
        <x:v>无</x:v>
      </x:c>
      <x:c r="V36" s="63" t="str">
        <x:v>简单因果推理</x:v>
      </x:c>
    </x:row>
    <x:row r="37">
      <x:c r="A37" s="64" t="str">
        <x:v>​2712258785681641472</x:v>
      </x:c>
      <x:c r="B37" s="65" t="str">
        <x:v>基础题</x:v>
      </x:c>
      <x:c r="C37" s="65" t="str">
        <x:v>基础题</x:v>
      </x:c>
      <x:c r="D37" s="65" t="str">
        <x:v>基础题|中等题</x:v>
      </x:c>
      <x:c r="E37" s="65" t="str">
        <x:v>保留原主标签；相邻档有争议</x:v>
      </x:c>
      <x:c r="F37" s="65" t="str">
        <x:v>中</x:v>
      </x:c>
      <x:c r="G37" s="65" t="str">
        <x:v>基础题</x:v>
      </x:c>
      <x:c r="H37" s="65" t="str">
        <x:v>中等题</x:v>
      </x:c>
      <x:c r="I37" s="65" t="str">
        <x:v>第二轮复核认为现有证据只能证明该题处于相邻档边界，不能排除原GPT主标签。为避免使用模型预测反向拟合真值，保留原主标签，并将另一档记录为可接受等级。</x:v>
      </x:c>
      <x:c r="J37" s="65" t="str">
        <x:v>三次运行错题并集逐题复核</x:v>
      </x:c>
      <x:c r="K37" s="63" t="str">
        <x:v>如图1所示的电路中，闭合开关后，L1、L2正常发光。若将图2中的两个夹子分别接在灯泡L1两端，夹子与灯泡接触良好。则出现的现象及其描述正确的是（ ）</x:v>
      </x:c>
      <x:c r="L37" s="63" t="str">
        <x:v>A. L1被短接，只有L2发光 B. 电源被短路，两灯泡都不发光 C. 电压表能测L2两端的电压 D. 电压表可以较准确的测量出灯泡L1两端电压</x:v>
      </x:c>
      <x:c r="M37" s="63" t="str">
        <x:v>解： AB、由于电压表的电阻很大，所以，将手中的两个导线夹接在灯泡L1两端时，不会造成灯L1短路或电源短路，故AB错误； C、由图知，两灯并联，开关处在干路上；若将手中的两个导线夹接在灯泡L1两端，可以直接测量灯L1两端的电压，由并联电路的电压特点可知L2两端的电压U2，故C正确； D、由于电源电压约为3V，电压表接在0到15V量程，没有用0到3V量程，不可以较准确的测量出灯泡L1两端电压，故D错误。 故选：C。</x:v>
      </x:c>
      <x:c r="N37" s="63" t="str">
        <x:v>https://k12static.xdf.cn/k12/image/externalized/4bf3e7e2-9a13-4dee-a262-dcabbb1a9550.png</x:v>
      </x:c>
      <x:c r="O37" s="63" t="str">
        <x:v>https://k12static.xdf.cn/k12/image/externalized/42a7e7b3-b4b9-45c4-85a0-3aa997f91bc5.png</x:v>
      </x:c>
      <x:c r="P37" s="63" t="str">
        <x:v>1-2步</x:v>
      </x:c>
      <x:c r="Q37" s="63" t="str">
        <x:v>概念判断</x:v>
      </x:c>
      <x:c r="R37" s="63" t="str">
        <x:v>单状态</x:v>
      </x:c>
      <x:c r="S37" s="63" t="str">
        <x:v>无约束</x:v>
      </x:c>
      <x:c r="T37" s="63" t="str">
        <x:v>无</x:v>
      </x:c>
      <x:c r="U37" s="63" t="str">
        <x:v>无</x:v>
      </x:c>
      <x:c r="V37" s="63" t="str">
        <x:v>简单因果推理</x:v>
      </x:c>
    </x:row>
    <x:row r="38">
      <x:c r="A38" s="64" t="str">
        <x:v>​2712310649943785472</x:v>
      </x:c>
      <x:c r="B38" s="65" t="str">
        <x:v>基础题</x:v>
      </x:c>
      <x:c r="C38" s="65" t="str">
        <x:v>基础题</x:v>
      </x:c>
      <x:c r="D38" s="65" t="str">
        <x:v>基础题|中等题</x:v>
      </x:c>
      <x:c r="E38" s="65" t="str">
        <x:v>保留原主标签；相邻档有争议</x:v>
      </x:c>
      <x:c r="F38" s="65" t="str">
        <x:v>中</x:v>
      </x:c>
      <x:c r="G38" s="65" t="str">
        <x:v>基础题</x:v>
      </x:c>
      <x:c r="H38" s="65" t="str">
        <x:v>基础题</x:v>
      </x:c>
      <x:c r="I38" s="65" t="str">
        <x:v>第二轮复核认为现有证据只能证明该题处于相邻档边界，不能排除原GPT主标签。为避免使用模型预测反向拟合真值，保留原主标签，并将另一档记录为可接受等级。</x:v>
      </x:c>
      <x:c r="J38" s="65" t="str">
        <x:v>三次运行错题并集逐题复核</x:v>
      </x:c>
      <x:c r="K38" s="63" t="str">
        <x:v>如图所示，电路中电源电压不变。当开关S闭合时，电压表和电流表示数变化情况是（ ）</x:v>
      </x:c>
      <x:c r="L38" s="63" t="str">
        <x:v>A. 两表示数都变大 B. 电压表示数变大，电流表示数变小 C. 两表示数都变小 D. 电压表示数变小，电流表示数变大</x:v>
      </x:c>
      <x:c r="M38" s="63" t="str">
        <x:v>解：根据电路图科长，当开关S断开时，R1、R2串联，电压表测R1电压，电流表测电路电流；当开关S闭合时，R2被短路，电路中只有R1工作，电压表测电源电压。根据串联电压规律可知电压表示数变大，同时总电阻变小，根据$I=\frac{U}{R}$可知电流表示数变大，故A正确、BCD错误。 故选：A。</x:v>
      </x:c>
      <x:c r="N38" s="63" t="str">
        <x:v>https://k12static.xdf.cn/k12/image/externalized/a9186359-cd1f-4c22-b89c-807c9e553edb.png</x:v>
      </x:c>
      <x:c r="O38" s="63" t="str">
        <x:v>https://k12static.xdf.cn/k12/image/externalized/68ba756c-54e2-4e80-8d27-137d02851187.png</x:v>
      </x:c>
      <x:c r="P38" s="63" t="str">
        <x:v>3-5步</x:v>
      </x:c>
      <x:c r="Q38" s="63" t="str">
        <x:v>电路综合</x:v>
      </x:c>
      <x:c r="R38" s="63" t="str">
        <x:v>双状态</x:v>
      </x:c>
      <x:c r="S38" s="63" t="str">
        <x:v>单一约束</x:v>
      </x:c>
      <x:c r="T38" s="63" t="str">
        <x:v>无</x:v>
      </x:c>
      <x:c r="U38" s="63" t="str">
        <x:v>无</x:v>
      </x:c>
      <x:c r="V38" s="63" t="str">
        <x:v>多层因果推理</x:v>
      </x:c>
    </x:row>
    <x:row r="39">
      <x:c r="A39" s="64" t="str">
        <x:v>​2712352242892922880</x:v>
      </x:c>
      <x:c r="B39" s="65" t="str">
        <x:v>送分题</x:v>
      </x:c>
      <x:c r="C39" s="65" t="str">
        <x:v>送分题</x:v>
      </x:c>
      <x:c r="D39" s="65" t="str">
        <x:v>送分题|基础题</x:v>
      </x:c>
      <x:c r="E39" s="65" t="str">
        <x:v>保留原主标签；相邻档有争议</x:v>
      </x:c>
      <x:c r="F39" s="65" t="str">
        <x:v>中</x:v>
      </x:c>
      <x:c r="G39" s="65" t="str">
        <x:v>送分题</x:v>
      </x:c>
      <x:c r="H39" s="65" t="str">
        <x:v>送分题</x:v>
      </x:c>
      <x:c r="I39" s="65" t="str">
        <x:v>第二轮复核认为现有证据只能证明该题处于相邻档边界，不能排除原GPT主标签。为避免使用模型预测反向拟合真值，保留原主标签，并将另一档记录为可接受等级。</x:v>
      </x:c>
      <x:c r="J39" s="65" t="str">
        <x:v>三次运行错题并集逐题复核</x:v>
      </x:c>
      <x:c r="K39" s="63" t="str">
        <x:v>在“地球一小时关灯日”期间，如果让我们家的一只40W的节能灯少工作1小时可节约的电能约为（ ）</x:v>
      </x:c>
      <x:c r="L39" s="63" t="str">
        <x:v>A. 40J B. 400J C. 1.44×103J D. 1.44×105J</x:v>
      </x:c>
      <x:c r="M39" s="63" t="str">
        <x:v>解：一只40W的节能灯少工作1小时节约的电能：W=Pt=40W×3600s=144000J。 故选：D。</x:v>
      </x:c>
      <x:c r="N39" s="63" t="str">
        <x:v>https://k12static.xdf.cn/k12/image/externalized/7ceb60dc-27a2-42ba-8a51-78954682170e.png</x:v>
      </x:c>
      <x:c r="O39" s="63" t="str">
        <x:v>https://k12static.xdf.cn/k12/image/externalized/85bae8c0-3791-4d4e-98f7-af6d968f683e.png</x:v>
      </x:c>
      <x:c r="P39" s="63" t="str">
        <x:v>1-2步</x:v>
      </x:c>
      <x:c r="Q39" s="63" t="str">
        <x:v>直接计算</x:v>
      </x:c>
      <x:c r="R39" s="63" t="str">
        <x:v>单状态</x:v>
      </x:c>
      <x:c r="S39" s="63" t="str">
        <x:v>无约束</x:v>
      </x:c>
      <x:c r="T39" s="63" t="str">
        <x:v>无</x:v>
      </x:c>
      <x:c r="U39" s="63" t="str">
        <x:v>无</x:v>
      </x:c>
      <x:c r="V39" s="63" t="str">
        <x:v>简单因果推理</x:v>
      </x:c>
    </x:row>
    <x:row r="40">
      <x:c r="A40" s="64" t="str">
        <x:v>​2720896949409845248</x:v>
      </x:c>
      <x:c r="B40" s="65" t="str">
        <x:v>送分题</x:v>
      </x:c>
      <x:c r="C40" s="65" t="str">
        <x:v>送分题</x:v>
      </x:c>
      <x:c r="D40" s="65" t="str">
        <x:v>送分题|基础题</x:v>
      </x:c>
      <x:c r="E40" s="65" t="str">
        <x:v>保留原主标签；相邻档有争议</x:v>
      </x:c>
      <x:c r="F40" s="65" t="str">
        <x:v>中</x:v>
      </x:c>
      <x:c r="G40" s="65" t="str">
        <x:v>送分题</x:v>
      </x:c>
      <x:c r="H40" s="65" t="str">
        <x:v>送分题</x:v>
      </x:c>
      <x:c r="I40" s="65" t="str">
        <x:v>第二轮复核认为现有证据只能证明该题处于相邻档边界，不能排除原GPT主标签。为避免使用模型预测反向拟合真值，保留原主标签，并将另一档记录为可接受等级。</x:v>
      </x:c>
      <x:c r="J40" s="65" t="str">
        <x:v>三次运行错题并集逐题复核</x:v>
      </x:c>
      <x:c r="K40" s="63" t="str">
        <x:v>如图所示情景中，属于通过增大压力的方式增大摩擦力的是（ ）</x:v>
      </x:c>
      <x:c r="L40" s="63" t="str">
        <x:v>A. " /&gt; 压路机的碾子质量很大 B. " /&gt; 载重汽车装有许多车轮 C. " /&gt; 刹车时用力捏手闸 D. 轮胎有很多花纹</x:v>
      </x:c>
      <x:c r="M40" s="63" t="str">
        <x:v>A．压路机的碾子质量很大，是在受力面积一定时，通过增大压力来增大压强，故 A 不符合题意； B．载重汽车装有许多车轮，在压力一定时，通过增大受力面积可以减小压强，故 B 不符合题意 C．自行车刹车时用力捏紧车闸，是在接触面粗糙程度一定时，增大压力来增大摩擦力，故C符合题意； D．轮胎有很多花纹，是在压力一定时，通过增大接触面的粗糙程度来增大摩擦力的，故D不符合题意。 故选C。</x:v>
      </x:c>
      <x:c r="N40" s="63" t="str">
        <x:v>https://k12static.xdf.cn/k12/image/externalized/7f6bdba6-5c92-4ab8-8454-6e29029bfe47.png</x:v>
      </x:c>
      <x:c r="O40" s="63" t="str">
        <x:v>https://k12static.xdf.cn/k12/image/externalized/8e07b7db-8e67-46fa-a1df-2a0d482db831.png</x:v>
      </x:c>
      <x:c r="P40" s="63" t="str">
        <x:v>1-2步</x:v>
      </x:c>
      <x:c r="Q40" s="63" t="str">
        <x:v>概念判断</x:v>
      </x:c>
      <x:c r="R40" s="63" t="str">
        <x:v>单状态</x:v>
      </x:c>
      <x:c r="S40" s="63" t="str">
        <x:v>无约束</x:v>
      </x:c>
      <x:c r="T40" s="63" t="str">
        <x:v>无</x:v>
      </x:c>
      <x:c r="U40" s="63" t="str">
        <x:v>无</x:v>
      </x:c>
      <x:c r="V40" s="63" t="str">
        <x:v>简单因果推理</x:v>
      </x:c>
    </x:row>
    <x:row r="41">
      <x:c r="A41" s="64" t="str">
        <x:v>​2731299119151288320</x:v>
      </x:c>
      <x:c r="B41" s="65" t="str">
        <x:v>基础题</x:v>
      </x:c>
      <x:c r="C41" s="65" t="str">
        <x:v>基础题</x:v>
      </x:c>
      <x:c r="D41" s="65" t="str">
        <x:v>基础题|中等题</x:v>
      </x:c>
      <x:c r="E41" s="65" t="str">
        <x:v>保留原主标签；相邻档有争议</x:v>
      </x:c>
      <x:c r="F41" s="65" t="str">
        <x:v>中</x:v>
      </x:c>
      <x:c r="G41" s="65" t="str">
        <x:v>基础题</x:v>
      </x:c>
      <x:c r="H41" s="65" t="str">
        <x:v>基础题</x:v>
      </x:c>
      <x:c r="I41" s="65" t="str">
        <x:v>第二轮复核认为现有证据只能证明该题处于相邻档边界，不能排除原GPT主标签。为避免使用模型预测反向拟合真值，保留原主标签，并将另一档记录为可接受等级。</x:v>
      </x:c>
      <x:c r="J41" s="65" t="str">
        <x:v>三次运行错题并集逐题复核</x:v>
      </x:c>
      <x:c r="K41" s="63" t="str">
        <x:v>如图所示的电路中，电源电压不变，当滑动变阻器的滑片从A滑向B的过程中，下列说法正确的是（ ）</x:v>
      </x:c>
      <x:c r="L41" s="63" t="str">
        <x:v>A. 电压表V2的示数不变，小灯泡亮度不变 B. 电压表V2的示数变小，小灯泡亮度变暗 C. 电压表V1的示数变小，电流表A的示数变小 D. 电压表V1的示数变大，电流表A的示数变大</x:v>
      </x:c>
      <x:c r="M41" s="63" t="str">
        <x:v>解：当滑动变阻器的滑片从A滑向B的过程中，滑动变阻器接入电路的电阻变大、电路的总电阻变大； ∵I=$\frac{U}{R}$， ∴电路中的电流变小，即电流表A的示数变小， ∵U=IR，且灯泡的电阻不变， ∴灯泡两端的电压变小，即电压表V2的示数变小； ∵P=UI， ∴灯泡的实际功率变小，即灯泡变暗； ∵串联电路的总电阻等于各分电阻之和， ∴滑动变阻器两端的电压变大，即电压表V1的示数变大。 故选：B。</x:v>
      </x:c>
      <x:c r="N41" s="63" t="str">
        <x:v>https://k12static.xdf.cn/k12/image/externalized/75a8e7de-08c3-4e77-adce-7c998b8523dd.png</x:v>
      </x:c>
      <x:c r="O41" s="63" t="str">
        <x:v>https://k12static.xdf.cn/k12/image/externalized/e0a7d366-1127-4f18-933d-64d5cdb1a233.png</x:v>
      </x:c>
      <x:c r="P41" s="63" t="str">
        <x:v>3-5步</x:v>
      </x:c>
      <x:c r="Q41" s="63" t="str">
        <x:v>电路综合</x:v>
      </x:c>
      <x:c r="R41" s="63" t="str">
        <x:v>连续变化</x:v>
      </x:c>
      <x:c r="S41" s="63" t="str">
        <x:v>单一约束</x:v>
      </x:c>
      <x:c r="T41" s="63" t="str">
        <x:v>无</x:v>
      </x:c>
      <x:c r="U41" s="63" t="str">
        <x:v>无</x:v>
      </x:c>
      <x:c r="V41" s="63" t="str">
        <x:v>多层因果推理</x:v>
      </x:c>
    </x:row>
    <x:row r="42">
      <x:c r="A42" s="64" t="str">
        <x:v>​2747544369375850496</x:v>
      </x:c>
      <x:c r="B42" s="65" t="str">
        <x:v>拔高题</x:v>
      </x:c>
      <x:c r="C42" s="65" t="str">
        <x:v>中等题</x:v>
      </x:c>
      <x:c r="D42" s="65" t="str">
        <x:v>中等题|拔高题</x:v>
      </x:c>
      <x:c r="E42" s="65" t="str">
        <x:v>修订GPT主标签</x:v>
      </x:c>
      <x:c r="F42" s="65" t="str">
        <x:v>高</x:v>
      </x:c>
      <x:c r="G42" s="65" t="str">
        <x:v>拔高题</x:v>
      </x:c>
      <x:c r="H42" s="65" t="str">
        <x:v>拔高题</x:v>
      </x:c>
      <x:c r="I42" s="65" t="str">
        <x:v>需要围绕标准实验流程、读数与数据归纳完成常规的3—4个有效决策，或完成一套完整标准实验/共享过程分析。关系仍显性、方法常规，没有决定性隐含转换、复杂边界筛选或多状态强耦合。</x:v>
      </x:c>
      <x:c r="J42" s="65" t="str">
        <x:v>三次运行错题并集逐题复核</x:v>
      </x:c>
      <x:c r="K42" s="63" t="str">
        <x:v>茶圣陆羽在《茶经》中，形容沸腾的水“势如奔涛”。小明组装了如图甲所示的装置，探究水沸腾的特点。（1）装置中温度计的使用存在错误。请指出： ；（2）改正错误后进行实验，某时刻温度计的示数如图乙所示，此时水的温度为 ℃；（3）持续加热至水沸腾，观察到“势如奔涛”的景象，这是一种剧烈的汽化现象。根据图像丙可知水沸腾时的特点是 ，为了缩短加热时间，你建议采取的方法是 （写出一种即可）；（4）根据实验数据绘制出水温随加热时间变化的图像，如图丙所示，该实验地点可能在 （选填字母序号）；A.拉萨B.威海C.北京（5）利用图丁所示装置探究酒精在沸腾前后温度变化的特点，实验中，小明发现当试管内的酒精沸腾时，烧杯中的亚麻仁油却没有沸腾，由此可知亚麻仁油的沸点比酒精 。</x:v>
      </x:c>
      <x:c r="L42" s="63" t="str"/>
      <x:c r="M42" s="63" t="str">
        <x:v>（1）[1]观察甲图可知，图中有的错误是温度计玻璃泡碰到了烧杯壁。（2）[2]图乙知温度计的分度值为1℃，温度计的示数为92℃，即此时水的温度为92℃。（3）[3]由丙图可知水沸腾时仍需要酒精灯进行加热，温度不再升高，因此沸腾的特点是不断吸热但温度保持不变。[4]为了缩短加热时间，可以减少水的质量或提高水的温度。（4）[5]水的沸点与气压有关，气压越低，沸点越低。由图可知沸点约为80℃，气压很低，拉萨属于高原地区，气压比较低，故A符合题意，BC不符合题意。故选A。（5）[6]酒精达到沸点后，酒精沸腾，酒精能从亚麻仁油吸收热量，而亚麻仁油没有沸腾，说明没有到达沸点，所以亚麻仁油的沸点比酒精高。</x:v>
      </x:c>
      <x:c r="N42" s="63" t="str">
        <x:v>https://k12static.xdf.cn/k12/image/externalized/8358d23e-490b-47ca-a59f-8e727ff75d93.png</x:v>
      </x:c>
      <x:c r="O42" s="63" t="str">
        <x:v>https://k12static.xdf.cn/k12/image/externalized/1ad17f29-bac3-4067-8581-c1f88a85fd0d.png</x:v>
      </x:c>
      <x:c r="P42" s="63" t="str">
        <x:v>1-2步</x:v>
      </x:c>
      <x:c r="Q42" s="63" t="str">
        <x:v>实验探究</x:v>
      </x:c>
      <x:c r="R42" s="63" t="str">
        <x:v>单状态</x:v>
      </x:c>
      <x:c r="S42" s="63" t="str">
        <x:v>无约束</x:v>
      </x:c>
      <x:c r="T42" s="63" t="str">
        <x:v>控制变量或故障分析</x:v>
      </x:c>
      <x:c r="U42" s="63" t="str">
        <x:v>多组比较归纳</x:v>
      </x:c>
      <x:c r="V42" s="63" t="str">
        <x:v>多层因果推理</x:v>
      </x:c>
    </x:row>
    <x:row r="43">
      <x:c r="A43" s="64" t="str">
        <x:v>​2758493016452251648</x:v>
      </x:c>
      <x:c r="B43" s="65" t="str">
        <x:v>送分题</x:v>
      </x:c>
      <x:c r="C43" s="65" t="str">
        <x:v>送分题</x:v>
      </x:c>
      <x:c r="D43" s="65" t="str">
        <x:v>送分题|基础题</x:v>
      </x:c>
      <x:c r="E43" s="65" t="str">
        <x:v>保留原主标签；相邻档有争议</x:v>
      </x:c>
      <x:c r="F43" s="65" t="str">
        <x:v>中</x:v>
      </x:c>
      <x:c r="G43" s="65" t="str">
        <x:v>送分题</x:v>
      </x:c>
      <x:c r="H43" s="65" t="str">
        <x:v>基础题</x:v>
      </x:c>
      <x:c r="I43" s="65" t="str">
        <x:v>第二轮复核认为现有证据只能证明该题处于相邻档边界，不能排除原GPT主标签。为避免使用模型预测反向拟合真值，保留原主标签，并将另一档记录为可接受等级。</x:v>
      </x:c>
      <x:c r="J43" s="65" t="str">
        <x:v>三次运行错题并集逐题复核</x:v>
      </x:c>
      <x:c r="K43" s="63" t="str">
        <x:v>下列与分子相关的描述正确的是（ ）</x:v>
      </x:c>
      <x:c r="L43" s="63" t="str">
        <x:v>A. 海绵很容易压缩，说明分子间有间隙 B. 水和无水酒精混合后总体积减小说明分子间有引力 C. 物质都是由大量分子和原子组成的 D. 物质很难被压缩说明分子间没有间隙</x:v>
      </x:c>
      <x:c r="M43" s="63" t="str">
        <x:v>解：A．海绵的压缩性是由于其多孔结构，而不是分子间的间隙。分子间的间隙在微观尺度上，而海绵的压缩是宏观现象，两者不能混淆，故A错误； B．水和无水酒精混合后总体积减小，是因为分子间存在间隙，这与分子间的引力无关，故B错误； C．物质确实是由大量分子和原子组成的。这是分子动理论的基本观点之一，故C正确； D．物质很难被压缩，是因为分子间存在斥力。当外界试图压缩物质时，分子间的距离减小，斥力增大，抵抗外界的压缩。故D错误。 故选：C。</x:v>
      </x:c>
      <x:c r="N43" s="63" t="str">
        <x:v>https://k12static.xdf.cn/k12/image/externalized/1f5ed63b-82d7-4418-94ce-105f1d9e65be.png</x:v>
      </x:c>
      <x:c r="O43" s="63" t="str">
        <x:v>https://k12static.xdf.cn/k12/image/externalized/06aa0117-4755-49a9-ab8f-4ebc6998665e.png</x:v>
      </x:c>
      <x:c r="P43" s="63" t="str">
        <x:v>1-2步</x:v>
      </x:c>
      <x:c r="Q43" s="63" t="str">
        <x:v>概念判断</x:v>
      </x:c>
      <x:c r="R43" s="63" t="str">
        <x:v>单状态</x:v>
      </x:c>
      <x:c r="S43" s="63" t="str">
        <x:v>无约束</x:v>
      </x:c>
      <x:c r="T43" s="63" t="str">
        <x:v>无</x:v>
      </x:c>
      <x:c r="U43" s="63" t="str">
        <x:v>无</x:v>
      </x:c>
      <x:c r="V43" s="63" t="str">
        <x:v>简单因果推理</x:v>
      </x:c>
    </x:row>
    <x:row r="44">
      <x:c r="A44" s="64" t="str">
        <x:v>​2758498114243948544</x:v>
      </x:c>
      <x:c r="B44" s="65" t="str">
        <x:v>基础题</x:v>
      </x:c>
      <x:c r="C44" s="65" t="str">
        <x:v>基础题</x:v>
      </x:c>
      <x:c r="D44" s="65" t="str">
        <x:v>基础题|中等题</x:v>
      </x:c>
      <x:c r="E44" s="65" t="str">
        <x:v>保留原主标签；相邻档有争议</x:v>
      </x:c>
      <x:c r="F44" s="65" t="str">
        <x:v>中</x:v>
      </x:c>
      <x:c r="G44" s="65" t="str">
        <x:v>基础题</x:v>
      </x:c>
      <x:c r="H44" s="65" t="str">
        <x:v>中等题</x:v>
      </x:c>
      <x:c r="I44" s="65" t="str">
        <x:v>第二轮复核认为现有证据只能证明该题处于相邻档边界，不能排除原GPT主标签。为避免使用模型预测反向拟合真值，保留原主标签，并将另一档记录为可接受等级。</x:v>
      </x:c>
      <x:c r="J44" s="65" t="str">
        <x:v>三次运行错题并集逐题复核</x:v>
      </x:c>
      <x:c r="K44" s="63" t="str">
        <x:v>如图所示为伽利略制造的第一个温度计，它可以测量气体的温度。以下说法不正确的是（ ）</x:v>
      </x:c>
      <x:c r="L44" s="63" t="str">
        <x:v>A. 该温度计是根据气体的热胀冷缩规律来测量的 B. 该温度计液面在A处时气体的温度比B处时低 C. 为了测量更准确，玻璃管要细一点，球型容器要大一些 D. 将此装置放在室内，当室内温度升高时液柱向上移动</x:v>
      </x:c>
      <x:c r="M44" s="63" t="str">
        <x:v>解：A、该温度计的工作原理是利用气体的热胀冷缩的性质，故A正确； B、玻璃管上温度刻度值越向下，气体压强越大，温度越高，故B正确； C、为了测量更准确，球形容器要大一点，玻璃管要细一点，这样液面的升降更明显，故C正确； D、当外界气温上升的时候，球形容器内的气体受热膨胀，由于密闭，所以压强增大，使管内的液面下降，故D错误。 故选：D。</x:v>
      </x:c>
      <x:c r="N44" s="63" t="str">
        <x:v>https://k12static.xdf.cn/k12/image/externalized/8af79c5f-8d1d-43ea-baff-016270b47f7b.png</x:v>
      </x:c>
      <x:c r="O44" s="63" t="str">
        <x:v>https://k12static.xdf.cn/k12/image/externalized/c7dc65b9-38f3-4415-85ce-0164d3114b63.png</x:v>
      </x:c>
      <x:c r="P44" s="63" t="str">
        <x:v>1-2步</x:v>
      </x:c>
      <x:c r="Q44" s="63" t="str">
        <x:v>概念判断</x:v>
      </x:c>
      <x:c r="R44" s="63" t="str">
        <x:v>双状态</x:v>
      </x:c>
      <x:c r="S44" s="63" t="str">
        <x:v>无约束</x:v>
      </x:c>
      <x:c r="T44" s="63" t="str">
        <x:v>无</x:v>
      </x:c>
      <x:c r="U44" s="63" t="str">
        <x:v>无</x:v>
      </x:c>
      <x:c r="V44" s="63" t="str">
        <x:v>简单因果推理</x:v>
      </x:c>
    </x:row>
    <x:row r="45">
      <x:c r="A45" s="64" t="str">
        <x:v>​2779382891008229376</x:v>
      </x:c>
      <x:c r="B45" s="65" t="str">
        <x:v>基础题</x:v>
      </x:c>
      <x:c r="C45" s="65" t="str">
        <x:v>中等题</x:v>
      </x:c>
      <x:c r="D45" s="65" t="str">
        <x:v>基础题|中等题</x:v>
      </x:c>
      <x:c r="E45" s="65" t="str">
        <x:v>修订GPT主标签</x:v>
      </x:c>
      <x:c r="F45" s="65" t="str">
        <x:v>高</x:v>
      </x:c>
      <x:c r="G45" s="65" t="str">
        <x:v>中等题</x:v>
      </x:c>
      <x:c r="H45" s="65" t="str">
        <x:v>基础题</x:v>
      </x:c>
      <x:c r="I45" s="65" t="str">
        <x:v>需要围绕图表信息提取与关系反推完成常规的3—4个有效决策，或完成一套完整标准实验/共享过程分析。关系仍显性、方法常规，没有决定性隐含转换、复杂边界筛选或多状态强耦合。</x:v>
      </x:c>
      <x:c r="J45" s="65" t="str">
        <x:v>三次运行错题并集逐题复核</x:v>
      </x:c>
      <x:c r="K45" s="63" t="str">
        <x:v>如图是晚上汽车在干燥的沥青路面和潮湿的沥青路面上行驶时大灯部分光路简图，在晚上开车时（ ）</x:v>
      </x:c>
      <x:c r="L45" s="63" t="str">
        <x:v>A. 潮湿的路面更容易发生光的漫发射 B. 干燥的路面发生光的镜面反射 C. 对面无车时，驾驶员看潮湿的路面更暗 D. 照射到干燥路面上的光也遵循光的反射定律</x:v>
      </x:c>
      <x:c r="M45" s="63" t="str">
        <x:v>AC．由图可知，光射到潮湿的沥青路上容易发生镜面反射，当对面有车时，反射光线较集中，驾驶员看潮湿的路面更亮；当对面无车时，驾驶员看潮湿的路面更暗，故A不符合题意，C符合题意；BD．由图可知，光照射到干燥的沥青路面上时发生漫反射，漫反射也遵守光的反射定律，故B不符合题意，D符合题意。故选CD。</x:v>
      </x:c>
      <x:c r="N45" s="63" t="str">
        <x:v>https://k12static.xdf.cn/k12/image/externalized/028cb3e6-f1df-413e-ae4a-ee7d8bb99234.png</x:v>
      </x:c>
      <x:c r="O45" s="63" t="str">
        <x:v>https://k12static.xdf.cn/k12/image/externalized/2deb7ed6-122c-42ac-a1d6-e243adc2bd5e.png</x:v>
      </x:c>
      <x:c r="P45" s="63" t="str">
        <x:v>1-2步</x:v>
      </x:c>
      <x:c r="Q45" s="63" t="str">
        <x:v>概念判断</x:v>
      </x:c>
      <x:c r="R45" s="63" t="str">
        <x:v>单状态</x:v>
      </x:c>
      <x:c r="S45" s="63" t="str">
        <x:v>无约束</x:v>
      </x:c>
      <x:c r="T45" s="63" t="str">
        <x:v>无</x:v>
      </x:c>
      <x:c r="U45" s="63" t="str">
        <x:v>无</x:v>
      </x:c>
      <x:c r="V45" s="63" t="str">
        <x:v>多层因果推理</x:v>
      </x:c>
    </x:row>
    <x:row r="46">
      <x:c r="A46" s="64" t="str">
        <x:v>​2782337033771454464</x:v>
      </x:c>
      <x:c r="B46" s="65" t="str">
        <x:v>基础题</x:v>
      </x:c>
      <x:c r="C46" s="65" t="str">
        <x:v>基础题</x:v>
      </x:c>
      <x:c r="D46" s="65" t="str">
        <x:v>基础题|中等题</x:v>
      </x:c>
      <x:c r="E46" s="65" t="str">
        <x:v>保留原主标签；相邻档有争议</x:v>
      </x:c>
      <x:c r="F46" s="65" t="str">
        <x:v>中</x:v>
      </x:c>
      <x:c r="G46" s="65" t="str">
        <x:v>基础题</x:v>
      </x:c>
      <x:c r="H46" s="65" t="str">
        <x:v>基础题</x:v>
      </x:c>
      <x:c r="I46" s="65" t="str">
        <x:v>第二轮复核认为现有证据只能证明该题处于相邻档边界，不能排除原GPT主标签。为避免使用模型预测反向拟合真值，保留原主标签，并将另一档记录为可接受等级。</x:v>
      </x:c>
      <x:c r="J46" s="65" t="str">
        <x:v>三次运行错题并集逐题复核</x:v>
      </x:c>
      <x:c r="K46" s="63" t="str">
        <x:v>如图为某物体沿直线运动的路程s随时间t变化的图像，下列对该物体0～5s内运动情况分析不正确的是（ ）</x:v>
      </x:c>
      <x:c r="L46" s="63" t="str">
        <x:v>A. 物体在0～1s内做匀速直线运动，速度为1m/s B. 物体在1～3s保持静止 C. 物体在3～5s内平均速度为0.5m/s D. 物体在0～5s内的平均速度为0.67m/s</x:v>
      </x:c>
      <x:c r="M46" s="63" t="str">
        <x:v>解：A、由图可知，物体在0～1s内的s-t图像是倾斜直线，说明此段时间内物体做匀速直线运动，速度v=$\frac{s}{t}$=$\frac{1m}{1s}$=1m/s,故A正确； B、由图可知，物体在1～3s内的s-t图像是平行于时间轴的直线，说明此段时间内物体保持静止状态，故B正确； B、由图可知，物体在3～5s内的s-t图像是倾斜直线，说明此段时间内物体做匀速直线运动，其速度v′=$\frac{s′}{t′}$=$\frac{2m-1m}{5s-3s}$=0.5m/s,故C正确； D、由图可知，物体在0～5s内的路程为s=2m,则平均速度为：v″=$\frac{s″}{t″}$=$\frac{2m}{5s}$=0.4m/s,故D错误。 故选：D。</x:v>
      </x:c>
      <x:c r="N46" s="63" t="str">
        <x:v>https://k12static.xdf.cn/k12/image/externalized/a141c730-a3f0-4b5e-81af-a9c0e16b444e.png</x:v>
      </x:c>
      <x:c r="O46" s="63" t="str">
        <x:v>https://k12static.xdf.cn/k12/image/externalized/c165a9e5-a41c-4169-a1b4-507ac7d59129.png</x:v>
      </x:c>
      <x:c r="P46" s="63" t="str">
        <x:v>3-5步</x:v>
      </x:c>
      <x:c r="Q46" s="63" t="str">
        <x:v>图像表格分析</x:v>
      </x:c>
      <x:c r="R46" s="63" t="str">
        <x:v>多状态</x:v>
      </x:c>
      <x:c r="S46" s="63" t="str">
        <x:v>无约束</x:v>
      </x:c>
      <x:c r="T46" s="63" t="str">
        <x:v>无</x:v>
      </x:c>
      <x:c r="U46" s="63" t="str">
        <x:v>多组比较归纳</x:v>
      </x:c>
      <x:c r="V46" s="63" t="str">
        <x:v>多层因果推理</x:v>
      </x:c>
    </x:row>
    <x:row r="47">
      <x:c r="A47" s="64" t="str">
        <x:v>​2791849545354199040</x:v>
      </x:c>
      <x:c r="B47" s="65" t="str">
        <x:v>送分题</x:v>
      </x:c>
      <x:c r="C47" s="65" t="str">
        <x:v>送分题</x:v>
      </x:c>
      <x:c r="D47" s="65" t="str">
        <x:v>送分题|基础题</x:v>
      </x:c>
      <x:c r="E47" s="65" t="str">
        <x:v>保留原主标签；相邻档有争议</x:v>
      </x:c>
      <x:c r="F47" s="65" t="str">
        <x:v>中</x:v>
      </x:c>
      <x:c r="G47" s="65" t="str">
        <x:v>送分题</x:v>
      </x:c>
      <x:c r="H47" s="65" t="str">
        <x:v>送分题</x:v>
      </x:c>
      <x:c r="I47" s="65" t="str">
        <x:v>第二轮复核认为现有证据只能证明该题处于相邻档边界，不能排除原GPT主标签。为避免使用模型预测反向拟合真值，保留原主标签，并将另一档记录为可接受等级。</x:v>
      </x:c>
      <x:c r="J47" s="65" t="str">
        <x:v>三次运行错题并集逐题复核</x:v>
      </x:c>
      <x:c r="K47" s="63" t="str">
        <x:v>下列物体的质量会发生改变的是（ ）</x:v>
      </x:c>
      <x:c r="L47" s="63" t="str">
        <x:v>A. 水结成冰 B. 将一盒积木全部拼搭成城堡 C. 嫦娥六号从月背将月壤带回地球 D. 写完一篇作文前后的水笔芯</x:v>
      </x:c>
      <x:c r="M47" s="63" t="str">
        <x:v>解：水结成冰状态改变，将一盒积木全部拼搭成城堡，形状改变，嫦娥六号从月背将月壤带回地球，位置改变，质量不变，写完一篇作文前后的水笔芯，质量减小，故D符合题意，ABC不符合题意。 故选：D。</x:v>
      </x:c>
      <x:c r="N47" s="63" t="str">
        <x:v>https://k12static.xdf.cn/k12/image/externalized/1c68beb4-9f46-475a-8821-4574542b21f9.png</x:v>
      </x:c>
      <x:c r="O47" s="63" t="str">
        <x:v>https://k12static.xdf.cn/k12/image/externalized/87a2ff21-b0d0-4385-801e-8ddc0965978c.png</x:v>
      </x:c>
      <x:c r="P47" s="63" t="str">
        <x:v>1-2步</x:v>
      </x:c>
      <x:c r="Q47" s="63" t="str">
        <x:v>概念判断</x:v>
      </x:c>
      <x:c r="R47" s="63" t="str">
        <x:v>单状态</x:v>
      </x:c>
      <x:c r="S47" s="63" t="str">
        <x:v>无约束</x:v>
      </x:c>
      <x:c r="T47" s="63" t="str">
        <x:v>无</x:v>
      </x:c>
      <x:c r="U47" s="63" t="str">
        <x:v>无</x:v>
      </x:c>
      <x:c r="V47" s="63" t="str">
        <x:v>简单因果推理</x:v>
      </x:c>
    </x:row>
    <x:row r="48">
      <x:c r="A48" s="64" t="str">
        <x:v>​2819331427784491008</x:v>
      </x:c>
      <x:c r="B48" s="65" t="str">
        <x:v>基础题</x:v>
      </x:c>
      <x:c r="C48" s="65" t="str">
        <x:v>基础题</x:v>
      </x:c>
      <x:c r="D48" s="65" t="str">
        <x:v>基础题|中等题</x:v>
      </x:c>
      <x:c r="E48" s="65" t="str">
        <x:v>保留原主标签；相邻档有争议</x:v>
      </x:c>
      <x:c r="F48" s="65" t="str">
        <x:v>中</x:v>
      </x:c>
      <x:c r="G48" s="65" t="str">
        <x:v>基础题</x:v>
      </x:c>
      <x:c r="H48" s="65" t="str">
        <x:v>基础题</x:v>
      </x:c>
      <x:c r="I48" s="65" t="str">
        <x:v>第二轮复核认为现有证据只能证明该题处于相邻档边界，不能排除原GPT主标签。为避免使用模型预测反向拟合真值，保留原主标签，并将另一档记录为可接受等级。</x:v>
      </x:c>
      <x:c r="J48" s="65" t="str">
        <x:v>三次运行错题并集逐题复核</x:v>
      </x:c>
      <x:c r="K48" s="63" t="str">
        <x:v>如图所示，水平地面上放置一底面积为 20cm²、质量为2kg的长方体，现对其施加一个竖直向上大小为10N的拉力F，下列说法错误的是（ ） （g取10N/kg）</x:v>
      </x:c>
      <x:c r="L48" s="63" t="str">
        <x:v>A. 物体处于平衡状态，即合力为0 B. 物体所受重力为20N。 C. 桌面对物体的支持力为10N D. 物体对桌面的压强为 $1\times 10^{4}\mathrm{Pa}$</x:v>
      </x:c>
      <x:c r="M48" s="63" t="str">
        <x:v>B．长方体的重力为G=mg=2kg×10N/kg=20N故B正确，不符合题意；A．由于拉力F小于重力，所以没拉动，物体处于静止状态，静止的物体所受的合力为0，故A正确，不符合题意；C．对物体受力分析可知，物体受重力G、支持力F支和向上的拉力F，三力平衡，所以支持力为F支=G-F=20N-10N =10N故C正确，不符合题意；D．由于压力和支持力是一对相互作用力，大小相等，所以物体对桌面的压力为F压=F支=10N物体对桌面的压强为$p=\dfrac{F_{\mathrm{压}}}{S}=\dfrac{10\mathrm{N}}{20\times 10^{-4}\mathrm{m}^{2}}=5000\mathrm{Pa}$故D错误，符合题意。故选D。</x:v>
      </x:c>
      <x:c r="N48" s="63" t="str">
        <x:v>https://k12static.xdf.cn/k12/image/externalized/f95d31f2-5614-41d4-a197-e96a7ba5e4f8.png</x:v>
      </x:c>
      <x:c r="O48" s="63" t="str">
        <x:v>https://k12static.xdf.cn/k12/image/externalized/c34bb46f-ceb9-4fe1-aa8e-6629f681a9db.png</x:v>
      </x:c>
      <x:c r="P48" s="63" t="str">
        <x:v>1-2步</x:v>
      </x:c>
      <x:c r="Q48" s="63" t="str">
        <x:v>力学综合</x:v>
      </x:c>
      <x:c r="R48" s="63" t="str">
        <x:v>单状态</x:v>
      </x:c>
      <x:c r="S48" s="63" t="str">
        <x:v>单一约束</x:v>
      </x:c>
      <x:c r="T48" s="63" t="str">
        <x:v>无</x:v>
      </x:c>
      <x:c r="U48" s="63" t="str">
        <x:v>无</x:v>
      </x:c>
      <x:c r="V48" s="63" t="str">
        <x:v>多层因果推理</x:v>
      </x:c>
    </x:row>
    <x:row r="49">
      <x:c r="A49" s="64" t="str">
        <x:v>​2842562290281402368</x:v>
      </x:c>
      <x:c r="B49" s="65" t="str">
        <x:v>拔高题</x:v>
      </x:c>
      <x:c r="C49" s="65" t="str">
        <x:v>中等题</x:v>
      </x:c>
      <x:c r="D49" s="65" t="str">
        <x:v>中等题|拔高题</x:v>
      </x:c>
      <x:c r="E49" s="65" t="str">
        <x:v>修订GPT主标签</x:v>
      </x:c>
      <x:c r="F49" s="65" t="str">
        <x:v>高</x:v>
      </x:c>
      <x:c r="G49" s="65" t="str">
        <x:v>拔高题</x:v>
      </x:c>
      <x:c r="H49" s="65" t="str">
        <x:v>拔高题</x:v>
      </x:c>
      <x:c r="I49" s="65" t="str">
        <x:v>需要围绕标准实验流程、读数与数据归纳完成常规的3—4个有效决策，或完成一套完整标准实验/共享过程分析。关系仍显性、方法常规，没有决定性隐含转换、复杂边界筛选或多状态强耦合。</x:v>
      </x:c>
      <x:c r="J49" s="65" t="str">
        <x:v>三次运行错题并集逐题复核</x:v>
      </x:c>
      <x:c r="K49" s="63" t="str">
        <x:v>小云准备用如图所示装置“测量物体运动的平均速度”。（1）斜面的一端用木块垫起，使它保持 （选填“较大”或“较小”）的坡度。金属片的作用是 。（2）把小车放在斜面顶端，金属片放在斜面底端，用 测出小车将要通过的路程 s1，用停表测量小车从斜面顶端由 释放到撞击金属片的时间t1。利用公式$v_{1}=\dfrac{s_{1}}{t_{1}}$算出小车通过斜面全程的平均速度v1。（3）如图中AB段的路程sAB= cm，如果测得时间tAB=1.6s，则AB段的平均速度vAB= cm/s。（4）若小车还没开始下滑之前就已开始计时，则测得的平均速度跟真实值相比偏 （选填“大”或“小”）。（5）将金属片移至斜面的中部某位置，测出顶端到金属片的距离 s2.然后继续实验，测出小车从斜面顶端滑下到撞击金属片的时间 t2，算出小车通过全程的后段路程的平均速度为 （请用物理量s1、t1、s2和t2表示）。（6）以下能够较为准确反映小车从开始下滑到撞击金属片的运动情况的是 。</x:v>
      </x:c>
      <x:c r="L49" s="63" t="str"/>
      <x:c r="M49" s="63" t="str">
        <x:v>（1）[1]斜面的一端用木块垫起，使它保持较小的坡度，目的是使小车以较小的速度从斜面滑下，以便能较准确的测量小车运动时间。[2]金属片是为了使小车停下来并发出声音方便计时。（2）[3]小车通过的路程 s1用刻度尺进行测量。[4]用停表测量小车从斜面顶端由静止释放到撞击金属片的时间。（3）[5]由图可知， AB段的路程sAB=40.0cm。[6] AB段的平均速度为$v_{AB}=\dfrac{s_{AB}}{t_{AB}}=\dfrac{40.0\mathrm{cm}}{1.6\mathrm{s}}=25.0\mathrm{cm}/\mathrm{s}$（4）[7]若小车还没有开始下滑就已经开始计时，则测得的时间偏大，所以平均速度的测量值会偏小。（5）[8] 全程的后段路程为$s=s_{1}-s_{2}$小车通过后段路程的时间为$t=t_{1}-t_{2}$所以后段路程的平均速度为$v=\dfrac{s}{t}=\dfrac{s_{1}-s_{2}}{t_{1}-t_{2}}$（6）[9]小车从开始下滑到撞击金属片的过程中，速度一直增大，故选C。</x:v>
      </x:c>
      <x:c r="N49" s="63" t="str">
        <x:v>https://k12static.xdf.cn/k12/image/externalized/537c37b0-b8ed-481b-911b-bbf56d2ad0ea.png</x:v>
      </x:c>
      <x:c r="O49" s="63" t="str">
        <x:v>https://k12static.xdf.cn/k12/image/externalized/46e43243-ac08-4932-9b9b-5421ebb7bcbc.png</x:v>
      </x:c>
      <x:c r="P49" s="63" t="str">
        <x:v>3-5步</x:v>
      </x:c>
      <x:c r="Q49" s="63" t="str">
        <x:v>实验探究</x:v>
      </x:c>
      <x:c r="R49" s="63" t="str">
        <x:v>单状态</x:v>
      </x:c>
      <x:c r="S49" s="63" t="str">
        <x:v>无约束</x:v>
      </x:c>
      <x:c r="T49" s="63" t="str">
        <x:v>控制变量或故障分析</x:v>
      </x:c>
      <x:c r="U49" s="63" t="str">
        <x:v>直接读数</x:v>
      </x:c>
      <x:c r="V49" s="63" t="str">
        <x:v>多层因果推理</x:v>
      </x:c>
    </x:row>
    <x:row r="50">
      <x:c r="A50" s="64" t="str">
        <x:v>​2857543663990099968</x:v>
      </x:c>
      <x:c r="B50" s="65" t="str">
        <x:v>拔高题</x:v>
      </x:c>
      <x:c r="C50" s="65" t="str">
        <x:v>中等题</x:v>
      </x:c>
      <x:c r="D50" s="65" t="str">
        <x:v>中等题|拔高题</x:v>
      </x:c>
      <x:c r="E50" s="65" t="str">
        <x:v>修订GPT主标签</x:v>
      </x:c>
      <x:c r="F50" s="65" t="str">
        <x:v>高</x:v>
      </x:c>
      <x:c r="G50" s="65" t="str">
        <x:v>拔高题</x:v>
      </x:c>
      <x:c r="H50" s="65" t="str">
        <x:v>拔高题</x:v>
      </x:c>
      <x:c r="I50" s="65" t="str">
        <x:v>需要围绕标准实验流程、读数与数据归纳完成常规的3—4个有效决策，或完成一套完整标准实验/共享过程分析。关系仍显性、方法常规，没有决定性隐含转换、复杂边界筛选或多状态强耦合。</x:v>
      </x:c>
      <x:c r="J50" s="65" t="str">
        <x:v>三次运行错题并集逐题复核</x:v>
      </x:c>
      <x:c r="K50" s="63" t="str">
        <x:v>如图所示，让小车从斜面的A点由静止开始下滑，分别测出小车到达B点和C点的时间，即可测出不同阶段的平均速度。 （1）该实验是根据 ________ 公式进行测量的； （2）选用的器材除小车、木板、垫块和金属挡板外，还需要的测量工具是 ________ 和 ________ ； （3）金属片的作用是 ________ ； （4）实验中，应使斜面的坡度较 ________ （填“大”或“小”），目的是 ________ ； （5测得小车通过AB段时时间 tAB=1.6s,通过AC段时间tAC=2.4s,则AB段的距离是 ________ cm,AB段及BC的平均速度vAB= ________ m/s,vBC= ________ m/s；在整个运动过程中小车做的是 ________ ；（填“匀速直线运动”或“变速直线运动”） （6）在测量小车到达B点的时间时，如果小车过了B点才停止计时，测得AB段的平均速度vAB会偏 ________ （选填“大”或“小”）； （7）根据你的实验，你认为小车由静止释放，斜面的倾角增大后，通过相同的路程，小车运动的平均速度将要 ________ 。（填“不变”“变大”或“变小”）</x:v>
      </x:c>
      <x:c r="L50" s="63" t="str"/>
      <x:c r="M50" s="63" t="str">
        <x:v>解：（1）测量平均速度实验的原理为：v=$\frac{s}{t}$； （2）实验中要用刻度尺测量小车通过的路程，用停表测量小车通过该段路程所用的时间； （3）为了便于测量时间，斜面底端加金属片，目的是为了使小车在同一位置停下； （4）为了计时方便，应让小车运动的慢些，运动的时间长些，所以斜面的坡度要较小； （5）图中刻度尺的分度值为1cm,sAB=80.0cm-40.0cm=40.0cm,tAB=1.6s,则AB段的平均速度为：vAB=$\frac{{s}_{AB}}{{t}_{AB}}=\frac{40.0cm}{1.6s}$=25cm/s=0.25m/s； sBC=40.0cm,tBC=tAC-tAB=2.4s-1.6s=0.8s,则BC段的平均速度为：vBC=$\frac{{s}_{BC}}{{t}_{BC}}=\frac{40.0cm}{0.8s}=50cm/s$=0.5m/s； 小车全程在做变速直线运动； （6）如果小车过了B点才停止计时，会导致时间的测量结果偏大，由v=$\frac{s}{t}$可得，AB段的平均速度偏小； （7）斜面倾角加大，所用时间偏短，由v=$\frac{s}{t}$可得，通过相同的路程，小车运动的平均速度要变大。 故答案为：（1）v=$\frac{s}{t}$； （2）刻度尺；停表； （3）让小车在同一位置停下； （4）小；让小车运动的慢些，便于计时； （5）40.0；0.25；0.5；变速直线运动； （6）小； （7）变大。</x:v>
      </x:c>
      <x:c r="N50" s="63" t="str">
        <x:v>https://k12static.xdf.cn/k12/image/externalized/fd8bdb40-0f8d-4e13-b79d-fb1761b54d58.png</x:v>
      </x:c>
      <x:c r="O50" s="63" t="str">
        <x:v>https://k12static.xdf.cn/k12/image/externalized/865efe6b-e1ed-429d-bc16-35b39b45502e.png</x:v>
      </x:c>
      <x:c r="P50" s="63" t="str">
        <x:v>3-5步</x:v>
      </x:c>
      <x:c r="Q50" s="63" t="str">
        <x:v>实验探究</x:v>
      </x:c>
      <x:c r="R50" s="63" t="str">
        <x:v>双状态</x:v>
      </x:c>
      <x:c r="S50" s="63" t="str">
        <x:v>无约束</x:v>
      </x:c>
      <x:c r="T50" s="63" t="str">
        <x:v>控制变量或故障分析</x:v>
      </x:c>
      <x:c r="U50" s="63" t="str">
        <x:v>无</x:v>
      </x:c>
      <x:c r="V50" s="63" t="str">
        <x:v>多层因果推理</x:v>
      </x:c>
    </x:row>
    <x:row r="51">
      <x:c r="A51" s="64" t="str">
        <x:v>​2861647610033246208</x:v>
      </x:c>
      <x:c r="B51" s="65" t="str">
        <x:v>拔高题</x:v>
      </x:c>
      <x:c r="C51" s="65" t="str">
        <x:v>中等题</x:v>
      </x:c>
      <x:c r="D51" s="65" t="str">
        <x:v>中等题|拔高题</x:v>
      </x:c>
      <x:c r="E51" s="65" t="str">
        <x:v>修订GPT主标签</x:v>
      </x:c>
      <x:c r="F51" s="65" t="str">
        <x:v>高</x:v>
      </x:c>
      <x:c r="G51" s="65" t="str">
        <x:v>拔高题</x:v>
      </x:c>
      <x:c r="H51" s="65" t="str">
        <x:v>拔高题</x:v>
      </x:c>
      <x:c r="I51" s="65" t="str">
        <x:v>需要围绕标准实验流程、读数与数据归纳完成常规的3—4个有效决策，或完成一套完整标准实验/共享过程分析。关系仍显性、方法常规，没有决定性隐含转换、复杂边界筛选或多状态强耦合。</x:v>
      </x:c>
      <x:c r="J51" s="65" t="str">
        <x:v>三次运行错题并集逐题复核</x:v>
      </x:c>
      <x:c r="K51" s="63" t="str">
        <x:v>如图1所示是小明用易拉罐制成的简易针孔照相机： （1）使用针孔照相机时，小孔对着 ________ （选填“明亮”或“较暗”）的物体进行观察，更容易看到物体的像； （2）小明从实验室借来用发光二极管制成的“F”字样光源，如图2甲所示，将“F”字样光源、简易针孔照相机按图2乙所示位置放好，小明观察到塑料膜上所成的像是图2丙中的 ________ （填序号），这个像是 ________ （选填“实像”或“虚像”）； （3）保持“F”字样光源的位置不变，将易拉罐靠近发光的“F”，小明观察到塑料膜上所成的像的会 ________ （选填：“变大”、“变小”或“不变”）；若将“F”字样光源向上移动，则塑料薄膜上的像向 ________ （选填“上”或“下”）方移动； （4）小华无意间在易拉罐底部不同位置戳了两个小孔，用它来观察光源F，则半透明膜上会 ________ ；（填正确选项前的字母） A．只会出现一个像 B．在不同的位置出现两个像 C．出现两个重合的像 （5）当“F”字样光源顺时针旋转，小明观察到塑料膜上所成的像会 ________ （选填：“顺”或“逆”）时针旋转；若将小孔遮去一半，像会变得更 ________ （亮/暗）； （6）若只将小圆孔改为三角形小孔，则像的形状 ________ （选填“改变”或“不变”），若再将小圆孔改为10cm边长的正方形大孔，将此大孔正对太阳，则地上的光斑的形状是 ________ ； （7）晴天的正午时分，走在青枫公园的树林里，小明看到阳光透过树叶的缝隙在地上留下许多大小不同的圆形光斑是 ________ （填“太阳”、“树叶的缝隙”或“树叶”）的 ________ （选填“像”或“影子”）。圆形光斑大小不一原因是树叶间缝隙到 ________ 距离不同（选填“地面”或“太阳”）。</x:v>
      </x:c>
      <x:c r="L51" s="63" t="str"/>
      <x:c r="M51" s="63" t="str">
        <x:v>解：（1）小孔成像实验中，是物体反射的光经小孔所成的像，对着明亮的物体像也更亮一些，更容易观察。 （2）小孔成像是光的直线传播形成的，所成的像为倒立的实像，故所成的像应为②。 （3）根据小孔成像的原理是光的直线传播，当易拉罐靠近发光的“F”时，物距减小，像距不变，则像变大，如果光源向上移动，则塑料薄膜上的像向下移动。 （4）小孔成像是光经过小孔成的实像，小华无意间在易拉罐底部不同位置戳了两个小孔，用它来观察蜡烛，蜡烛光分别经过两孔，成实像，则半透明膜上会在不同的位置出现两个像，故B正确。 （5）根据小孔成像的原理是光的直线传播，当物体顺时针转动时，像也会顺时针转动，如果小孔变小了，经过的光线也会变少，像会变暗。 （6）小孔成像中所成的像与物的形状有关，与孔的形状无关，故光斑的形状不变。 太阳离我们较远，太阳光接近于平行光，如果方形的孔太大，太阳光经过大方孔时可能不会成像，会在地上留下一下方形的光斑，与孔的形状相同。 （7）根据小孔成像的原理，阳光透过树叶的缝隙在地上留下许多大小不同的圆形光斑是太阳成在地面的像，像的大小与物距有关，与像距也有关，但太阳离我们较远，树叶间缝隙与太阳的距离变化可以忽略不计，故圆形光斑大小不一原因是树叶间缝隙到地面即像距不同造成的。 故答案为：（1）明亮；（2）②；实像；（3）变大；下；（4）B；（5）顺；暗；（6）不变；方形；（7）太阳；像；地面。</x:v>
      </x:c>
      <x:c r="N51" s="63" t="str">
        <x:v>https://k12static.xdf.cn/k12/image/externalized/351b85d2-5c20-4c73-a22e-dad55d2ff194.png</x:v>
      </x:c>
      <x:c r="O51" s="63" t="str">
        <x:v>https://k12static.xdf.cn/k12/image/externalized/e8f16cb0-30a7-46f7-938a-1f4003538868.png</x:v>
      </x:c>
      <x:c r="P51" s="63" t="str">
        <x:v>1-2步</x:v>
      </x:c>
      <x:c r="Q51" s="63" t="str">
        <x:v>光学声学综合</x:v>
      </x:c>
      <x:c r="R51" s="63" t="str">
        <x:v>单状态</x:v>
      </x:c>
      <x:c r="S51" s="63" t="str">
        <x:v>无约束</x:v>
      </x:c>
      <x:c r="T51" s="63" t="str">
        <x:v>控制变量或故障分析</x:v>
      </x:c>
      <x:c r="U51" s="63" t="str">
        <x:v>无</x:v>
      </x:c>
      <x:c r="V51" s="63" t="str">
        <x:v>多层因果推理</x:v>
      </x:c>
    </x:row>
    <x:row r="52">
      <x:c r="A52" s="64" t="str">
        <x:v>​2861668460251148288</x:v>
      </x:c>
      <x:c r="B52" s="65" t="str">
        <x:v>送分题</x:v>
      </x:c>
      <x:c r="C52" s="65" t="str">
        <x:v>送分题</x:v>
      </x:c>
      <x:c r="D52" s="65" t="str">
        <x:v>送分题|基础题</x:v>
      </x:c>
      <x:c r="E52" s="65" t="str">
        <x:v>保留原主标签；相邻档有争议</x:v>
      </x:c>
      <x:c r="F52" s="65" t="str">
        <x:v>中</x:v>
      </x:c>
      <x:c r="G52" s="65" t="str">
        <x:v>送分题</x:v>
      </x:c>
      <x:c r="H52" s="65" t="str">
        <x:v>基础题</x:v>
      </x:c>
      <x:c r="I52" s="65" t="str">
        <x:v>第二轮复核认为现有证据只能证明该题处于相邻档边界，不能排除原GPT主标签。为避免使用模型预测反向拟合真值，保留原主标签，并将另一档记录为可接受等级。</x:v>
      </x:c>
      <x:c r="J52" s="65" t="str">
        <x:v>三次运行错题并集逐题复核</x:v>
      </x:c>
      <x:c r="K52" s="63" t="str">
        <x:v>如图所示，甲、乙两小磁针在一根磁铁附近，下列判断正确的是（ ）</x:v>
      </x:c>
      <x:c r="L52" s="63" t="str">
        <x:v>A. 甲小磁针左端是S极，乙小磁针左端是N极 B. 甲小磁针左端是N极，乙小磁针左端也是N极 C. 甲小磁针左端是S极，乙小磁针左端也是S极 D. 甲小磁针左端是N极，乙小磁针左端是S极</x:v>
      </x:c>
      <x:c r="M52" s="63" t="str">
        <x:v>解：由于同名磁极相互排斥，异名磁极相互吸引，可知条形磁体的a端与小磁针的N极吸引是S极，b端是N极；小磁针甲和乙的左端都指向条形磁体的a端即条形磁体的S极，所以均为N极。 故选：B。</x:v>
      </x:c>
      <x:c r="N52" s="63" t="str">
        <x:v>https://k12static.xdf.cn/k12/image/externalized/cd80a8d0-0e43-4815-b208-a9b1d64952b1.png</x:v>
      </x:c>
      <x:c r="O52" s="63" t="str">
        <x:v>https://k12static.xdf.cn/k12/image/externalized/565ba618-fcf8-4399-9416-678ee457f956.png</x:v>
      </x:c>
      <x:c r="P52" s="63" t="str">
        <x:v>1-2步</x:v>
      </x:c>
      <x:c r="Q52" s="63" t="str">
        <x:v>概念判断</x:v>
      </x:c>
      <x:c r="R52" s="63" t="str">
        <x:v>单状态</x:v>
      </x:c>
      <x:c r="S52" s="63" t="str">
        <x:v>无约束</x:v>
      </x:c>
      <x:c r="T52" s="63" t="str">
        <x:v>无</x:v>
      </x:c>
      <x:c r="U52" s="63" t="str">
        <x:v>无</x:v>
      </x:c>
      <x:c r="V52" s="63" t="str">
        <x:v>简单因果推理</x:v>
      </x:c>
    </x:row>
    <x:row r="53">
      <x:c r="A53" s="64" t="str">
        <x:v>​2883446683577978880</x:v>
      </x:c>
      <x:c r="B53" s="65" t="str">
        <x:v>基础题</x:v>
      </x:c>
      <x:c r="C53" s="65" t="str">
        <x:v>基础题</x:v>
      </x:c>
      <x:c r="D53" s="65" t="str">
        <x:v>基础题|中等题</x:v>
      </x:c>
      <x:c r="E53" s="65" t="str">
        <x:v>保留原主标签；相邻档有争议</x:v>
      </x:c>
      <x:c r="F53" s="65" t="str">
        <x:v>中</x:v>
      </x:c>
      <x:c r="G53" s="65" t="str">
        <x:v>基础题</x:v>
      </x:c>
      <x:c r="H53" s="65" t="str">
        <x:v>基础题</x:v>
      </x:c>
      <x:c r="I53" s="65" t="str">
        <x:v>第二轮复核认为现有证据只能证明该题处于相邻档边界，不能排除原GPT主标签。为避免使用模型预测反向拟合真值，保留原主标签，并将另一档记录为可接受等级。</x:v>
      </x:c>
      <x:c r="J53" s="65" t="str">
        <x:v>三次运行错题并集逐题复核</x:v>
      </x:c>
      <x:c r="K53" s="63" t="str">
        <x:v>如图是举重运动员挺举过程中将杠铃举到头顶静止时的场景。下列说法正确的是（ ）</x:v>
      </x:c>
      <x:c r="L53" s="63" t="str">
        <x:v>A. 杠铃所受的重力与杠铃对运动员的压力是一对相互作用力 B. 运动员所受的重力与地面对运动员的支持力是一对平衡力 C. 地面对运动员的支持力大于运动员所受的重力 D. 运动员对地面的压力是由于地面发生弹性形变而产生的</x:v>
      </x:c>
      <x:c r="M53" s="63" t="str">
        <x:v>解：A、杠铃所受的重力与杠铃对运动员的压力方向相同，不是一对相互作用力，故A错误； B、运动员所受的重力与地面对运动员的支持力大小不相同，不是一对平衡力，故B错误； C、地面对运动员的支持力等于运动员与杠铃的重力之和，因此，这个支持力大于运动员所受的重力，故C正确； D、运动员对地面的压力是由于运动员的脚底发生弹性形变而产生的，故D错误。 故选：C。</x:v>
      </x:c>
      <x:c r="N53" s="63" t="str">
        <x:v>https://k12static.xdf.cn/k12/image/externalized/89bb8629-13e1-4c6f-823e-b3c1de6ad210.png</x:v>
      </x:c>
      <x:c r="O53" s="63" t="str">
        <x:v>https://k12static.xdf.cn/k12/image/externalized/7be0b917-d146-4479-9d05-286afa0c8de2.png</x:v>
      </x:c>
      <x:c r="P53" s="63" t="str">
        <x:v>1-2步</x:v>
      </x:c>
      <x:c r="Q53" s="63" t="str">
        <x:v>概念判断</x:v>
      </x:c>
      <x:c r="R53" s="63" t="str">
        <x:v>单状态</x:v>
      </x:c>
      <x:c r="S53" s="63" t="str">
        <x:v>无约束</x:v>
      </x:c>
      <x:c r="T53" s="63" t="str">
        <x:v>无</x:v>
      </x:c>
      <x:c r="U53" s="63" t="str">
        <x:v>无</x:v>
      </x:c>
      <x:c r="V53" s="63" t="str">
        <x:v>多层因果推理</x:v>
      </x:c>
    </x:row>
    <x:row r="54">
      <x:c r="A54" s="64" t="str">
        <x:v>​2884981475679997952</x:v>
      </x:c>
      <x:c r="B54" s="65" t="str">
        <x:v>基础题</x:v>
      </x:c>
      <x:c r="C54" s="65" t="str">
        <x:v>基础题</x:v>
      </x:c>
      <x:c r="D54" s="65" t="str">
        <x:v>基础题|中等题</x:v>
      </x:c>
      <x:c r="E54" s="65" t="str">
        <x:v>保留原主标签；相邻档有争议</x:v>
      </x:c>
      <x:c r="F54" s="65" t="str">
        <x:v>中</x:v>
      </x:c>
      <x:c r="G54" s="65" t="str">
        <x:v>基础题</x:v>
      </x:c>
      <x:c r="H54" s="65" t="str">
        <x:v>中等题</x:v>
      </x:c>
      <x:c r="I54" s="65" t="str">
        <x:v>第二轮复核认为现有证据只能证明该题处于相邻档边界，不能排除原GPT主标签。为避免使用模型预测反向拟合真值，保留原主标签，并将另一档记录为可接受等级。</x:v>
      </x:c>
      <x:c r="J54" s="65" t="str">
        <x:v>三次运行错题并集逐题复核</x:v>
      </x:c>
      <x:c r="K54" s="63" t="str">
        <x:v>两个相同的量筒里装有相同体积的水，用细绳拴着质量相等的实心铝块、铜块，分别浸没在各量筒的水中，水没有溢出，已知ρ铝＜ρ铜，则水对量筒底部的压强（ ）</x:v>
      </x:c>
      <x:c r="L54" s="63" t="str">
        <x:v>A. 放铜块的大 B. 放铝块的大 C. 一样大 D. 条件不足，无法确定</x:v>
      </x:c>
      <x:c r="M54" s="63" t="str">
        <x:v>解：因为m铜=m铝，ρ铜＞ρ铝，所以根据ρ=$\frac{m}{V}$可知，V铜＜V铝， 因为这两个金属块都浸没入水量筒里，所以它们排出水的体积都等于它们各自的体积，则V铜排＜V铝排，所以放铝块的量筒水面最高，根据公式p=ρgh可知，放铝块的量筒底部受到的压强最大。 故选：B。</x:v>
      </x:c>
      <x:c r="N54" s="63" t="str">
        <x:v>https://k12static.xdf.cn/k12/image/externalized/75ea61b2-f3f3-4dc1-bafc-4dc2d3783b8c.png</x:v>
      </x:c>
      <x:c r="O54" s="63" t="str">
        <x:v>https://k12static.xdf.cn/k12/image/externalized/f48dd0c8-e642-431a-977c-39312cc2ddd3.png</x:v>
      </x:c>
      <x:c r="P54" s="63" t="str">
        <x:v>1-2步</x:v>
      </x:c>
      <x:c r="Q54" s="63" t="str">
        <x:v>力学综合</x:v>
      </x:c>
      <x:c r="R54" s="63" t="str">
        <x:v>单状态</x:v>
      </x:c>
      <x:c r="S54" s="63" t="str">
        <x:v>无约束</x:v>
      </x:c>
      <x:c r="T54" s="63" t="str">
        <x:v>无</x:v>
      </x:c>
      <x:c r="U54" s="63" t="str">
        <x:v>无</x:v>
      </x:c>
      <x:c r="V54" s="63" t="str">
        <x:v>简单因果推理</x:v>
      </x:c>
    </x:row>
    <x:row r="55">
      <x:c r="A55" s="64" t="str">
        <x:v>​2892517851348377600</x:v>
      </x:c>
      <x:c r="B55" s="65" t="str">
        <x:v>基础题</x:v>
      </x:c>
      <x:c r="C55" s="65" t="str">
        <x:v>中等题</x:v>
      </x:c>
      <x:c r="D55" s="65" t="str">
        <x:v>基础题|中等题</x:v>
      </x:c>
      <x:c r="E55" s="65" t="str">
        <x:v>修订GPT主标签</x:v>
      </x:c>
      <x:c r="F55" s="65" t="str">
        <x:v>高</x:v>
      </x:c>
      <x:c r="G55" s="65" t="str">
        <x:v>中等题</x:v>
      </x:c>
      <x:c r="H55" s="65" t="str">
        <x:v>基础题</x:v>
      </x:c>
      <x:c r="I55" s="65" t="str">
        <x:v>需依次建立称重法浮力关系、上下表面压力差关系并比较F与G-T，形成约3步连续力学推理，基础档偏低。</x:v>
      </x:c>
      <x:c r="J55" s="65" t="str">
        <x:v>三次运行错题并集逐题复核</x:v>
      </x:c>
      <x:c r="K55" s="63" t="str">
        <x:v>在如图中，重为G的金属块静止在水面下，弹簧测力计的示数为T，金属块下表面受到水的压力为F，则下列说法正确的是（ ）</x:v>
      </x:c>
      <x:c r="L55" s="63" t="str">
        <x:v>A. T＞G B. T=G C. F＞G-T D. F=G-T</x:v>
      </x:c>
      <x:c r="M55" s="63" t="str">
        <x:v>解：AB、由称重法可知：G-T=F浮，而F浮，不为0，所以T＜G，故AB错误； CD、由称重法可知：G-T=F浮，而F浮=F-F上，F＞F浮，所以F＞G-T，故C正确、D错误。 故选：C。</x:v>
      </x:c>
      <x:c r="N55" s="63" t="str">
        <x:v>https://k12static.xdf.cn/k12/image/externalized/0f65bbc1-a8d0-41f7-bb56-4ce0956808c7.png</x:v>
      </x:c>
      <x:c r="O55" s="63" t="str">
        <x:v>https://k12static.xdf.cn/k12/image/externalized/710ecc6f-af25-4fe8-a265-31d3e46ad1d6.png</x:v>
      </x:c>
      <x:c r="P55" s="63" t="str">
        <x:v>3-5步</x:v>
      </x:c>
      <x:c r="Q55" s="63" t="str">
        <x:v>概念判断</x:v>
      </x:c>
      <x:c r="R55" s="63" t="str">
        <x:v>单状态</x:v>
      </x:c>
      <x:c r="S55" s="63" t="str">
        <x:v>单一约束</x:v>
      </x:c>
      <x:c r="T55" s="63" t="str">
        <x:v>无</x:v>
      </x:c>
      <x:c r="U55" s="63" t="str">
        <x:v>无</x:v>
      </x:c>
      <x:c r="V55" s="63" t="str">
        <x:v>多层因果推理</x:v>
      </x:c>
    </x:row>
    <x:row r="56">
      <x:c r="A56" s="64" t="str">
        <x:v>​2916751986216505344</x:v>
      </x:c>
      <x:c r="B56" s="65" t="str">
        <x:v>送分题</x:v>
      </x:c>
      <x:c r="C56" s="65" t="str">
        <x:v>送分题</x:v>
      </x:c>
      <x:c r="D56" s="65" t="str">
        <x:v>送分题|基础题</x:v>
      </x:c>
      <x:c r="E56" s="65" t="str">
        <x:v>保留原主标签；相邻档有争议</x:v>
      </x:c>
      <x:c r="F56" s="65" t="str">
        <x:v>中</x:v>
      </x:c>
      <x:c r="G56" s="65" t="str">
        <x:v>送分题</x:v>
      </x:c>
      <x:c r="H56" s="65" t="str">
        <x:v>基础题</x:v>
      </x:c>
      <x:c r="I56" s="65" t="str">
        <x:v>第二轮复核认为现有证据只能证明该题处于相邻档边界，不能排除原GPT主标签。为避免使用模型预测反向拟合真值，保留原主标签，并将另一档记录为可接受等级。</x:v>
      </x:c>
      <x:c r="J56" s="65" t="str">
        <x:v>三次运行错题并集逐题复核</x:v>
      </x:c>
      <x:c r="K56" s="63" t="str">
        <x:v>下列物体没有受到浮力作用的是（ ）</x:v>
      </x:c>
      <x:c r="L56" s="63" t="str">
        <x:v>A. 在水中嬉戏的小鸭 B. 在蓝天飞翔的老鹰 C. 深海潜游的鲸鱼 D. 深入河底的桥墩</x:v>
      </x:c>
      <x:c r="M56" s="63" t="str">
        <x:v>解：ABC中的物体浸在液体或气体中，因为液体、气体有流动性，因此液体或气体对浸没在其中的物体有向上的作用力和向下的压力作用，其中向上的压力大于向下的压力，这个压力差即物体受到的浮力，故ABC选项中的物体均受到浮力的作用； D中的桥墩由于底面埋在地下，不能与水接触，因此桥墩没有受到水对其向上的压力，故桥墩不受浮力作用。 故选：D。</x:v>
      </x:c>
      <x:c r="N56" s="63" t="str">
        <x:v>https://k12static.xdf.cn/k12/image/externalized/3b8c8d11-060e-4383-9e53-6ae52cc41ea5.png</x:v>
      </x:c>
      <x:c r="O56" s="63" t="str">
        <x:v>https://k12static.xdf.cn/k12/image/externalized/9f1475d5-348c-4924-9c26-f5f7797e553c.png</x:v>
      </x:c>
      <x:c r="P56" s="63" t="str">
        <x:v>1-2步</x:v>
      </x:c>
      <x:c r="Q56" s="63" t="str">
        <x:v>概念判断</x:v>
      </x:c>
      <x:c r="R56" s="63" t="str">
        <x:v>单状态</x:v>
      </x:c>
      <x:c r="S56" s="63" t="str">
        <x:v>无约束</x:v>
      </x:c>
      <x:c r="T56" s="63" t="str">
        <x:v>无</x:v>
      </x:c>
      <x:c r="U56" s="63" t="str">
        <x:v>无</x:v>
      </x:c>
      <x:c r="V56" s="63" t="str">
        <x:v>简单因果推理</x:v>
      </x:c>
    </x:row>
    <x:row r="57">
      <x:c r="A57" s="64" t="str">
        <x:v>​2929286769553530880</x:v>
      </x:c>
      <x:c r="B57" s="65" t="str">
        <x:v>基础题</x:v>
      </x:c>
      <x:c r="C57" s="65" t="str">
        <x:v>基础题</x:v>
      </x:c>
      <x:c r="D57" s="65" t="str">
        <x:v>基础题|中等题</x:v>
      </x:c>
      <x:c r="E57" s="65" t="str">
        <x:v>保留原主标签；相邻档有争议</x:v>
      </x:c>
      <x:c r="F57" s="65" t="str">
        <x:v>中</x:v>
      </x:c>
      <x:c r="G57" s="65" t="str">
        <x:v>基础题</x:v>
      </x:c>
      <x:c r="H57" s="65" t="str">
        <x:v>基础题</x:v>
      </x:c>
      <x:c r="I57" s="65" t="str">
        <x:v>第二轮复核认为现有证据只能证明该题处于相邻档边界，不能排除原GPT主标签。为避免使用模型预测反向拟合真值，保留原主标签，并将另一档记录为可接受等级。</x:v>
      </x:c>
      <x:c r="J57" s="65" t="str">
        <x:v>三次运行错题并集逐题复核</x:v>
      </x:c>
      <x:c r="K57" s="63" t="str">
        <x:v>物体悬浮在水中，水对物体向下、向上的压力分别为F1和F2，下列说法正确的是（ ）</x:v>
      </x:c>
      <x:c r="L57" s="63" t="str">
        <x:v>A. 由于物体静止不动，F1、F2是一对平衡力 B. 因为物体上表面的面积较大，所以F1＞F2 C. F1和F2的合力大小等于物体的重力 D. 物体受到合力的方向是向上的</x:v>
      </x:c>
      <x:c r="M57" s="63" t="str">
        <x:v>解：AB、由题意可知：物体悬浮在水中，受到重力、浮力的作用；由压力差法可知：物体在水中受到的浮力F浮=F2-F1，因F浮不为零，则F2＞F1，故B错误；因F2＞F1，根据二力平衡知识可知：F1、F2不是一对平衡力，故A错误； CD、物体在水中悬浮，由物体的浮沉条件可知物体受到的浮力大小等于物体的重力；由浮力产生的原因可知F1和F2的合力为浮力F浮，则F1和F2的合力大小等于物体的重力，故C正确； 由题意可知：物体悬浮在水中静止不动，物体处于平衡状态，受到平衡力的作用，根据二力平衡知识可知物体受到合力为零，故D错误。 故选：C。</x:v>
      </x:c>
      <x:c r="N57" s="63" t="str">
        <x:v>https://k12static.xdf.cn/k12/image/externalized/a39e5435-afca-450d-938b-74aa36637a0a.png</x:v>
      </x:c>
      <x:c r="O57" s="63" t="str">
        <x:v>https://k12static.xdf.cn/k12/image/externalized/e44bd073-b436-4b09-92be-942c2a8387f3.png</x:v>
      </x:c>
      <x:c r="P57" s="63" t="str">
        <x:v>3-5步</x:v>
      </x:c>
      <x:c r="Q57" s="63" t="str">
        <x:v>概念判断</x:v>
      </x:c>
      <x:c r="R57" s="63" t="str">
        <x:v>单状态</x:v>
      </x:c>
      <x:c r="S57" s="63" t="str">
        <x:v>无约束</x:v>
      </x:c>
      <x:c r="T57" s="63" t="str">
        <x:v>无</x:v>
      </x:c>
      <x:c r="U57" s="63" t="str">
        <x:v>无</x:v>
      </x:c>
      <x:c r="V57" s="63" t="str">
        <x:v>多层因果推理</x:v>
      </x:c>
    </x:row>
    <x:row r="58">
      <x:c r="A58" s="64" t="str">
        <x:v>​2961803657007108096</x:v>
      </x:c>
      <x:c r="B58" s="65" t="str">
        <x:v>中等题</x:v>
      </x:c>
      <x:c r="C58" s="65" t="str">
        <x:v>拔高题</x:v>
      </x:c>
      <x:c r="D58" s="65" t="str">
        <x:v>中等题|拔高题</x:v>
      </x:c>
      <x:c r="E58" s="65" t="str">
        <x:v>修订GPT主标签</x:v>
      </x:c>
      <x:c r="F58" s="65" t="str">
        <x:v>高</x:v>
      </x:c>
      <x:c r="G58" s="65" t="str">
        <x:v>中等题</x:v>
      </x:c>
      <x:c r="H58" s="65" t="str">
        <x:v>拔高题</x:v>
      </x:c>
      <x:c r="I58" s="65" t="str">
        <x:v>最高难任务在电路状态、图线/参数与安全约束中包含图线反推、状态转换、误差评价、几何/等效转换、方程联立或参数反求等决定性卡点，整体约5—6个有效决策；尚未形成压轴所需的完整复杂约束网络。</x:v>
      </x:c>
      <x:c r="J58" s="65" t="str">
        <x:v>三次运行错题并集逐题复核</x:v>
      </x:c>
      <x:c r="K58" s="63" t="str">
        <x:v>图甲是小灯泡L和电阻R的电流随电压变化图象，由图象可知，当R两端的电压为0时，R的阻值为 Ω。将它们接入图乙所示电路中，只闭合开关S1，小灯泡的实际功率为0.4W，则电源电压为 V。若闭合开关S、S2，断开开关S1，此时电流表的示数为 。</x:v>
      </x:c>
      <x:c r="L58" s="63" t="str"/>
      <x:c r="M58" s="63" t="str">
        <x:v>解：（1）由R的I-U图象可得，R的阻值：R=$\frac{{U}_{R}}{{I}_{R}}$=$\frac{4V}{0.1A}$=40Ω， 由于电阻是导体本身的一种性质，与导体两端的电压没有关系，所以当R两端的电压为0时，R的阻值仍为40Ω； （2）电路图知，只闭合开关S1，灯泡与定值电阻R串联， 由甲图象可知，当小灯泡的实际功率为0.4W时，通过的电流I=0.2A（即串联电路的电流），其电压为UL=2V， 根据串联电路的电压特点和欧姆定律可得，电源电压为： U=UL+IR=2V+0.2A×40Ω=10V； （3）闭合开关S、S2，断开开关S1，灯泡与定值电阻R并联，电流表测干路电流， 根据并联电路的电压特点可知R两端的电压为10V， 此时通过R的电流为：IR=$\frac{{U}_{R}′}{R}$=$\frac{10V}{40Ω}$=0.25A， 由甲图象可知此时通过灯泡L的电流为0.5A， 电流表示数I′=IR+IL=0.25A+0.5A=0.75A。 故答案为：40；10；0.75A。</x:v>
      </x:c>
      <x:c r="N58" s="63" t="str">
        <x:v>https://k12static.xdf.cn/k12/image/externalized/30dacb33-b2f1-4fe0-a980-96dedf401385.png</x:v>
      </x:c>
      <x:c r="O58" s="63" t="str">
        <x:v>https://k12static.xdf.cn/k12/image/externalized/1fcef945-03a4-4da9-a49a-1f20ef1500c7.png</x:v>
      </x:c>
      <x:c r="P58" s="63" t="str">
        <x:v>3-5步</x:v>
      </x:c>
      <x:c r="Q58" s="63" t="str">
        <x:v>电路综合</x:v>
      </x:c>
      <x:c r="R58" s="63" t="str">
        <x:v>双状态</x:v>
      </x:c>
      <x:c r="S58" s="63" t="str">
        <x:v>单一约束</x:v>
      </x:c>
      <x:c r="T58" s="63" t="str">
        <x:v>无</x:v>
      </x:c>
      <x:c r="U58" s="63" t="str">
        <x:v>直接读数</x:v>
      </x:c>
      <x:c r="V58" s="63" t="str">
        <x:v>多层因果推理</x:v>
      </x:c>
    </x:row>
    <x:row r="59">
      <x:c r="A59" s="64" t="str">
        <x:v>​2984618027514081280</x:v>
      </x:c>
      <x:c r="B59" s="65" t="str">
        <x:v>送分题</x:v>
      </x:c>
      <x:c r="C59" s="65" t="str">
        <x:v>送分题</x:v>
      </x:c>
      <x:c r="D59" s="65" t="str">
        <x:v>送分题|基础题</x:v>
      </x:c>
      <x:c r="E59" s="65" t="str">
        <x:v>保留原主标签；相邻档有争议</x:v>
      </x:c>
      <x:c r="F59" s="65" t="str">
        <x:v>中</x:v>
      </x:c>
      <x:c r="G59" s="65" t="str">
        <x:v>送分题</x:v>
      </x:c>
      <x:c r="H59" s="65" t="str">
        <x:v>基础题</x:v>
      </x:c>
      <x:c r="I59" s="65" t="str">
        <x:v>第二轮复核认为现有证据只能证明该题处于相邻档边界，不能排除原GPT主标签。为避免使用模型预测反向拟合真值，保留原主标签，并将另一档记录为可接受等级。</x:v>
      </x:c>
      <x:c r="J59" s="65" t="str">
        <x:v>三次运行错题并集逐题复核</x:v>
      </x:c>
      <x:c r="K59" s="63" t="str">
        <x:v>下列关于功、功率、机械效率的说法正确的是（ ）</x:v>
      </x:c>
      <x:c r="L59" s="63" t="str">
        <x:v>A. 功率越大，做功越多 B. 做功越多，机械效率越高 C. 功率越大，机械效率越高 D. 功率越小，做功越慢</x:v>
      </x:c>
      <x:c r="M59" s="63" t="str">
        <x:v>解：A、功率越大，说明做功越快，因为时间未知，不能说做功越多，故A错误； B、做功越多，但有用功不一定多，机械效率不一定高，故B错误； C、功率是物体做功快慢的物理量，机械效率是有用功跟总功的比值，机械效率的高低与功率无关，故C错误； D、功率是物体做功快慢的物理量，功率越小，做功越慢，故D正确。 故选：D。</x:v>
      </x:c>
      <x:c r="N59" s="63" t="str">
        <x:v>https://k12static.xdf.cn/k12/image/externalized/6c9b7e48-f848-442b-9c39-511079e86993.png</x:v>
      </x:c>
      <x:c r="O59" s="63" t="str">
        <x:v>https://k12static.xdf.cn/k12/image/externalized/e72df0ce-c680-415e-98fa-2e659e71b06d.png</x:v>
      </x:c>
      <x:c r="P59" s="63" t="str">
        <x:v>1-2步</x:v>
      </x:c>
      <x:c r="Q59" s="63" t="str">
        <x:v>概念判断</x:v>
      </x:c>
      <x:c r="R59" s="63" t="str">
        <x:v>单状态</x:v>
      </x:c>
      <x:c r="S59" s="63" t="str">
        <x:v>无约束</x:v>
      </x:c>
      <x:c r="T59" s="63" t="str">
        <x:v>无</x:v>
      </x:c>
      <x:c r="U59" s="63" t="str">
        <x:v>无</x:v>
      </x:c>
      <x:c r="V59" s="63" t="str">
        <x:v>简单因果推理</x:v>
      </x:c>
    </x:row>
    <x:row r="60">
      <x:c r="A60" s="64" t="str">
        <x:v>​2991067623492968448</x:v>
      </x:c>
      <x:c r="B60" s="65" t="str">
        <x:v>送分题</x:v>
      </x:c>
      <x:c r="C60" s="65" t="str">
        <x:v>送分题</x:v>
      </x:c>
      <x:c r="D60" s="65" t="str">
        <x:v>送分题|基础题</x:v>
      </x:c>
      <x:c r="E60" s="65" t="str">
        <x:v>保留原主标签；相邻档有争议</x:v>
      </x:c>
      <x:c r="F60" s="65" t="str">
        <x:v>中</x:v>
      </x:c>
      <x:c r="G60" s="65" t="str">
        <x:v>送分题</x:v>
      </x:c>
      <x:c r="H60" s="65" t="str">
        <x:v>送分题</x:v>
      </x:c>
      <x:c r="I60" s="65" t="str">
        <x:v>第二轮复核认为现有证据只能证明该题处于相邻档边界，不能排除原GPT主标签。为避免使用模型预测反向拟合真值，保留原主标签，并将另一档记录为可接受等级。</x:v>
      </x:c>
      <x:c r="J60" s="65" t="str">
        <x:v>三次运行错题并集逐题复核</x:v>
      </x:c>
      <x:c r="K60" s="63" t="str">
        <x:v>如图是古代舂米（舂米就是把稻谷去壳，做成白米）时的场景，舂米装置可视为杠杆，下列工具正常使用时，与舂米装置属于同类杠杆的是（ ）</x:v>
      </x:c>
      <x:c r="L60" s="63" t="str"/>
      <x:c r="M60" s="63" t="str">
        <x:v>解：由图可知，舂米装置可以绕支点转动，属于简单机械中的杠杆，由于装置的阻力臂大于动力臂，所以为费力杠杆； A、筷子在使用过程中，动力臂小于阻力臂。属于费力杠杆，故A 符合题意； B、开瓶器在使用过程中，动力臂大于阻力臂，属于省力杠杆，故B不符合题意； C、核桃夹在使用过程中，动力臂大于阻力臂，属于省力杠杆，故C不符合题意； D、钢丝钳在使用过程中，动力臂大于阻力臂，属于省力杠杆，故D不符合题意。 故选：A。</x:v>
      </x:c>
      <x:c r="N60" s="63" t="str">
        <x:v>https://k12static.xdf.cn/k12/image/externalized/11f925fe-8491-402b-97f2-2fd88396dc1e.png</x:v>
      </x:c>
      <x:c r="O60" s="63" t="str">
        <x:v>https://k12static.xdf.cn/k12/image/externalized/19beba99-e645-4b07-b763-57b37d80c59c.png</x:v>
      </x:c>
      <x:c r="P60" s="63" t="str">
        <x:v>1-2步</x:v>
      </x:c>
      <x:c r="Q60" s="63" t="str">
        <x:v>概念判断</x:v>
      </x:c>
      <x:c r="R60" s="63" t="str">
        <x:v>单状态</x:v>
      </x:c>
      <x:c r="S60" s="63" t="str">
        <x:v>无约束</x:v>
      </x:c>
      <x:c r="T60" s="63" t="str">
        <x:v>无</x:v>
      </x:c>
      <x:c r="U60" s="63" t="str">
        <x:v>无</x:v>
      </x:c>
      <x:c r="V60" s="63" t="str">
        <x:v>简单因果推理</x:v>
      </x:c>
    </x:row>
    <x:row r="61">
      <x:c r="A61" s="64" t="str">
        <x:v>​2992110964677812224</x:v>
      </x:c>
      <x:c r="B61" s="65" t="str">
        <x:v>送分题</x:v>
      </x:c>
      <x:c r="C61" s="65" t="str">
        <x:v>送分题</x:v>
      </x:c>
      <x:c r="D61" s="65" t="str">
        <x:v>送分题|基础题</x:v>
      </x:c>
      <x:c r="E61" s="65" t="str">
        <x:v>保留原主标签；相邻档有争议</x:v>
      </x:c>
      <x:c r="F61" s="65" t="str">
        <x:v>中</x:v>
      </x:c>
      <x:c r="G61" s="65" t="str">
        <x:v>送分题</x:v>
      </x:c>
      <x:c r="H61" s="65" t="str">
        <x:v>送分题</x:v>
      </x:c>
      <x:c r="I61" s="65" t="str">
        <x:v>第二轮复核认为现有证据只能证明该题处于相邻档边界，不能排除原GPT主标签。为避免使用模型预测反向拟合真值，保留原主标签，并将另一档记录为可接受等级。</x:v>
      </x:c>
      <x:c r="J61" s="65" t="str">
        <x:v>三次运行错题并集逐题复核</x:v>
      </x:c>
      <x:c r="K61" s="63" t="str">
        <x:v>小汽车行驶到后海大道与海德一道十字路口时，司机向右打转向灯，此时小汽车右边前、后的转向灯同时亮起。行驶到海德一道后，右边前、后的转向又灯同时熄灭，则右边前、后两盏灯的连接方式是（ ）</x:v>
      </x:c>
      <x:c r="L61" s="63" t="str">
        <x:v>A. 串联 B. 并联 C. 可能是串联、也可能是并联 D. 无法确定</x:v>
      </x:c>
      <x:c r="M61" s="63" t="str">
        <x:v>根据生活经验可知，位于汽车同侧的前、后两个转向灯若其中一个灯损坏，另外一个灯不受影响，所以是并联的方式连接，故B符合题意，ACD不符合题意。故选B。</x:v>
      </x:c>
      <x:c r="N61" s="63" t="str">
        <x:v>https://k12static.xdf.cn/k12/image/externalized/a19c79d3-6330-40d6-a6c4-c03ae1fba65d.png</x:v>
      </x:c>
      <x:c r="O61" s="63" t="str">
        <x:v>https://k12static.xdf.cn/k12/image/externalized/0872b680-3b81-457c-a6ea-98a452ad621e.png</x:v>
      </x:c>
      <x:c r="P61" s="63" t="str">
        <x:v>1-2步</x:v>
      </x:c>
      <x:c r="Q61" s="63" t="str">
        <x:v>概念判断</x:v>
      </x:c>
      <x:c r="R61" s="63" t="str">
        <x:v>单状态</x:v>
      </x:c>
      <x:c r="S61" s="63" t="str">
        <x:v>无约束</x:v>
      </x:c>
      <x:c r="T61" s="63" t="str">
        <x:v>无</x:v>
      </x:c>
      <x:c r="U61" s="63" t="str">
        <x:v>无</x:v>
      </x:c>
      <x:c r="V61" s="63" t="str">
        <x:v>简单因果推理</x:v>
      </x:c>
    </x:row>
    <x:row r="62">
      <x:c r="A62" s="64" t="str">
        <x:v>​3021025329385111552</x:v>
      </x:c>
      <x:c r="B62" s="65" t="str">
        <x:v>送分题</x:v>
      </x:c>
      <x:c r="C62" s="65" t="str">
        <x:v>基础题</x:v>
      </x:c>
      <x:c r="D62" s="65" t="str">
        <x:v>送分题|基础题</x:v>
      </x:c>
      <x:c r="E62" s="65" t="str">
        <x:v>修订GPT主标签</x:v>
      </x:c>
      <x:c r="F62" s="65" t="str">
        <x:v>高</x:v>
      </x:c>
      <x:c r="G62" s="65" t="str">
        <x:v>送分题</x:v>
      </x:c>
      <x:c r="H62" s="65" t="str">
        <x:v>送分题</x:v>
      </x:c>
      <x:c r="I62" s="65" t="str">
        <x:v>最高难任务属于电路状态、图线/参数与安全约束中的1—2步直接应用、规范操作或简单因果判断。需要理解/应用而非纯识记，但没有共享中间结论、完整连续过程或隐含转换。</x:v>
      </x:c>
      <x:c r="J62" s="65" t="str">
        <x:v>三次运行错题并集逐题复核</x:v>
      </x:c>
      <x:c r="K62" s="63" t="str">
        <x:v>按照下图所示的电路图，连接实物图</x:v>
      </x:c>
      <x:c r="L62" s="63" t="str"/>
      <x:c r="M62" s="63" t="str">
        <x:v>暂无</x:v>
      </x:c>
      <x:c r="N62" s="63" t="str">
        <x:v>https://k12static.xdf.cn/k12/image/externalized/eeefbc19-17fd-4645-b2b0-a0090da0b438.png</x:v>
      </x:c>
      <x:c r="O62" s="63" t="str">
        <x:v>https://k12static.xdf.cn/k12/image/externalized/26f0eaaf-e72d-4cc6-b8bf-c6f90770af87.png</x:v>
      </x:c>
      <x:c r="P62" s="63" t="str">
        <x:v>1-2步</x:v>
      </x:c>
      <x:c r="Q62" s="63" t="str">
        <x:v>电路综合</x:v>
      </x:c>
      <x:c r="R62" s="63" t="str">
        <x:v>单状态</x:v>
      </x:c>
      <x:c r="S62" s="63" t="str">
        <x:v>无约束</x:v>
      </x:c>
      <x:c r="T62" s="63" t="str">
        <x:v>基础操作或读数</x:v>
      </x:c>
      <x:c r="U62" s="63" t="str">
        <x:v>无</x:v>
      </x:c>
      <x:c r="V62" s="63" t="str">
        <x:v>简单因果推理</x:v>
      </x:c>
    </x:row>
    <x:row r="63">
      <x:c r="A63" s="64" t="str">
        <x:v>​3023966714970804224</x:v>
      </x:c>
      <x:c r="B63" s="65" t="str">
        <x:v>基础题</x:v>
      </x:c>
      <x:c r="C63" s="65" t="str">
        <x:v>基础题</x:v>
      </x:c>
      <x:c r="D63" s="65" t="str">
        <x:v>基础题|中等题</x:v>
      </x:c>
      <x:c r="E63" s="65" t="str">
        <x:v>保留原主标签；相邻档有争议</x:v>
      </x:c>
      <x:c r="F63" s="65" t="str">
        <x:v>中</x:v>
      </x:c>
      <x:c r="G63" s="65" t="str">
        <x:v>基础题</x:v>
      </x:c>
      <x:c r="H63" s="65" t="str">
        <x:v>中等题</x:v>
      </x:c>
      <x:c r="I63" s="65" t="str">
        <x:v>第二轮复核认为现有证据只能证明该题处于相邻档边界，不能排除原GPT主标签。为避免使用模型预测反向拟合真值，保留原主标签，并将另一档记录为可接受等级。</x:v>
      </x:c>
      <x:c r="J63" s="65" t="str">
        <x:v>三次运行错题并集逐题复核</x:v>
      </x:c>
      <x:c r="K63" s="63" t="str">
        <x:v>如图是某同学制作的幻灯机，幻灯机的前端是可伸缩圆筒，圆筒一端嵌有凸透镜。将幻灯片插入该装置，开启强光灯，在墙上呈现了幻灯片清晰的像，若要使墙上呈现更大的清晰像，下列操作可行的是（ ）</x:v>
      </x:c>
      <x:c r="L63" s="63" t="str">
        <x:v>A. 幻灯机整体靠近墙面，伸缩筒前伸 B. 幻灯机整体远离墙面，伸缩筒前伸 C. 幻灯机整体靠近墙面，伸缩筒后缩 D. 幻灯机整体远离墙面，伸缩筒后缩</x:v>
      </x:c>
      <x:c r="M63" s="63" t="str">
        <x:v>根据凸透镜成像的规律，要使像变大，需要减小物距，此时像距会相应变大；所以，应该使幻灯片靠近凸透镜，即让伸缩筒后缩，同时使墙远离凸透镜，即让幻灯机整体远离墙面，故ABC不符合题意，D符合题意。故选D。</x:v>
      </x:c>
      <x:c r="N63" s="63" t="str">
        <x:v>https://k12static.xdf.cn/k12/image/externalized/9d126eb0-0af8-4710-a79a-957447b68f21.png</x:v>
      </x:c>
      <x:c r="O63" s="63" t="str">
        <x:v>https://k12static.xdf.cn/k12/image/externalized/6110637f-cf2d-4ec7-882f-f25ce431a7b5.png</x:v>
      </x:c>
      <x:c r="P63" s="63" t="str">
        <x:v>1-2步</x:v>
      </x:c>
      <x:c r="Q63" s="63" t="str">
        <x:v>光学声学综合</x:v>
      </x:c>
      <x:c r="R63" s="63" t="str">
        <x:v>单状态</x:v>
      </x:c>
      <x:c r="S63" s="63" t="str">
        <x:v>无约束</x:v>
      </x:c>
      <x:c r="T63" s="63" t="str">
        <x:v>无</x:v>
      </x:c>
      <x:c r="U63" s="63" t="str">
        <x:v>无</x:v>
      </x:c>
      <x:c r="V63" s="63" t="str">
        <x:v>简单因果推理</x:v>
      </x:c>
    </x:row>
    <x:row r="64">
      <x:c r="A64" s="64" t="str">
        <x:v>​3028418693838782464</x:v>
      </x:c>
      <x:c r="B64" s="65" t="str">
        <x:v>压轴题</x:v>
      </x:c>
      <x:c r="C64" s="65" t="str">
        <x:v>拔高题</x:v>
      </x:c>
      <x:c r="D64" s="65" t="str">
        <x:v>拔高题|压轴题</x:v>
      </x:c>
      <x:c r="E64" s="65" t="str">
        <x:v>修订GPT主标签</x:v>
      </x:c>
      <x:c r="F64" s="65" t="str">
        <x:v>高</x:v>
      </x:c>
      <x:c r="G64" s="65" t="str">
        <x:v>压轴题</x:v>
      </x:c>
      <x:c r="H64" s="65" t="str">
        <x:v>中等题</x:v>
      </x:c>
      <x:c r="I64" s="65" t="str">
        <x:v>最高难任务在电路状态、图线/参数与安全约束中包含图线反推、状态转换、误差评价、几何/等效转换、方程联立或参数反求等决定性卡点，整体约5—6个有效决策；尚未形成压轴所需的完整复杂约束网络。</x:v>
      </x:c>
      <x:c r="J64" s="65" t="str">
        <x:v>三次运行错题并集逐题复核</x:v>
      </x:c>
      <x:c r="K64" s="63" t="str">
        <x:v>寒假，为给阳台上的花草制作一个可调温的加热装置，小墨网购了一根额定电流为3A的电炉丝（如图甲）。在家长陪同下，他把电炉丝分成R1、R2两段，其中R1=20Ω，R2段为阻值可调的部分。 如图乙，他将两段电炉丝接入电源电压恒为12V的电路中，闭合开关S，在通过电炉丝的电流不超过其额定电流的情况下，该加热装置的总功率P与电源的输出电流I之间的关系图象如图丙所示，其中I大、I小分别为电源的最大、最小输出电流。忽略温度对电阻的影响，闭合开关S，求：</x:v>
      </x:c>
      <x:c r="L64" s="63" t="str"/>
      <x:c r="M64" s="63" t="str"/>
      <x:c r="N64" s="63" t="str">
        <x:v>https://k12static.xdf.cn/k12/image/externalized/75f91022-4626-4a49-8aa9-c8e0340b579f.png</x:v>
      </x:c>
      <x:c r="O64" s="63" t="str">
        <x:v>https://k12static.xdf.cn/k12/image/externalized/ba6de592-c587-4942-a6fb-bfa90735d2dc.png</x:v>
      </x:c>
      <x:c r="P64" s="63" t="str">
        <x:v>3-5步</x:v>
      </x:c>
      <x:c r="Q64" s="63" t="str">
        <x:v>电路综合</x:v>
      </x:c>
      <x:c r="R64" s="63" t="str">
        <x:v>双状态</x:v>
      </x:c>
      <x:c r="S64" s="63" t="str">
        <x:v>单一约束</x:v>
      </x:c>
      <x:c r="T64" s="63" t="str">
        <x:v>无</x:v>
      </x:c>
      <x:c r="U64" s="63" t="str">
        <x:v>直接读数</x:v>
      </x:c>
      <x:c r="V64" s="63" t="str">
        <x:v>多层因果推理</x:v>
      </x:c>
    </x:row>
    <x:row r="65">
      <x:c r="A65" s="64" t="str">
        <x:v>​3044393486444158976</x:v>
      </x:c>
      <x:c r="B65" s="65" t="str">
        <x:v>压轴题</x:v>
      </x:c>
      <x:c r="C65" s="65" t="str">
        <x:v>拔高题</x:v>
      </x:c>
      <x:c r="D65" s="65" t="str">
        <x:v>拔高题|压轴题</x:v>
      </x:c>
      <x:c r="E65" s="65" t="str">
        <x:v>修订GPT主标签</x:v>
      </x:c>
      <x:c r="F65" s="65" t="str">
        <x:v>高</x:v>
      </x:c>
      <x:c r="G65" s="65" t="str">
        <x:v>压轴题</x:v>
      </x:c>
      <x:c r="H65" s="65" t="str">
        <x:v>压轴题</x:v>
      </x:c>
      <x:c r="I65" s="65" t="str">
        <x:v>最高难任务在电路状态、图线/参数与安全约束中包含图线反推、状态转换、误差评价、几何/等效转换、方程联立或参数反求等决定性卡点，整体约5—6个有效决策；尚未形成压轴所需的完整复杂约束网络。</x:v>
      </x:c>
      <x:c r="J65" s="65" t="str">
        <x:v>三次运行错题并集逐题复核</x:v>
      </x:c>
      <x:c r="K65" s="63" t="str">
        <x:v>如图所示，电源电压U=6V，小灯泡标有“4V 1.6W”字样，定值电阻R2=20Ω，滑动变阻器R3允许通过的最大电流为1A，电流表的量程为0～3A，电压表的量程为0～3V，电源电压和小灯泡的阻值R均保持不变。（1）求小灯泡的阻值R1；（2）只闭合开关S2，求电压表的示数；（3）将滑动变阻器滑片滑到最左端，闭合所有开关，此时电流表示数为0.5A，求滑动变阻器R3的最大阻值；（4）只闭合开关S3，在电路安全的情况下，求小灯泡电功率的变化范围。</x:v>
      </x:c>
      <x:c r="L65" s="63" t="str"/>
      <x:c r="M65" s="63" t="str">
        <x:v>解：（1）小灯泡标有&amp;ldquo;4V 1.6W&amp;rdquo;，由$P=\dfrac{U^{2}}{R}$可得,小灯泡的阻值 $R_{1}=\dfrac{U_{额}^{2}}{P_{额}}=\dfrac{(4\mathrm{V})^{2}}{1.6\mathrm{W}}=10\Omega$ （2）只闭合开关S2时，灯泡R1与电阻R2串联，电压表测R1两端的电压，串联电路总电阻等于各部分电阻之和，所以电路总电阻 $R=R_{1}+R_{2}=10\Omega +20\Omega =30\Omega$ 此时通过电路的电流 $I=\dfrac{U}{R}=\dfrac{6\mathrm{V}}{20\Omega }=0.2\mathrm{A}$ 所以R1两端的电压为 $U_{1}=IR_{1}=0.2\mathrm{A}\times 10\Omega =2\mathrm{V}$ 即电压表示数为2V。 （3）将滑动变阻器滑片滑到最左端，闭合所有开关，电阻R2与R3的最大阻值并联，电流表A测干路电流，此时电流表示数为0.5A，并联电路各并联支路两端电压相等，所以通过R2的电流 $I_{2}=\dfrac{U}{R_{2}}=\dfrac{6\mathrm{V}}{20\Omega }=0.3\mathrm{A}$ 并联电路干路电流等于各支路电流之和，所以通过滑动变阻器的电流 $I_{3}=I_{0}-I_{2}=0.5\mathrm{A}-0.3\mathrm{A}=0.2\mathrm{A}$ 所以滑动变阻器的最大阻值为 $R_{3}=\dfrac{U}{I_{3}}=\dfrac{6\mathrm{V}}{0.2\mathrm{A}}=30\Omega$ （4）只闭合开关S3时，灯泡R1与滑动变阻器R3串联，电压表测R1两端的电压，当电压表的示数R1&amp;prime;=3V时，灯泡两端的电压最大，其实际功率最大 $P_{1大}=\dfrac{U_{1}{^{\prime}}^{2}}{R_{1}}=\dfrac{(3\mathrm{V})^{2}}{10\Omega }=0.9\mathrm{W}$ 当滑动变阻器接入电路中的电阻最大时，电路中的电流最小，R1的功率最小，此时电路中的电流 $I_{小}=\dfrac{U}{R_{1}+R_{3}}=\dfrac{6\mathrm{V}}{10\Omega +30\Omega }=0.15\mathrm{A}$ 则灯泡的最小功率 ${P_{1}}_{小}={I_{小}}^{2}R_{1}=\mathrm{（}0.15\mathrm{A}\mathrm{）}^{2}\times 10\Omega =0.225\mathrm{W}$ 所以，小灯泡电功率的变化范围为0.225W～0.9W。 答：（1）小灯泡的阻值R1为10&amp;Omega;； （2）只闭合开关S2，求电压表的示数为2V； （3）滑动变阻器R3的最大阻值为30&amp;Omega;； （4）只闭合开关S3，在电路安全的情况下，小灯泡电功率的变化范围为0.225W～0.9W。</x:v>
      </x:c>
      <x:c r="N65" s="63" t="str">
        <x:v>https://k12static.xdf.cn/k12/image/externalized/fe2362eb-ebd2-4758-96a7-6ba3d02f28bb.png</x:v>
      </x:c>
      <x:c r="O65" s="63" t="str">
        <x:v>https://k12static.xdf.cn/k12/image/externalized/3341e5bb-1fd6-4dd0-9a63-5f85ce8df1e0.png</x:v>
      </x:c>
      <x:c r="P65" s="63" t="str">
        <x:v>3-5步</x:v>
      </x:c>
      <x:c r="Q65" s="63" t="str">
        <x:v>电路综合</x:v>
      </x:c>
      <x:c r="R65" s="63" t="str">
        <x:v>双状态</x:v>
      </x:c>
      <x:c r="S65" s="63" t="str">
        <x:v>多约束</x:v>
      </x:c>
      <x:c r="T65" s="63" t="str">
        <x:v>无</x:v>
      </x:c>
      <x:c r="U65" s="63" t="str">
        <x:v>无</x:v>
      </x:c>
      <x:c r="V65" s="63" t="str">
        <x:v>多层因果推理</x:v>
      </x:c>
    </x:row>
    <x:row r="66">
      <x:c r="A66" s="64" t="str">
        <x:v>​3054501017614839808</x:v>
      </x:c>
      <x:c r="B66" s="65" t="str">
        <x:v>送分题</x:v>
      </x:c>
      <x:c r="C66" s="65" t="str">
        <x:v>送分题</x:v>
      </x:c>
      <x:c r="D66" s="65" t="str">
        <x:v>送分题|基础题</x:v>
      </x:c>
      <x:c r="E66" s="65" t="str">
        <x:v>保留原主标签；相邻档有争议</x:v>
      </x:c>
      <x:c r="F66" s="65" t="str">
        <x:v>中</x:v>
      </x:c>
      <x:c r="G66" s="65" t="str">
        <x:v>送分题</x:v>
      </x:c>
      <x:c r="H66" s="65" t="str">
        <x:v>送分题</x:v>
      </x:c>
      <x:c r="I66" s="65" t="str">
        <x:v>第二轮复核认为现有证据只能证明该题处于相邻档边界，不能排除原GPT主标签。为避免使用模型预测反向拟合真值，保留原主标签，并将另一档记录为可接受等级。</x:v>
      </x:c>
      <x:c r="J66" s="65" t="str">
        <x:v>三次运行错题并集逐题复核</x:v>
      </x:c>
      <x:c r="K66" s="63" t="str">
        <x:v>下列杠杆的应用是为了省力的是（ ）</x:v>
      </x:c>
      <x:c r="L66" s="63" t="str">
        <x:v>A. 裁纸刀 B. 盘夹 C. 天平 D. 船桨</x:v>
      </x:c>
      <x:c r="M66" s="63" t="str">
        <x:v>解：A、裁纸刀在使用过程中，阻力臂小于动力臂，是省力杠杆，故A符合题意； B、盘夹在使用过程中，阻力臂大于动力臂，是费力杠杆，故B不符合题意； C、天平在使用过程中，阻力臂等于动力臂，是等臂杠杆，故C不符合题意； D、船桨在使用过程中，动力臂小于阻力臂，是费力杠杆，故D不符合题意。 故选：A。</x:v>
      </x:c>
      <x:c r="N66" s="63" t="str">
        <x:v>https://k12static.xdf.cn/k12/image/externalized/568164f0-6a52-4644-bfec-760bb39e560d.png</x:v>
      </x:c>
      <x:c r="O66" s="63" t="str">
        <x:v>https://k12static.xdf.cn/k12/image/externalized/563caf34-b023-40bd-b90b-794250a828cf.png</x:v>
      </x:c>
      <x:c r="P66" s="63" t="str">
        <x:v>1-2步</x:v>
      </x:c>
      <x:c r="Q66" s="63" t="str">
        <x:v>概念判断</x:v>
      </x:c>
      <x:c r="R66" s="63" t="str">
        <x:v>单状态</x:v>
      </x:c>
      <x:c r="S66" s="63" t="str">
        <x:v>无约束</x:v>
      </x:c>
      <x:c r="T66" s="63" t="str">
        <x:v>无</x:v>
      </x:c>
      <x:c r="U66" s="63" t="str">
        <x:v>无</x:v>
      </x:c>
      <x:c r="V66" s="63" t="str">
        <x:v>简单因果推理</x:v>
      </x:c>
    </x:row>
    <x:row r="67">
      <x:c r="A67" s="64" t="str">
        <x:v>​3054501441832792064</x:v>
      </x:c>
      <x:c r="B67" s="65" t="str">
        <x:v>送分题</x:v>
      </x:c>
      <x:c r="C67" s="65" t="str">
        <x:v>送分题</x:v>
      </x:c>
      <x:c r="D67" s="65" t="str">
        <x:v>送分题|基础题</x:v>
      </x:c>
      <x:c r="E67" s="65" t="str">
        <x:v>保留原主标签；相邻档有争议</x:v>
      </x:c>
      <x:c r="F67" s="65" t="str">
        <x:v>中</x:v>
      </x:c>
      <x:c r="G67" s="65" t="str">
        <x:v>送分题</x:v>
      </x:c>
      <x:c r="H67" s="65" t="str">
        <x:v>基础题</x:v>
      </x:c>
      <x:c r="I67" s="65" t="str">
        <x:v>第二轮复核认为现有证据只能证明该题处于相邻档边界，不能排除原GPT主标签。为避免使用模型预测反向拟合真值，保留原主标签，并将另一档记录为可接受等级。</x:v>
      </x:c>
      <x:c r="J67" s="65" t="str">
        <x:v>三次运行错题并集逐题复核</x:v>
      </x:c>
      <x:c r="K67" s="63" t="str">
        <x:v>如图所示，用手扣紧不锈钢碗夹器后，可抓取菜碗。下列选项中的工具在正常使用时，与碗夹器属于同一类杠杆的是（ ）</x:v>
      </x:c>
      <x:c r="L67" s="63" t="str">
        <x:v>A. 开瓶器 B. 核桃夹 C. 钳子 D. 船桨</x:v>
      </x:c>
      <x:c r="M67" s="63" t="str">
        <x:v>解：碗夹器在使用过程中，动力臂小于阻力臂，属于费力杠杆； ABC、开瓶器、核桃夹和钳子在使用过程中，动力臂大于阻力臂，都属于省力杠杆，故ABC不符合题意； D、船桨在使用过程中，动力臂小于阻力臂，属于费力杠杆，故D符合题意。 故选：D。</x:v>
      </x:c>
      <x:c r="N67" s="63" t="str">
        <x:v>https://k12static.xdf.cn/k12/image/externalized/f0c313a8-310d-4098-ab4b-82fed3dec4c1.png</x:v>
      </x:c>
      <x:c r="O67" s="63" t="str">
        <x:v>https://k12static.xdf.cn/k12/image/externalized/6cad5b5a-04c9-4488-87e7-c095834ac336.png</x:v>
      </x:c>
      <x:c r="P67" s="63" t="str">
        <x:v>1-2步</x:v>
      </x:c>
      <x:c r="Q67" s="63" t="str">
        <x:v>概念判断</x:v>
      </x:c>
      <x:c r="R67" s="63" t="str">
        <x:v>单状态</x:v>
      </x:c>
      <x:c r="S67" s="63" t="str">
        <x:v>无约束</x:v>
      </x:c>
      <x:c r="T67" s="63" t="str">
        <x:v>无</x:v>
      </x:c>
      <x:c r="U67" s="63" t="str">
        <x:v>无</x:v>
      </x:c>
      <x:c r="V67" s="63" t="str">
        <x:v>简单因果推理</x:v>
      </x:c>
    </x:row>
    <x:row r="68">
      <x:c r="A68" s="64" t="str">
        <x:v>​3070417524890570752</x:v>
      </x:c>
      <x:c r="B68" s="65" t="str">
        <x:v>送分题</x:v>
      </x:c>
      <x:c r="C68" s="65" t="str">
        <x:v>送分题</x:v>
      </x:c>
      <x:c r="D68" s="65" t="str">
        <x:v>送分题|基础题</x:v>
      </x:c>
      <x:c r="E68" s="65" t="str">
        <x:v>保留原主标签；相邻档有争议</x:v>
      </x:c>
      <x:c r="F68" s="65" t="str">
        <x:v>中</x:v>
      </x:c>
      <x:c r="G68" s="65" t="str">
        <x:v>送分题</x:v>
      </x:c>
      <x:c r="H68" s="65" t="str">
        <x:v>基础题</x:v>
      </x:c>
      <x:c r="I68" s="65" t="str">
        <x:v>第二轮复核认为现有证据只能证明该题处于相邻档边界，不能排除原GPT主标签。为避免使用模型预测反向拟合真值，保留原主标签，并将另一档记录为可接受等级。</x:v>
      </x:c>
      <x:c r="J68" s="65" t="str">
        <x:v>三次运行错题并集逐题复核</x:v>
      </x:c>
      <x:c r="K68" s="63" t="str">
        <x:v>塑料管和塑料绳撕成的“章鱼”分别与毛皮库擦后相互靠近，会看到如图现象。以下说法正确的是（ ）</x:v>
      </x:c>
      <x:c r="L68" s="63" t="str">
        <x:v>A. 毛皮和“章鱼”摩擦创造了电荷 B. “章鱼”和毛皮对电子的束缚本领不同 C. 摩擦后“章鱼”与塑料管带上了异种电荷 D. “章鱼”和塑料管排斥是因为分子间存在排斥力</x:v>
      </x:c>
      <x:c r="M68" s="63" t="str">
        <x:v>解：A、摩擦起电的实质不是创造了电荷，而是发生了电子的转移，故A错误； B、“章鱼”与毛皮摩擦，原子核束缚电子的本领不同，束缚本领强的得到电子带负电，束缚本领弱的失去电子带正电，“章鱼”与毛皮带异种电荷，故B正确； C、用毛皮分别摩擦塑料丝和塑料管，“章鱼”与塑料管带上了与毛皮不同的电荷，即为同种电荷，故C错误； D、塑料绳的细丝散开形似“章鱼”是因为同种电荷相排斥，故D错误。 故选：B。</x:v>
      </x:c>
      <x:c r="N68" s="63" t="str">
        <x:v>https://k12static.xdf.cn/k12/image/externalized/806902e3-6f8e-4a39-9691-ee319be8944b.png</x:v>
      </x:c>
      <x:c r="O68" s="63" t="str">
        <x:v>https://k12static.xdf.cn/k12/image/externalized/3190675b-17e7-422c-ab69-128d92c40d43.png</x:v>
      </x:c>
      <x:c r="P68" s="63" t="str">
        <x:v>1-2步</x:v>
      </x:c>
      <x:c r="Q68" s="63" t="str">
        <x:v>概念判断</x:v>
      </x:c>
      <x:c r="R68" s="63" t="str">
        <x:v>单状态</x:v>
      </x:c>
      <x:c r="S68" s="63" t="str">
        <x:v>无约束</x:v>
      </x:c>
      <x:c r="T68" s="63" t="str">
        <x:v>无</x:v>
      </x:c>
      <x:c r="U68" s="63" t="str">
        <x:v>无</x:v>
      </x:c>
      <x:c r="V68" s="63" t="str">
        <x:v>简单因果推理</x:v>
      </x:c>
    </x:row>
    <x:row r="69">
      <x:c r="A69" s="64" t="str">
        <x:v>​3075268497727848448</x:v>
      </x:c>
      <x:c r="B69" s="65" t="str">
        <x:v>送分题</x:v>
      </x:c>
      <x:c r="C69" s="65" t="str">
        <x:v>送分题</x:v>
      </x:c>
      <x:c r="D69" s="65" t="str">
        <x:v>送分题|基础题</x:v>
      </x:c>
      <x:c r="E69" s="65" t="str">
        <x:v>保留原主标签；相邻档有争议</x:v>
      </x:c>
      <x:c r="F69" s="65" t="str">
        <x:v>中</x:v>
      </x:c>
      <x:c r="G69" s="65" t="str">
        <x:v>送分题</x:v>
      </x:c>
      <x:c r="H69" s="65" t="str">
        <x:v>基础题</x:v>
      </x:c>
      <x:c r="I69" s="65" t="str">
        <x:v>第二轮复核认为现有证据只能证明该题处于相邻档边界，不能排除原GPT主标签。为避免使用模型预测反向拟合真值，保留原主标签，并将另一档记录为可接受等级。</x:v>
      </x:c>
      <x:c r="J69" s="65" t="str">
        <x:v>三次运行错题并集逐题复核</x:v>
      </x:c>
      <x:c r="K69" s="63" t="str">
        <x:v>如图是某风力发电塔架，上面的叶片在风的作用下转动，叶片带动发电机发电。下列说法中正确的是（ ）</x:v>
      </x:c>
      <x:c r="L69" s="63" t="str">
        <x:v>A. 风能是不可再生能源 B. 发电时把内能转化为电能 C. 风力发电利用了电磁感应现象 D. 风使叶片转动，说明物体的运动需要力维持</x:v>
      </x:c>
      <x:c r="M69" s="63" t="str">
        <x:v>解：A．风能可以从自然界中源源不断地得到，所以风能是可再生能源，故A错误； B．风力发电机是将机械能转化为电能，故B错误； C．风力发电机发电是电磁感应现象的应用，故C正确； D．风使叶片转动，说明力是改变物体运动状态的原因，故D错误。 故选：C。</x:v>
      </x:c>
      <x:c r="N69" s="63" t="str">
        <x:v>https://k12static.xdf.cn/k12/image/externalized/ee6145d1-6613-402e-a1b5-bb6b133fd874.png</x:v>
      </x:c>
      <x:c r="O69" s="63" t="str">
        <x:v>https://k12static.xdf.cn/k12/image/externalized/47b3c08e-0718-4859-b4b7-b6c4d9cfbeaf.png</x:v>
      </x:c>
      <x:c r="P69" s="63" t="str">
        <x:v>1-2步</x:v>
      </x:c>
      <x:c r="Q69" s="63" t="str">
        <x:v>概念判断</x:v>
      </x:c>
      <x:c r="R69" s="63" t="str">
        <x:v>单状态</x:v>
      </x:c>
      <x:c r="S69" s="63" t="str">
        <x:v>无约束</x:v>
      </x:c>
      <x:c r="T69" s="63" t="str">
        <x:v>无</x:v>
      </x:c>
      <x:c r="U69" s="63" t="str">
        <x:v>无</x:v>
      </x:c>
      <x:c r="V69" s="63" t="str">
        <x:v>简单因果推理</x:v>
      </x:c>
    </x:row>
    <x:row r="70">
      <x:c r="A70" s="64" t="str">
        <x:v>​3086996404466454528</x:v>
      </x:c>
      <x:c r="B70" s="65" t="str">
        <x:v>基础题</x:v>
      </x:c>
      <x:c r="C70" s="65" t="str">
        <x:v>基础题</x:v>
      </x:c>
      <x:c r="D70" s="65" t="str">
        <x:v>基础题|中等题</x:v>
      </x:c>
      <x:c r="E70" s="65" t="str">
        <x:v>保留原主标签；相邻档有争议</x:v>
      </x:c>
      <x:c r="F70" s="65" t="str">
        <x:v>中</x:v>
      </x:c>
      <x:c r="G70" s="65" t="str">
        <x:v>基础题</x:v>
      </x:c>
      <x:c r="H70" s="65" t="str">
        <x:v>基础题</x:v>
      </x:c>
      <x:c r="I70" s="65" t="str">
        <x:v>第二轮复核认为现有证据只能证明该题处于相邻档边界，不能排除原GPT主标签。为避免使用模型预测反向拟合真值，保留原主标签，并将另一档记录为可接受等级。</x:v>
      </x:c>
      <x:c r="J70" s="65" t="str">
        <x:v>三次运行错题并集逐题复核</x:v>
      </x:c>
      <x:c r="K70" s="63" t="str">
        <x:v>如图所示是某同学研究液体密度时，绘制的水和食用油的质量m与体积V的关系图像。由图中信息可得，图线 （选填“a”或“b”）对应的液体是食用油，相同质量的水和食用油的体积之比为 。</x:v>
      </x:c>
      <x:c r="L70" s="63" t="str"/>
      <x:c r="M70" s="63" t="str">
        <x:v>解：水的密度比食用油大，相同体积时，水的质量大，图a对应的是水，b对应的液体是食用油，相同体积时，质量之比为20：16=5：4；密度之比为5：4； 根据ρ=$\frac{m}{V}$知，当相同质量的水和食用油的体积之比等于密度倒数的比，故为4：5。 故答案为：b；4：5。</x:v>
      </x:c>
      <x:c r="N70" s="63" t="str">
        <x:v>https://k12static.xdf.cn/k12/image/externalized/2ef3dd6e-fbe0-4cea-aa4f-4f7223703057.png</x:v>
      </x:c>
      <x:c r="O70" s="63" t="str">
        <x:v>https://k12static.xdf.cn/k12/image/externalized/a0d3a657-e276-4387-a43e-4728fb8451ab.png</x:v>
      </x:c>
      <x:c r="P70" s="63" t="str">
        <x:v>3-5步</x:v>
      </x:c>
      <x:c r="Q70" s="63" t="str">
        <x:v>图像表格分析</x:v>
      </x:c>
      <x:c r="R70" s="63" t="str">
        <x:v>单状态</x:v>
      </x:c>
      <x:c r="S70" s="63" t="str">
        <x:v>无约束</x:v>
      </x:c>
      <x:c r="T70" s="63" t="str">
        <x:v>无</x:v>
      </x:c>
      <x:c r="U70" s="63" t="str">
        <x:v>多组比较归纳</x:v>
      </x:c>
      <x:c r="V70" s="63" t="str">
        <x:v>多层因果推理</x:v>
      </x:c>
    </x:row>
    <x:row r="71">
      <x:c r="A71" s="64" t="str">
        <x:v>​3093847761971077120</x:v>
      </x:c>
      <x:c r="B71" s="65" t="str">
        <x:v>送分题</x:v>
      </x:c>
      <x:c r="C71" s="65" t="str">
        <x:v>送分题</x:v>
      </x:c>
      <x:c r="D71" s="65" t="str">
        <x:v>送分题|基础题</x:v>
      </x:c>
      <x:c r="E71" s="65" t="str">
        <x:v>保留原主标签；相邻档有争议</x:v>
      </x:c>
      <x:c r="F71" s="65" t="str">
        <x:v>中</x:v>
      </x:c>
      <x:c r="G71" s="65" t="str">
        <x:v>送分题</x:v>
      </x:c>
      <x:c r="H71" s="65" t="str">
        <x:v>基础题</x:v>
      </x:c>
      <x:c r="I71" s="65" t="str">
        <x:v>第二轮复核认为现有证据只能证明该题处于相邻档边界，不能排除原GPT主标签。为避免使用模型预测反向拟合真值，保留原主标签，并将另一档记录为可接受等级。</x:v>
      </x:c>
      <x:c r="J71" s="65" t="str">
        <x:v>三次运行错题并集逐题复核</x:v>
      </x:c>
      <x:c r="K71" s="63" t="str">
        <x:v>下面压力方向图形正确的是（ ）</x:v>
      </x:c>
      <x:c r="L71" s="63" t="str"/>
      <x:c r="M71" s="63" t="str">
        <x:v>A．图A中，物体在斜面上，斜面是受力物体。但力F的作用点在物体上，方向竖直向下，该力不是物体对斜面的压力，故A错误；B．图B中，物体在水平面上，力的作用点在物体上，方向竖直向上，该力指向了受力物体，该力是地面对物体的压力，故B正确；C．图C中，物体在水平面上，力的作用点在物体上，方向水平向右，该力不是物体对水平面的压力，也不是水平面对物体的压力，故C错误；D．图D中，力的作用点在施力物体上，故D错误。故选B。</x:v>
      </x:c>
      <x:c r="N71" s="63" t="str">
        <x:v>https://k12static.xdf.cn/k12/image/externalized/7c1c725f-7ec2-4186-bf18-86d41110005f.png</x:v>
      </x:c>
      <x:c r="O71" s="63" t="str">
        <x:v>https://k12static.xdf.cn/k12/image/externalized/94e37b1c-6fd4-4e0f-8cc9-ec0423764e74.png</x:v>
      </x:c>
      <x:c r="P71" s="63" t="str">
        <x:v>1-2步</x:v>
      </x:c>
      <x:c r="Q71" s="63" t="str">
        <x:v>概念判断</x:v>
      </x:c>
      <x:c r="R71" s="63" t="str">
        <x:v>单状态</x:v>
      </x:c>
      <x:c r="S71" s="63" t="str">
        <x:v>无约束</x:v>
      </x:c>
      <x:c r="T71" s="63" t="str">
        <x:v>无</x:v>
      </x:c>
      <x:c r="U71" s="63" t="str">
        <x:v>无</x:v>
      </x:c>
      <x:c r="V71" s="63" t="str">
        <x:v>简单因果推理</x:v>
      </x:c>
    </x:row>
    <x:row r="72">
      <x:c r="A72" s="64" t="str">
        <x:v>​3109100216090959872</x:v>
      </x:c>
      <x:c r="B72" s="65" t="str">
        <x:v>送分题</x:v>
      </x:c>
      <x:c r="C72" s="65" t="str">
        <x:v>送分题</x:v>
      </x:c>
      <x:c r="D72" s="65" t="str">
        <x:v>送分题|基础题</x:v>
      </x:c>
      <x:c r="E72" s="65" t="str">
        <x:v>保留原主标签；相邻档有争议</x:v>
      </x:c>
      <x:c r="F72" s="65" t="str">
        <x:v>中</x:v>
      </x:c>
      <x:c r="G72" s="65" t="str">
        <x:v>送分题</x:v>
      </x:c>
      <x:c r="H72" s="65" t="str">
        <x:v>送分题</x:v>
      </x:c>
      <x:c r="I72" s="65" t="str">
        <x:v>第二轮复核认为现有证据只能证明该题处于相邻档边界，不能排除原GPT主标签。为避免使用模型预测反向拟合真值，保留原主标签，并将另一档记录为可接受等级。</x:v>
      </x:c>
      <x:c r="J72" s="65" t="str">
        <x:v>三次运行错题并集逐题复核</x:v>
      </x:c>
      <x:c r="K72" s="63" t="str">
        <x:v>电压表是测量电压的仪表，下列实物电路中能用电压表正确测量小灯泡两端电压的是（ ）</x:v>
      </x:c>
      <x:c r="L72" s="63" t="str"/>
      <x:c r="M72" s="63" t="str">
        <x:v>A．图中电压表串联在电路中，接法错误，故A不符合题意；B．图中电压表并联在滑动变阻器两端，测量的是滑动变阻器两端的电压，故B不符合题意；C．图中灯泡与电阻丝串联，电压表并联在灯泡两端，测量的是灯泡两端的电压，故C符合题意；D．图中电流表并联在灯泡两端，电压表串联在电路中，接法错误，故D不符合题意。故选C。</x:v>
      </x:c>
      <x:c r="N72" s="63" t="str">
        <x:v>https://k12static.xdf.cn/k12/image/externalized/d5dbda4e-e975-4496-b778-168c494c8d1b.png</x:v>
      </x:c>
      <x:c r="O72" s="63" t="str">
        <x:v>https://k12static.xdf.cn/k12/image/externalized/ed4d31f6-bc82-4f9e-a892-5c460c161427.png</x:v>
      </x:c>
      <x:c r="P72" s="63" t="str">
        <x:v>1-2步</x:v>
      </x:c>
      <x:c r="Q72" s="63" t="str">
        <x:v>概念判断</x:v>
      </x:c>
      <x:c r="R72" s="63" t="str">
        <x:v>单状态</x:v>
      </x:c>
      <x:c r="S72" s="63" t="str">
        <x:v>无约束</x:v>
      </x:c>
      <x:c r="T72" s="63" t="str">
        <x:v>无</x:v>
      </x:c>
      <x:c r="U72" s="63" t="str">
        <x:v>无</x:v>
      </x:c>
      <x:c r="V72" s="63" t="str">
        <x:v>简单因果推理</x:v>
      </x:c>
    </x:row>
    <x:row r="73">
      <x:c r="A73" s="64" t="str">
        <x:v>​3121150375144017920</x:v>
      </x:c>
      <x:c r="B73" s="65" t="str">
        <x:v>基础题</x:v>
      </x:c>
      <x:c r="C73" s="65" t="str">
        <x:v>基础题</x:v>
      </x:c>
      <x:c r="D73" s="65" t="str">
        <x:v>基础题|中等题</x:v>
      </x:c>
      <x:c r="E73" s="65" t="str">
        <x:v>保留原主标签；相邻档有争议</x:v>
      </x:c>
      <x:c r="F73" s="65" t="str">
        <x:v>中</x:v>
      </x:c>
      <x:c r="G73" s="65" t="str">
        <x:v>基础题</x:v>
      </x:c>
      <x:c r="H73" s="65" t="str">
        <x:v>基础题</x:v>
      </x:c>
      <x:c r="I73" s="65" t="str">
        <x:v>第二轮复核认为现有证据只能证明该题处于相邻档边界，不能排除原GPT主标签。为避免使用模型预测反向拟合真值，保留原主标签，并将另一档记录为可接受等级。</x:v>
      </x:c>
      <x:c r="J73" s="65" t="str">
        <x:v>三次运行错题并集逐题复核</x:v>
      </x:c>
      <x:c r="K73" s="63" t="str">
        <x:v>能源问题是现代社会发展的三大基本问题之一。能源家族中：①煤炭、②核能、③石油、④天燃气、⑤水能、⑥风能、⑦地热能、⑧潮汐能等，属于不可再生能源的是 （填序号），其中不来自太阳的能源是 （填序号）。根据能量的转化和守恒定律可知，能量在转化或转移的过程中，其总量 。电能可以使电灯发光，同时产生内能散失在空气中，但这些内能却无法自动转化为电能，该现象说明能量的转化具有 。</x:v>
      </x:c>
      <x:c r="L73" s="63" t="str"/>
      <x:c r="M73" s="63" t="str">
        <x:v>[1]在上述能源中，煤炭、核能、石油、天然气不能源源不断的在环境中获取，属于不可再生能源。[2]煤炭、石油、天燃气、水能、风能等是直接或间接的来自太阳，而核能、地热能、潮汐能不是来自太阳。[3]根据能量守恒定律可知，能量在转化或转移的过程中，其总量保持不变。[4]电能可以使电灯发光，同时产生内能散失在空气中，但这些内能却无法自动转化为电能，该现象说明能量的转化具有方向性，只能朝一个方向自动转化。</x:v>
      </x:c>
      <x:c r="N73" s="63" t="str">
        <x:v>https://k12static.xdf.cn/k12/image/externalized/24fbd1ea-b3a2-45ed-8587-c2592aadae77.png</x:v>
      </x:c>
      <x:c r="O73" s="63" t="str">
        <x:v>https://k12static.xdf.cn/k12/image/externalized/f965379d-60cb-463d-8309-c96366ccad2a.png</x:v>
      </x:c>
      <x:c r="P73" s="63" t="str">
        <x:v>1-2步</x:v>
      </x:c>
      <x:c r="Q73" s="63" t="str">
        <x:v>概念判断</x:v>
      </x:c>
      <x:c r="R73" s="63" t="str">
        <x:v>单状态</x:v>
      </x:c>
      <x:c r="S73" s="63" t="str">
        <x:v>无约束</x:v>
      </x:c>
      <x:c r="T73" s="63" t="str">
        <x:v>无</x:v>
      </x:c>
      <x:c r="U73" s="63" t="str">
        <x:v>无</x:v>
      </x:c>
      <x:c r="V73" s="63" t="str">
        <x:v>直接套用</x:v>
      </x:c>
    </x:row>
    <x:row r="74">
      <x:c r="A74" s="64" t="str">
        <x:v>​3136784775793131520</x:v>
      </x:c>
      <x:c r="B74" s="65" t="str">
        <x:v>送分题</x:v>
      </x:c>
      <x:c r="C74" s="65" t="str">
        <x:v>送分题</x:v>
      </x:c>
      <x:c r="D74" s="65" t="str">
        <x:v>送分题|基础题</x:v>
      </x:c>
      <x:c r="E74" s="65" t="str">
        <x:v>保留原主标签；相邻档有争议</x:v>
      </x:c>
      <x:c r="F74" s="65" t="str">
        <x:v>中</x:v>
      </x:c>
      <x:c r="G74" s="65" t="str">
        <x:v>送分题</x:v>
      </x:c>
      <x:c r="H74" s="65" t="str">
        <x:v>基础题</x:v>
      </x:c>
      <x:c r="I74" s="65" t="str">
        <x:v>第二轮复核认为现有证据只能证明该题处于相邻档边界，不能排除原GPT主标签。为避免使用模型预测反向拟合真值，保留原主标签，并将另一档记录为可接受等级。</x:v>
      </x:c>
      <x:c r="J74" s="65" t="str">
        <x:v>三次运行错题并集逐题复核</x:v>
      </x:c>
      <x:c r="K74" s="63" t="str">
        <x:v>以下说法正确的是（ ）</x:v>
      </x:c>
      <x:c r="L74" s="63" t="str">
        <x:v>A. 核电站通过核聚变获得核能 B. 利用半导体材料可以制作二极管 C. 白鹤滩水电站利用不可再生能源发电 D. “神舟二十号”的航天员靠超声波与地面保持联系</x:v>
      </x:c>
      <x:c r="M74" s="63" t="str">
        <x:v>A．核电站是通过核裂变反应来获得核能，而非核聚变，核聚变目前尚未应用于核电站，故A错误；B．半导体材料具有单向导电性，可以用来制作二极管等电子元件，故B正确；C．白鹤滩水电站利用水能发电，水能属于可再生能源，故C错误；D．"神舟二十号"航天员与地面联系使用的是电磁波，因为电磁波可以在真空中传播，而超声波不能在真空中传播，故D错误。故选B。</x:v>
      </x:c>
      <x:c r="N74" s="63" t="str">
        <x:v>https://k12static.xdf.cn/k12/image/externalized/cd3123fe-449c-47c0-9302-fd22358a1554.png</x:v>
      </x:c>
      <x:c r="O74" s="63" t="str">
        <x:v>https://k12static.xdf.cn/k12/image/externalized/cda83663-bb29-4415-aff7-71965fa09844.png</x:v>
      </x:c>
      <x:c r="P74" s="63" t="str">
        <x:v>1-2步</x:v>
      </x:c>
      <x:c r="Q74" s="63" t="str">
        <x:v>概念判断</x:v>
      </x:c>
      <x:c r="R74" s="63" t="str">
        <x:v>单状态</x:v>
      </x:c>
      <x:c r="S74" s="63" t="str">
        <x:v>无约束</x:v>
      </x:c>
      <x:c r="T74" s="63" t="str">
        <x:v>无</x:v>
      </x:c>
      <x:c r="U74" s="63" t="str">
        <x:v>无</x:v>
      </x:c>
      <x:c r="V74" s="63" t="str">
        <x:v>直接套用</x:v>
      </x:c>
    </x:row>
    <x:row r="75">
      <x:c r="A75" s="64" t="str">
        <x:v>​3202157961741639680</x:v>
      </x:c>
      <x:c r="B75" s="65" t="str">
        <x:v>基础题</x:v>
      </x:c>
      <x:c r="C75" s="65" t="str">
        <x:v>基础题</x:v>
      </x:c>
      <x:c r="D75" s="65" t="str">
        <x:v>基础题|中等题</x:v>
      </x:c>
      <x:c r="E75" s="65" t="str">
        <x:v>保留原主标签；相邻档有争议</x:v>
      </x:c>
      <x:c r="F75" s="65" t="str">
        <x:v>中</x:v>
      </x:c>
      <x:c r="G75" s="65" t="str">
        <x:v>基础题</x:v>
      </x:c>
      <x:c r="H75" s="65" t="str">
        <x:v>基础题</x:v>
      </x:c>
      <x:c r="I75" s="65" t="str">
        <x:v>第二轮复核认为现有证据只能证明该题处于相邻档边界，不能排除原GPT主标签。为避免使用模型预测反向拟合真值，保留原主标签，并将另一档记录为可接受等级。</x:v>
      </x:c>
      <x:c r="J75" s="65" t="str">
        <x:v>三次运行错题并集逐题复核</x:v>
      </x:c>
      <x:c r="K75" s="63" t="str">
        <x:v>如图所示，电源电压保持不变。当开关S由断开到闭合时，下列说法中正确的是（ ）</x:v>
      </x:c>
      <x:c r="L75" s="63" t="str">
        <x:v>A. 电压表的示数不变 B. 电流表的示数不变 C. 电流表的示数变小 D. 电压表与电流表的示数之比变大</x:v>
      </x:c>
      <x:c r="M75" s="63" t="str">
        <x:v>由图可知，当开关S断开时，该电路为串联电路，电压表测量的是电源电压，电流表测量电路中的电流；当开关S闭合时，R2被短路，该电路为只有R1的简单电路，电压表测量的是电源电压，电流表测量电路中的电流；电源电压不变，电路的总电阻减小，由$I=\dfrac{U}{R}$可知，电路中的电流会变大，即电流表示数变大，由于电源电压不变，所以电压表示数不变，电压表与电流表的示数之比变小，故A正确，BCD错误； 故选A。</x:v>
      </x:c>
      <x:c r="N75" s="63" t="str">
        <x:v>https://k12static.xdf.cn/k12/image/externalized/8862275b-9a7b-4309-8cae-94180ef936c9.png</x:v>
      </x:c>
      <x:c r="O75" s="63" t="str">
        <x:v>https://k12static.xdf.cn/k12/image/externalized/4d52fdc9-8245-4863-8391-39bb24acc481.png</x:v>
      </x:c>
      <x:c r="P75" s="63" t="str">
        <x:v>3-5步</x:v>
      </x:c>
      <x:c r="Q75" s="63" t="str">
        <x:v>概念判断</x:v>
      </x:c>
      <x:c r="R75" s="63" t="str">
        <x:v>双状态</x:v>
      </x:c>
      <x:c r="S75" s="63" t="str">
        <x:v>单一约束</x:v>
      </x:c>
      <x:c r="T75" s="63" t="str">
        <x:v>无</x:v>
      </x:c>
      <x:c r="U75" s="63" t="str">
        <x:v>无</x:v>
      </x:c>
      <x:c r="V75" s="63" t="str">
        <x:v>多层因果推理</x:v>
      </x:c>
    </x:row>
    <x:row r="76">
      <x:c r="A76" s="64" t="str">
        <x:v>​3241177751705989120</x:v>
      </x:c>
      <x:c r="B76" s="65" t="str">
        <x:v>中等题</x:v>
      </x:c>
      <x:c r="C76" s="65" t="str">
        <x:v>中等题</x:v>
      </x:c>
      <x:c r="D76" s="65" t="str">
        <x:v>基础题|中等题</x:v>
      </x:c>
      <x:c r="E76" s="65" t="str">
        <x:v>保留原主标签；相邻档有争议</x:v>
      </x:c>
      <x:c r="F76" s="65" t="str">
        <x:v>中</x:v>
      </x:c>
      <x:c r="G76" s="65" t="str">
        <x:v>拔高题</x:v>
      </x:c>
      <x:c r="H76" s="65" t="str">
        <x:v>中等题</x:v>
      </x:c>
      <x:c r="I76" s="65" t="str">
        <x:v>第二轮复核认为现有证据只能证明该题处于相邻档边界，不能排除原GPT主标签。为避免使用模型预测反向拟合真值，保留原主标签，并将另一档记录为可接受等级。</x:v>
      </x:c>
      <x:c r="J76" s="65" t="str">
        <x:v>三次运行错题并集逐题复核</x:v>
      </x:c>
      <x:c r="K76" s="63" t="str">
        <x:v>下面是小亮创新实验的四个场景，下列说法不正确的是（ ） " style="width: 441px; margin-top: 5px; height: 120px;"&gt;</x:v>
      </x:c>
      <x:c r="L76" s="63" t="str">
        <x:v>A. 图甲，容器内密封红色液体，当容器向左加速运动时，液体中的气泡向左移动 B. 图乙，烧瓶中的水停止沸腾后，往外抽气，水又重新沸腾 C. 图丙，吹气时A管中会有液体喷出 D. 图丁，不易形变的饮料瓶，用橡皮膜扎紧瓶口，其侧面插有玻璃管并塞紧，玻璃管中有一段红色液柱，将瓶内气体密封，当饮料瓶放入水下时，则橡皮膜处发生形变，液柱下降</x:v>
      </x:c>
      <x:c r="M76" s="63" t="str">
        <x:v>A．图甲中，当容器向左加速运动时，液体由于惯性会保持原来的运动状态，所以相对于容器向右运动，液体中的气泡由于质量小、惯性小，所以会被液体挤压，向左移动，故A正确，不符合题意；B．图乙中，烧瓶中的水停止沸腾后，往外抽气，水面的气压减小，水的沸点降低，则水又重新沸腾，故B正确，不符合题意；C．流体在流速大的地方压强较小，在流速小的地方压强较大。向水平管口吹气时，A管口上方空气流速大、压强小，在大气压强的作用下A管内的水面会上升并且喷出，故C正确，不符合题意；D．图丁中，将饮料瓶放入水下时，则橡皮膜处因受到水的压强而发生形变，瓶内气体体积减小，瓶内气体压强增大，则液柱会上升，故D错误，符合题意。故选D。</x:v>
      </x:c>
      <x:c r="N76" s="63" t="str">
        <x:v>https://k12static.xdf.cn/k12/image/externalized/777513df-5a30-4ee4-a813-9066e7e0b22e.png</x:v>
      </x:c>
      <x:c r="O76" s="63" t="str">
        <x:v>https://k12static.xdf.cn/k12/image/externalized/4057015c-8da7-42e7-b1b5-ba3522662264.png</x:v>
      </x:c>
      <x:c r="P76" s="63" t="str">
        <x:v>1-2步</x:v>
      </x:c>
      <x:c r="Q76" s="63" t="str">
        <x:v>概念判断</x:v>
      </x:c>
      <x:c r="R76" s="63" t="str">
        <x:v>单状态</x:v>
      </x:c>
      <x:c r="S76" s="63" t="str">
        <x:v>无约束</x:v>
      </x:c>
      <x:c r="T76" s="63" t="str">
        <x:v>控制变量或故障分析</x:v>
      </x:c>
      <x:c r="U76" s="63" t="str">
        <x:v>无</x:v>
      </x:c>
      <x:c r="V76" s="63" t="str">
        <x:v>多层因果推理</x:v>
      </x:c>
    </x:row>
    <x:row r="77">
      <x:c r="A77" s="64" t="str">
        <x:v>​3262770217474863104</x:v>
      </x:c>
      <x:c r="B77" s="65" t="str">
        <x:v>送分题</x:v>
      </x:c>
      <x:c r="C77" s="65" t="str">
        <x:v>送分题</x:v>
      </x:c>
      <x:c r="D77" s="65" t="str">
        <x:v>送分题|基础题</x:v>
      </x:c>
      <x:c r="E77" s="65" t="str">
        <x:v>保留原主标签；相邻档有争议</x:v>
      </x:c>
      <x:c r="F77" s="65" t="str">
        <x:v>中</x:v>
      </x:c>
      <x:c r="G77" s="65" t="str">
        <x:v>送分题</x:v>
      </x:c>
      <x:c r="H77" s="65" t="str">
        <x:v>送分题</x:v>
      </x:c>
      <x:c r="I77" s="65" t="str">
        <x:v>第二轮复核认为现有证据只能证明该题处于相邻档边界，不能排除原GPT主标签。为避免使用模型预测反向拟合真值，保留原主标签，并将另一档记录为可接受等级。</x:v>
      </x:c>
      <x:c r="J77" s="65" t="str">
        <x:v>三次运行错题并集逐题复核</x:v>
      </x:c>
      <x:c r="K77" s="63" t="str">
        <x:v>随着科技发展，各种现代技术不断得到运用。下列关于信息、能源和材料说法正确的是（ ）</x:v>
      </x:c>
      <x:c r="L77" s="63" t="str">
        <x:v>A. 水能和电能均属于一次能源 B. 光纤通信以电流为载体传递信号 C. 现有核电站是利用原子核聚变获取的能量发电 D. 能量的转化和转移具有方向性</x:v>
      </x:c>
      <x:c r="M77" s="63" t="str">
        <x:v>A．水能可以直接从自然界获得，为一次能源；电能无法从自然界直接获取，必须通过消耗一次能源才能得到，属于二次能源，故A错误；B．光纤通信是利用激光从光纤的一端射入，在内壁上多次反射后在另一端放射出来，然后在接收端，将光信号变换成电信号，经解调后恢复原信息，故B错误；C．现有核电站是利用原子核裂变获取的能量发电，故C错误；D．能量的转化和转移时，有些可以自发的转化或转移，有些需要消耗其它形式能量才能转化或者转移，故能量的转化和转移是有方向性的，故D正确。故选D。</x:v>
      </x:c>
      <x:c r="N77" s="63" t="str">
        <x:v>https://k12static.xdf.cn/k12/image/externalized/6b877a29-24a6-4789-a9cb-c312529dd154.png</x:v>
      </x:c>
      <x:c r="O77" s="63" t="str">
        <x:v>https://k12static.xdf.cn/k12/image/externalized/54a721bd-ff47-41c3-a7cb-405e9f09ec48.png</x:v>
      </x:c>
      <x:c r="P77" s="63" t="str">
        <x:v>1-2步</x:v>
      </x:c>
      <x:c r="Q77" s="63" t="str">
        <x:v>概念判断</x:v>
      </x:c>
      <x:c r="R77" s="63" t="str">
        <x:v>单状态</x:v>
      </x:c>
      <x:c r="S77" s="63" t="str">
        <x:v>无约束</x:v>
      </x:c>
      <x:c r="T77" s="63" t="str">
        <x:v>无</x:v>
      </x:c>
      <x:c r="U77" s="63" t="str">
        <x:v>无</x:v>
      </x:c>
      <x:c r="V77" s="63" t="str">
        <x:v>直接套用</x:v>
      </x:c>
    </x:row>
    <x:row r="78">
      <x:c r="A78" s="64" t="str">
        <x:v>​3385313576457912320</x:v>
      </x:c>
      <x:c r="B78" s="65" t="str">
        <x:v>压轴题</x:v>
      </x:c>
      <x:c r="C78" s="65" t="str">
        <x:v>拔高题</x:v>
      </x:c>
      <x:c r="D78" s="65" t="str">
        <x:v>拔高题|压轴题</x:v>
      </x:c>
      <x:c r="E78" s="65" t="str">
        <x:v>修订GPT主标签</x:v>
      </x:c>
      <x:c r="F78" s="65" t="str">
        <x:v>高</x:v>
      </x:c>
      <x:c r="G78" s="65" t="str">
        <x:v>压轴题</x:v>
      </x:c>
      <x:c r="H78" s="65" t="str">
        <x:v>压轴题</x:v>
      </x:c>
      <x:c r="I78" s="65" t="str">
        <x:v>最高难任务在电路状态、图线/参数与安全约束中包含图线反推、状态转换、误差评价、几何/等效转换、方程联立或参数反求等决定性卡点，整体约5—6个有效决策；尚未形成压轴所需的完整复杂约束网络。</x:v>
      </x:c>
      <x:c r="J78" s="65" t="str">
        <x:v>三次运行错题并集逐题复核</x:v>
      </x:c>
      <x:c r="K78" s="63" t="str">
        <x:v>如图所示，电源电压为6V且保持不变，小灯泡标有“4V 1.6W”字样，定值电阻R1的阻值为20Ω，滑动变阻器R2允许通过的最大电流为1A，电流表的量程为0～3A，电压表的量程为0～3V。设小灯泡电阻不随温度改变，求： (1)小灯泡的阻值； (2)只闭合开关S1时电压表的示数； (3)将滑动变阻器的滑片P滑到最左端，闭合所有开关，此时电流表示数为0.5A。求滑动变阻器R2的最大阻值； (4)只闭合开关S2，在电路安全的情况下，求小灯泡电功率的变化范围。</x:v>
      </x:c>
      <x:c r="L78" s="63" t="str"/>
      <x:c r="M78" s="63" t="str">
        <x:v>(1) 由小灯泡铭牌标注可知小灯泡的阻值为$R_{L}=\dfrac{U_{额}^{2}}{P_{额}}=\dfrac{(4V)^{2}}{1.6W}=10Ω $ (2) 当只闭合开关S₁时，R₁与小灯泡串联，电路中的电流为$ I_{串}=\dfrac{U_{电源}}{R_{1}+R_{L}}=\dfrac{6V}{20Ω+10Ω}=0.2A $ 电压表测量灯泡两端的电压$U_{L}=I_{串}R_{L}=0.2A×10Ω=2V$ (3) 若将滑动变阻器滑片滑到最左端，闭合所有开关，则此时滑动变阻器R₂全部连入电路，小灯泡被短路，R₁与R₂并联，经过R₁的电流为$I_{1}=\dfrac{U_{电源}}{R_{1}}=\dfrac{6V}{20Ω}=0.3A $ R₂的电流为$I_{2}=I_{并}-I_{1}=0.5A-0.3A=0.2A$ 则滑动变阻器的最大阻值为$ R_{2}=\dfrac{U_{电源}}{I_{2}}=\dfrac{6V}{0.2A}=30Ω$ (4) 若只闭合开关S₂，则R₂与小灯泡串联，电压表测灯泡两端电压，当滑片在最左端时电路的电阻最大，电流最小，小灯泡功率最小，电路中的最小电流为$I_{min}=\dfrac{U_{电源}}{R_{2}+R_{L}}=\dfrac{6V}{30Ω+10Ω}=0.15A $ 灯泡最小电功率为$P_{min}=I_{min}^{2}R_{L}=(0.15A)^{2}×10Ω=0.225W $ 当滑片向右滑动时，电路电阻减小，电流变大，为确保电路安全，小灯泡所分电压最大可为3V，小灯泡的电功率最大，最大电功率为$P_{max}=\dfrac{U_{max}^{2}}{R_{L}}=\dfrac{(3V)^{2}}{10Ω}=0.9W $ 则小灯泡电功率的变化范围是0.225W~0.9W。</x:v>
      </x:c>
      <x:c r="N78" s="63" t="str">
        <x:v>https://k12static.xdf.cn/k12/image/externalized/7959a7f9-758b-46cd-a9e4-10908635ba3d.png</x:v>
      </x:c>
      <x:c r="O78" s="63" t="str">
        <x:v>https://k12static.xdf.cn/k12/image/externalized/a0177183-7614-48cd-bc4b-5345c98eb302.png</x:v>
      </x:c>
      <x:c r="P78" s="63" t="str">
        <x:v>3-5步</x:v>
      </x:c>
      <x:c r="Q78" s="63" t="str">
        <x:v>电路综合</x:v>
      </x:c>
      <x:c r="R78" s="63" t="str">
        <x:v>双状态</x:v>
      </x:c>
      <x:c r="S78" s="63" t="str">
        <x:v>多约束</x:v>
      </x:c>
      <x:c r="T78" s="63" t="str">
        <x:v>无</x:v>
      </x:c>
      <x:c r="U78" s="63" t="str">
        <x:v>无</x:v>
      </x:c>
      <x:c r="V78" s="63" t="str">
        <x:v>多层因果推理</x:v>
      </x:c>
    </x:row>
    <x:row r="79">
      <x:c r="A79" s="64" t="str">
        <x:v>​3650594325130444800</x:v>
      </x:c>
      <x:c r="B79" s="65" t="str">
        <x:v>中等题</x:v>
      </x:c>
      <x:c r="C79" s="65" t="str">
        <x:v>拔高题</x:v>
      </x:c>
      <x:c r="D79" s="65" t="str">
        <x:v>中等题|拔高题</x:v>
      </x:c>
      <x:c r="E79" s="65" t="str">
        <x:v>修订GPT主标签</x:v>
      </x:c>
      <x:c r="F79" s="65" t="str">
        <x:v>高</x:v>
      </x:c>
      <x:c r="G79" s="65" t="str">
        <x:v>中等题</x:v>
      </x:c>
      <x:c r="H79" s="65" t="str">
        <x:v>拔高题</x:v>
      </x:c>
      <x:c r="I79" s="65" t="str">
        <x:v>最高问要求自主设计双挡电热器电路，并分别计算两段电热丝阻值和长度；存在方案建构和多公式完整链，应为拔高题。</x:v>
      </x:c>
      <x:c r="J79" s="65" t="str">
        <x:v>三次运行错题并集逐题复核</x:v>
      </x:c>
      <x:c r="K79" s="63" t="str">
        <x:v>某家用电热水壶有加热和保温两个挡位，内部电路由温控开关和两段电热丝组成，加热挡的功率是保温挡的5倍。采用加热挡加热时，将2kg的水从20℃升高50℃需要用3.5min的时间。已知电源电压为220V，水的比热容为$4\mathrm{．}2\times 10^{3}\mathrm{J}/\left(\mathrm{kg}\cdot \text{℃}\right)$，若电热丝放出的热量完全被水吸收，求：</x:v>
      </x:c>
      <x:c r="L79" s="63" t="str"/>
      <x:c r="M79" s="63" t="str"/>
      <x:c r="N79" s="63" t="str">
        <x:v>https://k12static.xdf.cn/k12/image/externalized/80492a7b-f821-453e-81a3-2e9f10ae5eb8.png</x:v>
      </x:c>
      <x:c r="O79" s="63" t="str">
        <x:v>https://k12static.xdf.cn/k12/image/externalized/b8ed610a-c004-481f-b622-18477372dc10.png</x:v>
      </x:c>
      <x:c r="P79" s="63" t="str">
        <x:v>3-5步</x:v>
      </x:c>
      <x:c r="Q79" s="63" t="str">
        <x:v>跨模块综合</x:v>
      </x:c>
      <x:c r="R79" s="63" t="str">
        <x:v>双状态</x:v>
      </x:c>
      <x:c r="S79" s="63" t="str">
        <x:v>单一约束</x:v>
      </x:c>
      <x:c r="T79" s="63" t="str">
        <x:v>无</x:v>
      </x:c>
      <x:c r="U79" s="63" t="str">
        <x:v>无</x:v>
      </x:c>
      <x:c r="V79" s="63" t="str">
        <x:v>多层因果推理</x:v>
      </x:c>
    </x:row>
    <x:row r="80">
      <x:c r="A80" s="64" t="str">
        <x:v>​3659088546453536768</x:v>
      </x:c>
      <x:c r="B80" s="65" t="str">
        <x:v>送分题</x:v>
      </x:c>
      <x:c r="C80" s="65" t="str">
        <x:v>送分题</x:v>
      </x:c>
      <x:c r="D80" s="65" t="str">
        <x:v>送分题|基础题</x:v>
      </x:c>
      <x:c r="E80" s="65" t="str">
        <x:v>保留原主标签；相邻档有争议</x:v>
      </x:c>
      <x:c r="F80" s="65" t="str">
        <x:v>中</x:v>
      </x:c>
      <x:c r="G80" s="65" t="str">
        <x:v>送分题</x:v>
      </x:c>
      <x:c r="H80" s="65" t="str">
        <x:v>送分题</x:v>
      </x:c>
      <x:c r="I80" s="65" t="str">
        <x:v>第二轮复核认为现有证据只能证明该题处于相邻档边界，不能排除原GPT主标签。为避免使用模型预测反向拟合真值，保留原主标签，并将另一档记录为可接受等级。</x:v>
      </x:c>
      <x:c r="J80" s="65" t="str">
        <x:v>三次运行错题并集逐题复核</x:v>
      </x:c>
      <x:c r="K80" s="63" t="str">
        <x:v>关于“粒子与宇宙”，下列说法中正确的是（ ）</x:v>
      </x:c>
      <x:c r="L80" s="63" t="str">
        <x:v>A. 月球是太阳的行星 B. 汤姆孙发现电子，表明原子可再分 C. 光年是时间单位 D. 原子核由中子和电子组成</x:v>
      </x:c>
      <x:c r="M80" s="63" t="str">
        <x:v>解：A、月球围绕地球运转，是地球的天然卫星，故A错误； B、1897年汤姆生通过研究阴极射线，发现了一种带负电的粒子，也就是电子，既然原子里能跑出电子，就说明原子本身是有内部结构，是可再分的，故B正确； C、光年表示光1年时间走过的距离，是长度单位而非时间单位，故C错误； D、原子核由质子和中子组成，电子在核外绕核运动，故D错误。 故选：B。</x:v>
      </x:c>
      <x:c r="N80" s="63" t="str">
        <x:v>https://k12static.xdf.cn/k12/image/externalized/b5079e80-a5c4-4a18-b543-1f1ee5864878.png</x:v>
      </x:c>
      <x:c r="O80" s="63" t="str">
        <x:v>https://k12static.xdf.cn/k12/image/externalized/7ee97c4f-50e9-47f4-8888-4adb20b99b44.png</x:v>
      </x:c>
      <x:c r="P80" s="63" t="str">
        <x:v>1-2步</x:v>
      </x:c>
      <x:c r="Q80" s="63" t="str">
        <x:v>概念判断</x:v>
      </x:c>
      <x:c r="R80" s="63" t="str">
        <x:v>单状态</x:v>
      </x:c>
      <x:c r="S80" s="63" t="str">
        <x:v>无约束</x:v>
      </x:c>
      <x:c r="T80" s="63" t="str">
        <x:v>无</x:v>
      </x:c>
      <x:c r="U80" s="63" t="str">
        <x:v>无</x:v>
      </x:c>
      <x:c r="V80" s="63" t="str">
        <x:v>直接套用</x:v>
      </x:c>
    </x:row>
    <x:row r="81">
      <x:c r="A81" s="64" t="str">
        <x:v>​3659088608210468864</x:v>
      </x:c>
      <x:c r="B81" s="65" t="str">
        <x:v>送分题</x:v>
      </x:c>
      <x:c r="C81" s="65" t="str">
        <x:v>基础题</x:v>
      </x:c>
      <x:c r="D81" s="65" t="str">
        <x:v>送分题|基础题</x:v>
      </x:c>
      <x:c r="E81" s="65" t="str">
        <x:v>修订GPT主标签</x:v>
      </x:c>
      <x:c r="F81" s="65" t="str">
        <x:v>高</x:v>
      </x:c>
      <x:c r="G81" s="65" t="str">
        <x:v>基础题</x:v>
      </x:c>
      <x:c r="H81" s="65" t="str">
        <x:v>送分题</x:v>
      </x:c>
      <x:c r="I81" s="65" t="str">
        <x:v>最高难任务属于教材概念与常规物理关系中的1—2步直接应用、规范操作或简单因果判断。需要理解/应用而非纯识记，但没有共享中间结论、完整连续过程或隐含转换。</x:v>
      </x:c>
      <x:c r="J81" s="65" t="str">
        <x:v>三次运行错题并集逐题复核</x:v>
      </x:c>
      <x:c r="K81" s="63" t="str">
        <x:v>在安全教育活动中，老师用图示装置演示面粉爆炸现象。面粉被吹入塑料桶后，遇到火焰爆燃，桶口的硬纸板被迅速弹飞。面粉燃烧释放的内能转化为硬纸板的 ，该过程相当于汽油机工作时的 冲程。</x:v>
      </x:c>
      <x:c r="L81" s="63" t="str"/>
      <x:c r="M81" s="63" t="str">
        <x:v>解：面粉爆燃的时候将桶口的硬纸片迅速弹飞，面粉燃烧释放的内能转化为硬纸板的机械能； 四冲程汽油机做功冲程中，是将内能转化为机械能，两者的能量转化相同。 故答案为：机械能；做功。</x:v>
      </x:c>
      <x:c r="N81" s="63" t="str">
        <x:v>https://k12static.xdf.cn/k12/image/externalized/c46d8f7f-bebc-4bf2-8751-095e46d154bf.png</x:v>
      </x:c>
      <x:c r="O81" s="63" t="str">
        <x:v>https://k12static.xdf.cn/k12/image/externalized/7c9767d2-1e3f-4e23-b6fa-13e6f3664be6.png</x:v>
      </x:c>
      <x:c r="P81" s="63" t="str">
        <x:v>1-2步</x:v>
      </x:c>
      <x:c r="Q81" s="63" t="str">
        <x:v>概念判断</x:v>
      </x:c>
      <x:c r="R81" s="63" t="str">
        <x:v>单状态</x:v>
      </x:c>
      <x:c r="S81" s="63" t="str">
        <x:v>无约束</x:v>
      </x:c>
      <x:c r="T81" s="63" t="str">
        <x:v>无</x:v>
      </x:c>
      <x:c r="U81" s="63" t="str">
        <x:v>无</x:v>
      </x:c>
      <x:c r="V81" s="63" t="str">
        <x:v>直接套用</x:v>
      </x:c>
    </x:row>
    <x:row r="82">
      <x:c r="A82" s="64" t="str">
        <x:v>​3665219030787604480</x:v>
      </x:c>
      <x:c r="B82" s="65" t="str">
        <x:v>基础题</x:v>
      </x:c>
      <x:c r="C82" s="65" t="str">
        <x:v>基础题</x:v>
      </x:c>
      <x:c r="D82" s="65" t="str">
        <x:v>基础题|中等题</x:v>
      </x:c>
      <x:c r="E82" s="65" t="str">
        <x:v>保留原主标签；相邻档有争议</x:v>
      </x:c>
      <x:c r="F82" s="65" t="str">
        <x:v>中</x:v>
      </x:c>
      <x:c r="G82" s="65" t="str">
        <x:v>基础题</x:v>
      </x:c>
      <x:c r="H82" s="65" t="str">
        <x:v>基础题</x:v>
      </x:c>
      <x:c r="I82" s="65" t="str">
        <x:v>第二轮复核认为现有证据只能证明该题处于相邻档边界，不能排除原GPT主标签。为避免使用模型预测反向拟合真值，保留原主标签，并将另一档记录为可接受等级。</x:v>
      </x:c>
      <x:c r="J82" s="65" t="str">
        <x:v>三次运行错题并集逐题复核</x:v>
      </x:c>
      <x:c r="K82" s="63" t="str">
        <x:v>如图是渔业养殖中常用的一种增氧装置，质量为45 kg，g取10 N/kg。</x:v>
      </x:c>
      <x:c r="L82" s="63" t="str"/>
      <x:c r="M82" s="63" t="str"/>
      <x:c r="N82" s="63" t="str">
        <x:v>https://k12static.xdf.cn/k12/image/externalized/57660de2-ec28-427b-9db8-5d65263bace0.png</x:v>
      </x:c>
      <x:c r="O82" s="63" t="str">
        <x:v>https://k12static.xdf.cn/k12/image/externalized/4d1e641f-99bb-40a4-81ca-6de5b7df73eb.png</x:v>
      </x:c>
      <x:c r="P82" s="63" t="str">
        <x:v>1-2步</x:v>
      </x:c>
      <x:c r="Q82" s="63" t="str">
        <x:v>力学综合</x:v>
      </x:c>
      <x:c r="R82" s="63" t="str">
        <x:v>双状态</x:v>
      </x:c>
      <x:c r="S82" s="63" t="str">
        <x:v>无约束</x:v>
      </x:c>
      <x:c r="T82" s="63" t="str">
        <x:v>无</x:v>
      </x:c>
      <x:c r="U82" s="63" t="str">
        <x:v>无</x:v>
      </x:c>
      <x:c r="V82" s="63" t="str">
        <x:v>简单因果推理</x:v>
      </x:c>
    </x:row>
    <x:row r="83">
      <x:c r="A83" s="64" t="str">
        <x:v>​3673511291482345472</x:v>
      </x:c>
      <x:c r="B83" s="65" t="str">
        <x:v>基础题</x:v>
      </x:c>
      <x:c r="C83" s="65" t="str">
        <x:v>基础题</x:v>
      </x:c>
      <x:c r="D83" s="65" t="str">
        <x:v>基础题|中等题</x:v>
      </x:c>
      <x:c r="E83" s="65" t="str">
        <x:v>保留原主标签；相邻档有争议</x:v>
      </x:c>
      <x:c r="F83" s="65" t="str">
        <x:v>中</x:v>
      </x:c>
      <x:c r="G83" s="65" t="str">
        <x:v>基础题</x:v>
      </x:c>
      <x:c r="H83" s="65" t="str">
        <x:v>基础题</x:v>
      </x:c>
      <x:c r="I83" s="65" t="str">
        <x:v>第二轮复核认为现有证据只能证明该题处于相邻档边界，不能排除原GPT主标签。为避免使用模型预测反向拟合真值，保留原主标签，并将另一档记录为可接受等级。</x:v>
      </x:c>
      <x:c r="J83" s="65" t="str">
        <x:v>三次运行错题并集逐题复核</x:v>
      </x:c>
      <x:c r="K83" s="63" t="str">
        <x:v>如图所示，水平地面上有底面积为400 cm2、不计质量的薄壁盛水柱形容器A，内有质量为 600 g、棱长为10 cm、质量分布均匀的正方体物块B，通过一根细线与容器底部相连，此时水面距容器底的距离为30 cm。求：</x:v>
      </x:c>
      <x:c r="L83" s="63" t="str"/>
      <x:c r="M83" s="63" t="str"/>
      <x:c r="N83" s="63" t="str">
        <x:v>https://k12static.xdf.cn/k12/image/externalized/b08fd898-eca1-4701-a0bb-928485922bd9.png</x:v>
      </x:c>
      <x:c r="O83" s="63" t="str">
        <x:v>https://k12static.xdf.cn/k12/image/externalized/21cc90ed-1296-48e3-bf8a-096354ad6d77.png</x:v>
      </x:c>
      <x:c r="P83" s="63" t="str">
        <x:v>3-5步</x:v>
      </x:c>
      <x:c r="Q83" s="63" t="str">
        <x:v>力学综合</x:v>
      </x:c>
      <x:c r="R83" s="63" t="str">
        <x:v>单状态</x:v>
      </x:c>
      <x:c r="S83" s="63" t="str">
        <x:v>单一约束</x:v>
      </x:c>
      <x:c r="T83" s="63" t="str">
        <x:v>无</x:v>
      </x:c>
      <x:c r="U83" s="63" t="str">
        <x:v>无</x:v>
      </x:c>
      <x:c r="V83" s="63" t="str">
        <x:v>多层因果推理</x:v>
      </x:c>
    </x:row>
    <x:row r="84">
      <x:c r="A84" s="64" t="str">
        <x:v>​3673937014702317568</x:v>
      </x:c>
      <x:c r="B84" s="65" t="str">
        <x:v>拔高题</x:v>
      </x:c>
      <x:c r="C84" s="65" t="str">
        <x:v>中等题</x:v>
      </x:c>
      <x:c r="D84" s="65" t="str">
        <x:v>中等题|拔高题</x:v>
      </x:c>
      <x:c r="E84" s="65" t="str">
        <x:v>修订GPT主标签</x:v>
      </x:c>
      <x:c r="F84" s="65" t="str">
        <x:v>高</x:v>
      </x:c>
      <x:c r="G84" s="65" t="str">
        <x:v>拔高题</x:v>
      </x:c>
      <x:c r="H84" s="65" t="str">
        <x:v>拔高题</x:v>
      </x:c>
      <x:c r="I84" s="65" t="str">
        <x:v>三个小问依次为液体压强、显性浮力和匀速平衡求密度，模型及条件均直接，最高链约3—4步，属于中等/拔高边界，压到中等更稳妥。</x:v>
      </x:c>
      <x:c r="J84" s="65" t="str">
        <x:v>三次运行错题并集逐题复核</x:v>
      </x:c>
      <x:c r="K84" s="63" t="str">
        <x:v>小丁设计了一种水下遥感探测器。如图所示，探测器的主体是一个边长为$2\mathrm{~ dm}$的正方体金属盒，上下各有一个带传感器的阀门，总重力为$30\mathrm{~ N}$。某次水底采样时，向探测器内注水，探测器沉入水底。采样完成后，遥控传感器将两个阀门同时打开，从上阀门注入高压气体，水从下阀门流出，当探测器内水的深度为$10\mathrm{~ cm}$时，关闭两阀门，探测器连同样品恰能匀速上浮，如图所示，已知样品体积为$200\mathrm{~ cm}^{3}$，$g=10\mathrm{~ N}/\mathrm{kg}$，$\rho _{\mathrm{水}}=1.0\times 10^{3}\mathrm{~ kg}/\mathrm{m}^{3}$，不计金属盒厚度及阀门和传感器的体积，忽略气体质量和水的阻力，求：</x:v>
      </x:c>
      <x:c r="L84" s="63" t="str"/>
      <x:c r="M84" s="63" t="str"/>
      <x:c r="N84" s="63" t="str">
        <x:v>https://k12static.xdf.cn/k12/image/externalized/35386629-b98d-479f-a493-8cde2555f733.png</x:v>
      </x:c>
      <x:c r="O84" s="63" t="str">
        <x:v>https://k12static.xdf.cn/k12/image/externalized/756cdf0d-33b5-46a7-940a-99e24aa1973c.png</x:v>
      </x:c>
      <x:c r="P84" s="63" t="str">
        <x:v>3-5步</x:v>
      </x:c>
      <x:c r="Q84" s="63" t="str">
        <x:v>力学综合</x:v>
      </x:c>
      <x:c r="R84" s="63" t="str">
        <x:v>单状态</x:v>
      </x:c>
      <x:c r="S84" s="63" t="str">
        <x:v>单一约束</x:v>
      </x:c>
      <x:c r="T84" s="63" t="str">
        <x:v>无</x:v>
      </x:c>
      <x:c r="U84" s="63" t="str">
        <x:v>无</x:v>
      </x:c>
      <x:c r="V84" s="63" t="str">
        <x:v>多层因果推理</x:v>
      </x:c>
    </x:row>
    <x:row r="85">
      <x:c r="A85" s="64" t="str">
        <x:v>​3678659552448622592</x:v>
      </x:c>
      <x:c r="B85" s="65" t="str">
        <x:v>拔高题</x:v>
      </x:c>
      <x:c r="C85" s="65" t="str">
        <x:v>中等题</x:v>
      </x:c>
      <x:c r="D85" s="65" t="str">
        <x:v>中等题|拔高题</x:v>
      </x:c>
      <x:c r="E85" s="65" t="str">
        <x:v>修订GPT主标签</x:v>
      </x:c>
      <x:c r="F85" s="65" t="str">
        <x:v>高</x:v>
      </x:c>
      <x:c r="G85" s="65" t="str">
        <x:v>中等题</x:v>
      </x:c>
      <x:c r="H85" s="65" t="str">
        <x:v>压轴题</x:v>
      </x:c>
      <x:c r="I85" s="65" t="str">
        <x:v>需要围绕受力、浮力/压强与状态变化完成常规的3—4个有效决策，或完成一套完整标准实验/共享过程分析。关系仍显性、方法常规，没有决定性隐含转换、复杂边界筛选或多状态强耦合。</x:v>
      </x:c>
      <x:c r="J85" s="65" t="str">
        <x:v>三次运行错题并集逐题复核</x:v>
      </x:c>
      <x:c r="K85" s="63" t="str">
        <x:v>汽车落水后该如何逃生？同学们聚焦真实问题，开展跨学科实践活动。（一）汽车落水后为何会下沉？（二）落水后推门逃生可行吗？（三）水下破窗逃生可行吗？</x:v>
      </x:c>
      <x:c r="L85" s="63" t="str"/>
      <x:c r="M85" s="63" t="str"/>
      <x:c r="N85" s="63" t="str">
        <x:v>https://k12static.xdf.cn/k12/image/externalized/0c30a09e-0816-4090-b397-1bd4da4c10e6.png</x:v>
      </x:c>
      <x:c r="O85" s="63" t="str">
        <x:v>https://k12static.xdf.cn/k12/image/externalized/c6b74a9d-1147-4bee-bdfa-7ae0c53a020a.png</x:v>
      </x:c>
      <x:c r="P85" s="63" t="str">
        <x:v>3-5步</x:v>
      </x:c>
      <x:c r="Q85" s="63" t="str">
        <x:v>力学综合</x:v>
      </x:c>
      <x:c r="R85" s="63" t="str">
        <x:v>单状态</x:v>
      </x:c>
      <x:c r="S85" s="63" t="str">
        <x:v>单一约束</x:v>
      </x:c>
      <x:c r="T85" s="63" t="str">
        <x:v>无</x:v>
      </x:c>
      <x:c r="U85" s="63" t="str">
        <x:v>无</x:v>
      </x:c>
      <x:c r="V85" s="63" t="str">
        <x:v>多层因果推理</x:v>
      </x:c>
    </x:row>
    <x:row r="86">
      <x:c r="A86" s="64" t="str">
        <x:v>​3678675760415592448</x:v>
      </x:c>
      <x:c r="B86" s="65" t="str">
        <x:v>中等题</x:v>
      </x:c>
      <x:c r="C86" s="65" t="str">
        <x:v>拔高题</x:v>
      </x:c>
      <x:c r="D86" s="65" t="str">
        <x:v>中等题|拔高题</x:v>
      </x:c>
      <x:c r="E86" s="65" t="str">
        <x:v>修订GPT主标签</x:v>
      </x:c>
      <x:c r="F86" s="65" t="str">
        <x:v>高</x:v>
      </x:c>
      <x:c r="G86" s="65" t="str">
        <x:v>基础题</x:v>
      </x:c>
      <x:c r="H86" s="65" t="str">
        <x:v>中等题</x:v>
      </x:c>
      <x:c r="I86" s="65" t="str">
        <x:v>最高问需由悬停状态反求本体排水体积，再切换到抛掉全部压载铁后的上浮状态计算浮力，存在状态转换与隐含量反推，应进入拔高。</x:v>
      </x:c>
      <x:c r="J86" s="65" t="str">
        <x:v>三次运行错题并集逐题复核</x:v>
      </x:c>
      <x:c r="K86" s="63" t="str">
        <x:v>阅读《万米深海的中国奇迹》并回答问题。万米深海的中国奇迹深邃的海底世界充满了神秘与未知，驱动着人类孜孜不倦地探索。2020年11月，我国自主研发的奋斗者号全海深载人潜水器如甲图所示成功坐底10909米深海，刷新了我国载人深潜的纪录。图乙是它的结构示意图。“奋斗者”号总质量为22t（不包含压载铁质量），其底部装配有可抛弃压载铁，中部安装新型固体浮力材料保障潜水器安全返回水面，载人舱为独创的钛合金球形，整体锻造、无缝焊接，壳体轻薄且强度极高，均匀分散深海压力，保证舱体不变形、不破裂，为潜航员筑牢安全屏障。除载人舱及部分电路设施外，其余部分与海水相通。某次执行任务时，在“奋斗者”号的外部挂好2t的压载铁，注水下潜，当下潜至预定深度时，“奋斗者”号通过适时抛掉1t的压载铁实现悬停。当完成工作后，潜航员再抛掉剩余的压载铁，实现上浮。可见，“奋斗者”号在海水中实现无动力下潜和上浮，压载铁的作用都是巨大的。（设定海水密度均匀且$\rho _{\mathrm{海水}}=1\times 10^{3}\mathrm{kg}/\mathrm{m}^{3}\mathrm{，}\rho _{\mathrm{压载铁}}=8\times 10^{3}\mathrm{kg}/\mathrm{m}^{3}$，g取10N/kg）请根据上述材料，回答下列问题：</x:v>
      </x:c>
      <x:c r="L86" s="63" t="str"/>
      <x:c r="M86" s="63" t="str"/>
      <x:c r="N86" s="63" t="str">
        <x:v>https://k12static.xdf.cn/k12/image/externalized/96b16c86-253b-43b4-a439-242de6486c55.png</x:v>
      </x:c>
      <x:c r="O86" s="63" t="str">
        <x:v>https://k12static.xdf.cn/k12/image/externalized/11e3675a-7ea3-469e-8443-ecd3fb3b8a6b.png</x:v>
      </x:c>
      <x:c r="P86" s="63" t="str">
        <x:v>3-5步</x:v>
      </x:c>
      <x:c r="Q86" s="63" t="str">
        <x:v>力学综合</x:v>
      </x:c>
      <x:c r="R86" s="63" t="str">
        <x:v>双状态</x:v>
      </x:c>
      <x:c r="S86" s="63" t="str">
        <x:v>单一约束</x:v>
      </x:c>
      <x:c r="T86" s="63" t="str">
        <x:v>无</x:v>
      </x:c>
      <x:c r="U86" s="63" t="str">
        <x:v>无</x:v>
      </x:c>
      <x:c r="V86" s="63" t="str">
        <x:v>多层因果推理</x:v>
      </x:c>
    </x:row>
    <x:row r="87">
      <x:c r="A87" s="64" t="str">
        <x:v>​2141150480809406464</x:v>
      </x:c>
      <x:c r="B87" s="65" t="str">
        <x:v>送分题</x:v>
      </x:c>
      <x:c r="C87" s="65" t="str">
        <x:v>送分题</x:v>
      </x:c>
      <x:c r="D87" s="65" t="str">
        <x:v>送分题|基础题</x:v>
      </x:c>
      <x:c r="E87" s="65" t="str">
        <x:v>保留主标签；相邻双档均可</x:v>
      </x:c>
      <x:c r="F87" s="65" t="str">
        <x:v>中</x:v>
      </x:c>
      <x:c r="G87" s="65" t="str">
        <x:v>送分题</x:v>
      </x:c>
      <x:c r="H87" s="65" t="str">
        <x:v>基础题</x:v>
      </x:c>
      <x:c r="I87" s="65" t="str">
        <x:v>多个空/选项彼此独立，不形成连续链；最高难任务属于教材概念与常规物理关系中的1—2步直接应用、规范操作或简单因果判断。需要理解/应用而非纯识记，但没有共享中间结论、完整连续过程或隐含转换。</x:v>
      </x:c>
      <x:c r="J87" s="65" t="str">
        <x:v>三次运行错题并集逐题复核</x:v>
      </x:c>
      <x:c r="K87" s="63" t="str">
        <x:v>关于蒸发和沸腾，下列说法中正确的是$(\qquad)$</x:v>
      </x:c>
      <x:c r="L87" s="63" t="str">
        <x:v>A. 都需要吸热 B. 蒸发只发生在液体表面，沸腾发生在液体的表面和内部 C. 液体在任何温度下都可以蒸发，沸腾需要液体温度达到沸点 D. 都属于汽化过程，都比升华容易发生</x:v>
      </x:c>
      <x:c r="M87" s="63" t="str">
        <x:v>A．蒸发和沸腾时汽化的两种方式，汽化需要吸热，故 A 正确； B．蒸发和沸腾都可以在液体表面进行，沸腾可以在液体内部发生，故 B 正确； C．蒸发在任何温度下都能发生，而沸腾只能在特定的温度（沸点）才能发生，故 C 正确； D．蒸发和沸腾时汽化的两种方式，都是由气态变成液态的过程，升华是物质由固态直接变成气态的过程，由气态变成液态的过程不一定比由固态直接变成气态的过程容易发生，故 D 不正确． 故选 ABC</x:v>
      </x:c>
      <x:c r="N87" s="63" t="str">
        <x:v>https://k12static.xdf.cn/k12/image/externalized/e4a2c49c-0dfc-414c-8185-c8e3b4d0607a.png</x:v>
      </x:c>
      <x:c r="O87" s="63" t="str">
        <x:v>https://k12static.xdf.cn/k12/image/externalized/44342ac3-413f-45ae-a3b4-aeaf48173b2c.png</x:v>
      </x:c>
      <x:c r="P87" s="63" t="str">
        <x:v>1-2步</x:v>
      </x:c>
      <x:c r="Q87" s="63" t="str">
        <x:v>概念判断</x:v>
      </x:c>
      <x:c r="R87" s="63" t="str">
        <x:v>单状态</x:v>
      </x:c>
      <x:c r="S87" s="63" t="str">
        <x:v>无约束</x:v>
      </x:c>
      <x:c r="T87" s="63" t="str">
        <x:v>无</x:v>
      </x:c>
      <x:c r="U87" s="63" t="str">
        <x:v>无</x:v>
      </x:c>
      <x:c r="V87" s="63" t="str">
        <x:v>简单因果推理</x:v>
      </x:c>
    </x:row>
    <x:row r="88">
      <x:c r="A88" s="64" t="str">
        <x:v>​2261899973604954112</x:v>
      </x:c>
      <x:c r="B88" s="65" t="str">
        <x:v>中等题</x:v>
      </x:c>
      <x:c r="C88" s="65" t="str">
        <x:v>中等题</x:v>
      </x:c>
      <x:c r="D88" s="65" t="str">
        <x:v>基础题|中等题</x:v>
      </x:c>
      <x:c r="E88" s="65" t="str">
        <x:v>保留主标签；相邻双档均可</x:v>
      </x:c>
      <x:c r="F88" s="65" t="str">
        <x:v>中</x:v>
      </x:c>
      <x:c r="G88" s="65" t="str">
        <x:v>中等题</x:v>
      </x:c>
      <x:c r="H88" s="65" t="str">
        <x:v>中等题</x:v>
      </x:c>
      <x:c r="I88" s="65" t="str">
        <x:v>动滑轮受力与A物体二力平衡均为显性模型，最长链约2步；可视为基础/中等边界，单列中等证据不足。</x:v>
      </x:c>
      <x:c r="J88" s="65" t="str">
        <x:v>三次运行错题并集逐题复核</x:v>
      </x:c>
      <x:c r="K88" s="63" t="str">
        <x:v>如图所示的装置中，物体B和动滑轮总重10N，且恰好匀速下降。则A物体受到的摩擦力的方向和大小为（ ）</x:v>
      </x:c>
      <x:c r="L88" s="63" t="str">
        <x:v>A. 水平向右，5N B. 水平向右，10N C. 水平向左，10N D. 水平向左，5N</x:v>
      </x:c>
      <x:c r="M88" s="63" t="str">
        <x:v>解：如图所示，物体B和动滑轮总重10N，且恰好匀速下降，则绳子对物体B和动滑轮的拉力等于5N（省一半的力），物体A在水平方向上受到绳子的拉力大小等于5N（与绳子对物体B和动滑轮的拉力是一对相互作用力），由于物体A在水平方向上做匀速直线运动，所以物体A所受到的摩擦力跟绳子对物体A的拉力是一对平衡力，它们大小相等，方向相反，所以摩擦力大小等于5N，方向水平向左。 由上述可知选项A、B、C都不正确。 故选：D。</x:v>
      </x:c>
      <x:c r="N88" s="63" t="str">
        <x:v>https://k12static.xdf.cn/k12/image/externalized/60f22e2b-f02f-417b-8eee-7d0950294c5a.png</x:v>
      </x:c>
      <x:c r="O88" s="63" t="str">
        <x:v>https://k12static.xdf.cn/k12/image/externalized/52e9b681-a62e-41bd-9ff1-0c8d8e61da29.png</x:v>
      </x:c>
      <x:c r="P88" s="63" t="str">
        <x:v>3-5步</x:v>
      </x:c>
      <x:c r="Q88" s="63" t="str">
        <x:v>力学综合</x:v>
      </x:c>
      <x:c r="R88" s="63" t="str">
        <x:v>单状态</x:v>
      </x:c>
      <x:c r="S88" s="63" t="str">
        <x:v>单一约束</x:v>
      </x:c>
      <x:c r="T88" s="63" t="str">
        <x:v>无</x:v>
      </x:c>
      <x:c r="U88" s="63" t="str">
        <x:v>无</x:v>
      </x:c>
      <x:c r="V88" s="63" t="str">
        <x:v>多层因果推理</x:v>
      </x:c>
    </x:row>
    <x:row r="89">
      <x:c r="A89" s="64" t="str">
        <x:v>​2263016904717787136</x:v>
      </x:c>
      <x:c r="B89" s="65" t="str">
        <x:v>中等题</x:v>
      </x:c>
      <x:c r="C89" s="65" t="str">
        <x:v>中等题</x:v>
      </x:c>
      <x:c r="D89" s="65" t="str">
        <x:v>中等题|拔高题</x:v>
      </x:c>
      <x:c r="E89" s="65" t="str">
        <x:v>保留主标签；相邻双档均可</x:v>
      </x:c>
      <x:c r="F89" s="65" t="str">
        <x:v>中</x:v>
      </x:c>
      <x:c r="G89" s="65" t="str">
        <x:v>基础题</x:v>
      </x:c>
      <x:c r="H89" s="65" t="str">
        <x:v>中等题</x:v>
      </x:c>
      <x:c r="I89" s="65" t="str">
        <x:v>需要围绕电路状态、图线/参数与安全约束完成常规的3—4个有效决策，或完成一套完整标准实验/共享过程分析。关系仍显性、方法常规，没有决定性隐含转换、复杂边界筛选或多状态强耦合。</x:v>
      </x:c>
      <x:c r="J89" s="65" t="str">
        <x:v>三次运行错题并集逐题复核</x:v>
      </x:c>
      <x:c r="K89" s="63" t="str">
        <x:v>如图电路，电源电压恒定，R1=10Ω，R2=5Ω，R3是定值电阻。闭合开关S1，单刀双掷开关S2接a时电流表的示数为0.3A，接b时电流表的示数可能为（ ）</x:v>
      </x:c>
      <x:c r="L89" s="63" t="str">
        <x:v>A. 0.2A B. 0.4A C. 0.6A D. 0.8A</x:v>
      </x:c>
      <x:c r="M89" s="63" t="str">
        <x:v>解：由电路图可知，闭合开关S1，单刀双掷开关S2接a时，R1和R3串联，由串联电路的电阻特点可知，此时电路中的总电阻：Ra=R1+R3=10Ω+R3， 设电源电压为U，那么此时电路中的电流为：Ia=$\frac{U}{{R}_{a}}$=$\frac{U}{10Ω+{R}_{3}}$=0.3A，则：2Ia=$\frac{U}{\frac{10Ω+{R}_{3}}{2}}$=$\frac{U}{5Ω+\frac{1}{2}{R}_{3}}$=0.6A； 闭合开关S1，单刀双掷开关S2接b时，R2和R3串联，此时电路中的总电阻：Rb=R2+R3=5Ω+R3， 此时电源电压不变，此时电路中的电流为：Ib=$\frac{U}{{R}_{b}}$=$\frac{U}{5Ω+{R}_{3}}$， 由分子相同时，分母越小比值越大可知：$\frac{U}{10Ω+{R}_{3}}$＜$\frac{U}{5Ω+{R}_{3}}$＜$\frac{U}{5Ω+\frac{1}{2}{R}_{3}}$，即：0.3A＜Ib＜0.6A， 所以电流表的示数可能是0.4A，故B正确。 故选：B。</x:v>
      </x:c>
      <x:c r="N89" s="63" t="str">
        <x:v>https://k12static.xdf.cn/k12/image/externalized/3c7b00af-5760-4743-a9e7-c8e5514b11f7.png</x:v>
      </x:c>
      <x:c r="O89" s="63" t="str">
        <x:v>https://k12static.xdf.cn/k12/image/externalized/aaa50639-9a23-4959-bf23-7fa47481578f.png</x:v>
      </x:c>
      <x:c r="P89" s="63" t="str">
        <x:v>3-5步</x:v>
      </x:c>
      <x:c r="Q89" s="63" t="str">
        <x:v>电路综合</x:v>
      </x:c>
      <x:c r="R89" s="63" t="str">
        <x:v>双状态</x:v>
      </x:c>
      <x:c r="S89" s="63" t="str">
        <x:v>单一约束</x:v>
      </x:c>
      <x:c r="T89" s="63" t="str">
        <x:v>无</x:v>
      </x:c>
      <x:c r="U89" s="63" t="str">
        <x:v>无</x:v>
      </x:c>
      <x:c r="V89" s="63" t="str">
        <x:v>多层因果推理</x:v>
      </x:c>
    </x:row>
    <x:row r="90">
      <x:c r="A90" s="64" t="str">
        <x:v>​2271711819884433408</x:v>
      </x:c>
      <x:c r="B90" s="65" t="str">
        <x:v>拔高题</x:v>
      </x:c>
      <x:c r="C90" s="65" t="str">
        <x:v>拔高题</x:v>
      </x:c>
      <x:c r="D90" s="65" t="str">
        <x:v>中等题|拔高题</x:v>
      </x:c>
      <x:c r="E90" s="65" t="str">
        <x:v>保留主标签；相邻双档均可</x:v>
      </x:c>
      <x:c r="F90" s="65" t="str">
        <x:v>中</x:v>
      </x:c>
      <x:c r="G90" s="65" t="str">
        <x:v>拔高题</x:v>
      </x:c>
      <x:c r="H90" s="65" t="str">
        <x:v>中等题</x:v>
      </x:c>
      <x:c r="I90" s="65" t="str">
        <x:v>最高难任务在电路状态、图线/参数与安全约束中包含图线反推、状态转换、误差评价、几何/等效转换、方程联立或参数反求等决定性卡点，整体约5—6个有效决策；尚未形成压轴所需的完整复杂约束网络。</x:v>
      </x:c>
      <x:c r="J90" s="65" t="str">
        <x:v>三次运行错题并集逐题复核</x:v>
      </x:c>
      <x:c r="K90" s="63" t="str">
        <x:v>如图所示的电路中，已知定值电阻R1=8Ω，R2=4Ω，灯泡L的额定电压为6V．读出电压表V1的示数为7V，电压表V2的示数为5V，电灯正常工作时，灯泡的额定功率为（ ）</x:v>
      </x:c>
      <x:c r="L90" s="63" t="str">
        <x:v>A. 3W B. 6W C. 9W D. 12W</x:v>
      </x:c>
      <x:c r="M90" s="63" t="str">
        <x:v>解：（1）电阻R1、R2与灯泡L串联，电压表V1测电阻R1与灯泡L两端的电压； 电压表电阻V2测电阻R2与灯泡L两端的电压； （2）串联电路电流处处相等，则两定值电阻的电压之比$\frac{{U}_{1}}{{U}_{2}}$=$\frac{I{R}_{1}}{I{R}_{2}}$=$\frac{{R}_{1}}{{R}_{2}}$=$\frac{8Ω}{4Ω}$=2，则U1=2U2-----①； 由串联电路的特点知：UV 1=U1+UL=7V-------②， UV 2=UL+U2=5V---------③； 由①②③解得U1=4V，U2=2V，UL=3V； （3）电路电流I=$\frac{{U}_{1}}{{R}_{1}}$=$\frac{4V}{8Ω}$=0.5A， 灯泡电阻RL=$\frac{{U}_{L}}{I}$=$\frac{3V}{0.5A}$=6Ω； 则灯泡的额定功率PL=$\frac{{U}_{L额}^{2}}{{R}_{L}}$=$\frac{{(6V)}^{2}}{6Ω}$=6W。 故选：B。</x:v>
      </x:c>
      <x:c r="N90" s="63" t="str">
        <x:v>https://k12static.xdf.cn/k12/image/externalized/e79a4b1a-6fcd-43d4-aa47-bfbc276d400a.png</x:v>
      </x:c>
      <x:c r="O90" s="63" t="str">
        <x:v>https://k12static.xdf.cn/k12/image/externalized/0f390431-64c8-471c-bb2e-8cff33308c02.png</x:v>
      </x:c>
      <x:c r="P90" s="63" t="str">
        <x:v>3-5步</x:v>
      </x:c>
      <x:c r="Q90" s="63" t="str">
        <x:v>电路综合</x:v>
      </x:c>
      <x:c r="R90" s="63" t="str">
        <x:v>单状态</x:v>
      </x:c>
      <x:c r="S90" s="63" t="str">
        <x:v>单一约束</x:v>
      </x:c>
      <x:c r="T90" s="63" t="str">
        <x:v>无</x:v>
      </x:c>
      <x:c r="U90" s="63" t="str">
        <x:v>无</x:v>
      </x:c>
      <x:c r="V90" s="63" t="str">
        <x:v>多层因果推理</x:v>
      </x:c>
    </x:row>
    <x:row r="91">
      <x:c r="A91" s="64" t="str">
        <x:v>​2306494294351990784</x:v>
      </x:c>
      <x:c r="B91" s="65" t="str">
        <x:v>拔高题</x:v>
      </x:c>
      <x:c r="C91" s="65" t="str">
        <x:v>拔高题</x:v>
      </x:c>
      <x:c r="D91" s="65" t="str">
        <x:v>中等题|拔高题</x:v>
      </x:c>
      <x:c r="E91" s="65" t="str">
        <x:v>保留主标签；相邻双档均可</x:v>
      </x:c>
      <x:c r="F91" s="65" t="str">
        <x:v>中</x:v>
      </x:c>
      <x:c r="G91" s="65" t="str">
        <x:v>中等题</x:v>
      </x:c>
      <x:c r="H91" s="65" t="str">
        <x:v>拔高题</x:v>
      </x:c>
      <x:c r="I91" s="65" t="str">
        <x:v>最高难任务在标准实验流程、读数与数据归纳中包含图线反推、状态转换、误差评价、几何/等效转换、方程联立或参数反求等决定性卡点，整体约5—6个有效决策；尚未形成压轴所需的完整复杂约束网络。</x:v>
      </x:c>
      <x:c r="J91" s="65" t="str">
        <x:v>三次运行错题并集逐题复核</x:v>
      </x:c>
      <x:c r="K91" s="63" t="str">
        <x:v>分别标有“6V 6W”和“6V 3W”的甲、乙两只灯泡，经实验测得其I-U特性曲线如右图所示。现将甲、乙两灯并联在电路中，当两只灯泡的总电流为1A时，两只灯泡消耗的总功率是（ ）</x:v>
      </x:c>
      <x:c r="L91" s="63" t="str">
        <x:v>A. 3W B. 4W C. 4.5W D. 6W</x:v>
      </x:c>
      <x:c r="M91" s="63" t="str">
        <x:v>解：由图象根据R=$\frac{U}{I}$可知，甲灯泡的阻值比较的小， 两只灯泡的总电流为1A时，由图象可知， 当甲灯泡通过的电流为0.6A，乙灯泡通过的电流为0.4A时，电路两端电压为3V， 则两个灯泡消耗的总功率为：P=UI=3V×1A=3W。 故选：A。</x:v>
      </x:c>
      <x:c r="N91" s="63" t="str">
        <x:v>https://k12static.xdf.cn/k12/image/externalized/b69f35ec-4d63-422f-8737-8195e13775ab.png</x:v>
      </x:c>
      <x:c r="O91" s="63" t="str">
        <x:v>https://k12static.xdf.cn/k12/image/externalized/55047916-0b28-436b-add8-09de439b5e12.png</x:v>
      </x:c>
      <x:c r="P91" s="63" t="str">
        <x:v>3-5步</x:v>
      </x:c>
      <x:c r="Q91" s="63" t="str">
        <x:v>电路综合</x:v>
      </x:c>
      <x:c r="R91" s="63" t="str">
        <x:v>单状态</x:v>
      </x:c>
      <x:c r="S91" s="63" t="str">
        <x:v>单一约束</x:v>
      </x:c>
      <x:c r="T91" s="63" t="str">
        <x:v>无</x:v>
      </x:c>
      <x:c r="U91" s="63" t="str">
        <x:v>图像反推或外推</x:v>
      </x:c>
      <x:c r="V91" s="63" t="str">
        <x:v>多层因果推理</x:v>
      </x:c>
    </x:row>
    <x:row r="92">
      <x:c r="A92" s="64" t="str">
        <x:v>​2318614351300288512</x:v>
      </x:c>
      <x:c r="B92" s="65" t="str">
        <x:v>中等题</x:v>
      </x:c>
      <x:c r="C92" s="65" t="str">
        <x:v>中等题</x:v>
      </x:c>
      <x:c r="D92" s="65" t="str">
        <x:v>中等题|拔高题</x:v>
      </x:c>
      <x:c r="E92" s="65" t="str">
        <x:v>保留主标签；相邻双档均可</x:v>
      </x:c>
      <x:c r="F92" s="65" t="str">
        <x:v>中</x:v>
      </x:c>
      <x:c r="G92" s="65" t="str">
        <x:v>中等题</x:v>
      </x:c>
      <x:c r="H92" s="65" t="str">
        <x:v>中等题</x:v>
      </x:c>
      <x:c r="I92" s="65" t="str">
        <x:v>存在约3—4步常规连续分析、共享过程或完整标准实验任务，关系仍显性。 题目证据：最长连续链实际有效物理决策共4步：1. 结合串联规律建立U=IR+UL的方程；2. 结合I-U图像验证满足方程的电流和电压；3. 确定电路实际电流；4. 代入公式计算总功率。五维锚定：知识量跨欧姆定律、串联电路规律、电功率计算三个关联知识点；过程为单状态但需要结合图像匹配满足方程的解；数学工具为简单方程加图像匹配；情境为常规习题变式；思维层次达到常规分析外的图像反推要求。核心任务是串联电路规律结合非线性I-U图像求解实际电流，存在图像匹配的隐性决策环节。</x:v>
      </x:c>
      <x:c r="J92" s="65" t="str">
        <x:v>三次运行错题并集逐题复核</x:v>
      </x:c>
      <x:c r="K92" s="63" t="str">
        <x:v>标有“6V 3W”的小灯泡，通过它的电流与电压的关系如图所示。若把它与一只阻值为5Ω的电阻串联接在电压为6V的电路中，则整个电路消耗的功率为（ ）</x:v>
      </x:c>
      <x:c r="L92" s="63" t="str">
        <x:v>A. 3.2W B. 2.4W C. 2.1W D. 3W</x:v>
      </x:c>
      <x:c r="M92" s="63" t="str">
        <x:v>解：小灯泡与一个阻值R=5Ω电阻串联接入电压是6V的电路中， 因串联电路中各处的电流相等， 由I=$\frac{U}{R}$可得电源的电压： U=IR+UL，即6V=I×5Ω+UL， 由图象可知，当灯泡两端的电压为4V，通过的电流为0.4A时，上面等式成立；即5Ω电阻与灯泡串联在6V电路中时，电路中的电流为0.4A； 则整个电路消耗的功率：P=UI=6V×0.4A=2.4W。 故选：B。</x:v>
      </x:c>
      <x:c r="N92" s="63" t="str">
        <x:v>https://k12static.xdf.cn/k12/image/externalized/1382bd17-7f91-4b6c-a57e-df7b850265fe.png</x:v>
      </x:c>
      <x:c r="O92" s="63" t="str">
        <x:v>https://k12static.xdf.cn/k12/image/externalized/23aad0b5-b17a-4e3b-a372-86ef66b35443.png</x:v>
      </x:c>
      <x:c r="P92" s="63" t="str">
        <x:v>3-5步</x:v>
      </x:c>
      <x:c r="Q92" s="63" t="str">
        <x:v>电路综合</x:v>
      </x:c>
      <x:c r="R92" s="63" t="str">
        <x:v>单状态</x:v>
      </x:c>
      <x:c r="S92" s="63" t="str">
        <x:v>单一约束</x:v>
      </x:c>
      <x:c r="T92" s="63" t="str">
        <x:v>无</x:v>
      </x:c>
      <x:c r="U92" s="63" t="str">
        <x:v>图像反推或外推</x:v>
      </x:c>
      <x:c r="V92" s="63" t="str">
        <x:v>多层因果推理</x:v>
      </x:c>
    </x:row>
    <x:row r="93">
      <x:c r="A93" s="64" t="str">
        <x:v>​2360689630988218368</x:v>
      </x:c>
      <x:c r="B93" s="65" t="str">
        <x:v>基础题</x:v>
      </x:c>
      <x:c r="C93" s="65" t="str">
        <x:v>基础题</x:v>
      </x:c>
      <x:c r="D93" s="65" t="str">
        <x:v>基础题|中等题</x:v>
      </x:c>
      <x:c r="E93" s="65" t="str">
        <x:v>保留主标签；相邻双档均可</x:v>
      </x:c>
      <x:c r="F93" s="65" t="str">
        <x:v>中</x:v>
      </x:c>
      <x:c r="G93" s="65" t="str">
        <x:v>基础题</x:v>
      </x:c>
      <x:c r="H93" s="65" t="str">
        <x:v>中等题</x:v>
      </x:c>
      <x:c r="I93" s="65" t="str">
        <x:v>需要围绕电路状态、图线/参数与安全约束完成常规的3—4个有效决策，或完成一套完整标准实验/共享过程分析。关系仍显性、方法常规，没有决定性隐含转换、复杂边界筛选或多状态强耦合。</x:v>
      </x:c>
      <x:c r="J93" s="65" t="str">
        <x:v>三次运行错题并集逐题复核</x:v>
      </x:c>
      <x:c r="K93" s="63" t="str">
        <x:v>在如图所示的电路中，根据小磁针静止时的指向可知（ ）</x:v>
      </x:c>
      <x:c r="L93" s="63" t="str">
        <x:v>A. a端是通电螺线管的N极，c端是电源正极 B. b端是通电螺线管的N极，d端是电源正极 C. a端是通电螺线管的N极，c端是电源负极 D. b端是通电螺线管的N极，d端是电源负极</x:v>
      </x:c>
      <x:c r="M93" s="63" t="str">
        <x:v>解：通电螺线管内部中间的小磁针，静止时N极指向左端，可知，螺线管内部的磁场方向水平向左，根据安培定则，知螺线管中的电流从左侧流进，右侧流出，则c端为电源的正极，d端为负极，内部的磁场由b指向a,则a端是通电螺线管的N极，故A正确，BCD错误。 故选：A。</x:v>
      </x:c>
      <x:c r="N93" s="63" t="str">
        <x:v>https://k12static.xdf.cn/k12/image/externalized/1478ad07-fba4-40b5-ab15-d9351019b132.png</x:v>
      </x:c>
      <x:c r="O93" s="63" t="str">
        <x:v>https://k12static.xdf.cn/k12/image/externalized/cc68314a-6c01-4adc-bc0d-27f2587a07cb.png</x:v>
      </x:c>
      <x:c r="P93" s="63" t="str">
        <x:v>1-2步</x:v>
      </x:c>
      <x:c r="Q93" s="63" t="str">
        <x:v>概念判断</x:v>
      </x:c>
      <x:c r="R93" s="63" t="str">
        <x:v>单状态</x:v>
      </x:c>
      <x:c r="S93" s="63" t="str">
        <x:v>无约束</x:v>
      </x:c>
      <x:c r="T93" s="63" t="str">
        <x:v>无</x:v>
      </x:c>
      <x:c r="U93" s="63" t="str">
        <x:v>无</x:v>
      </x:c>
      <x:c r="V93" s="63" t="str">
        <x:v>多层因果推理</x:v>
      </x:c>
    </x:row>
    <x:row r="94">
      <x:c r="A94" s="64" t="str">
        <x:v>​2366366723734016000</x:v>
      </x:c>
      <x:c r="B94" s="65" t="str">
        <x:v>送分题</x:v>
      </x:c>
      <x:c r="C94" s="65" t="str">
        <x:v>送分题</x:v>
      </x:c>
      <x:c r="D94" s="65" t="str">
        <x:v>送分题|基础题</x:v>
      </x:c>
      <x:c r="E94" s="65" t="str">
        <x:v>保留主标签；相邻双档均可</x:v>
      </x:c>
      <x:c r="F94" s="65" t="str">
        <x:v>中</x:v>
      </x:c>
      <x:c r="G94" s="65" t="str">
        <x:v>基础题</x:v>
      </x:c>
      <x:c r="H94" s="65" t="str">
        <x:v>送分题</x:v>
      </x:c>
      <x:c r="I94" s="65" t="str">
        <x:v>核心只需识别一个唯一、熟悉且关系显性的教材模板（教材概念与常规物理关系），没有第二次独立物理决策；背景、选项数量或机械作答动作不增加难度。</x:v>
      </x:c>
      <x:c r="J94" s="65" t="str">
        <x:v>三次运行错题并集逐题复核</x:v>
      </x:c>
      <x:c r="K94" s="63" t="str">
        <x:v>冬天，人们说话时，可以看到口里呼出“白气”，打开冰箱时，也可以看到从冰箱里冲出的“白气”。下列对这两次“白气”成因的判断，正确的是（ ）</x:v>
      </x:c>
      <x:c r="L94" s="63" t="str">
        <x:v>A. 从冰箱里冲出“白气”是汽化形成的水蒸气 B. 口里呼出“白气”是汽化形成的小水珠 C. 这两次“白气”都是液化形成的水蒸气 D. 这两次“白气”都是液化形成的小水珠</x:v>
      </x:c>
      <x:c r="M94" s="63" t="str">
        <x:v>解：冰箱里冲出的“白气”是空气中的水蒸气遇冷液化形成的，口里呼出的“白气”是口里的水蒸气遇冷液化形成的。 综上可知，D正确，ABC错误。 故选：D。</x:v>
      </x:c>
      <x:c r="N94" s="63" t="str">
        <x:v>https://k12static.xdf.cn/k12/image/externalized/8cd48663-89a1-4747-8b73-5602bc14f411.png</x:v>
      </x:c>
      <x:c r="O94" s="63" t="str">
        <x:v>https://k12static.xdf.cn/k12/image/externalized/d442dce6-42d6-43e2-a636-9846d55bba9f.png</x:v>
      </x:c>
      <x:c r="P94" s="63" t="str">
        <x:v>1-2步</x:v>
      </x:c>
      <x:c r="Q94" s="63" t="str">
        <x:v>概念判断</x:v>
      </x:c>
      <x:c r="R94" s="63" t="str">
        <x:v>单状态</x:v>
      </x:c>
      <x:c r="S94" s="63" t="str">
        <x:v>无约束</x:v>
      </x:c>
      <x:c r="T94" s="63" t="str">
        <x:v>无</x:v>
      </x:c>
      <x:c r="U94" s="63" t="str">
        <x:v>无</x:v>
      </x:c>
      <x:c r="V94" s="63" t="str">
        <x:v>简单因果推理</x:v>
      </x:c>
    </x:row>
    <x:row r="95">
      <x:c r="A95" s="64" t="str">
        <x:v>​2373133670859956224</x:v>
      </x:c>
      <x:c r="B95" s="65" t="str">
        <x:v>基础题</x:v>
      </x:c>
      <x:c r="C95" s="65" t="str">
        <x:v>基础题</x:v>
      </x:c>
      <x:c r="D95" s="65" t="str">
        <x:v>基础题|中等题</x:v>
      </x:c>
      <x:c r="E95" s="65" t="str">
        <x:v>保留主标签；相邻双档均可</x:v>
      </x:c>
      <x:c r="F95" s="65" t="str">
        <x:v>中</x:v>
      </x:c>
      <x:c r="G95" s="65" t="str">
        <x:v>送分题</x:v>
      </x:c>
      <x:c r="H95" s="65" t="str">
        <x:v>基础题</x:v>
      </x:c>
      <x:c r="I95" s="65" t="str">
        <x:v>最高难任务为1—2步显性应用、规范操作或简单因果，没有连续模型转换。 题目证据：最长连续链实际有效物理决策为2步：第一步分析弹簧恢复形变过程中物块的受力与运动，第二步分析物块离开弹簧后的受力与运动。五维锚定：知识量为同模块两个关联知识点，过程对象为两个连续状态，数学工具无复杂运算，情境为常规物理模型情境，思维层次为简单应用加常规分析。整体需要对两个连续运动状态分别分析判断。</x:v>
      </x:c>
      <x:c r="J95" s="65" t="str">
        <x:v>三次运行错题并集逐题复核</x:v>
      </x:c>
      <x:c r="K95" s="63" t="str">
        <x:v>如图所示，小物块A和弹簧放在光滑的水平面上，弹簧左端固定于竖直墙面，向左移动物块A并压缩弹簧至B处，静止释放物块A，此后物块的运动是（ ）</x:v>
      </x:c>
      <x:c r="L95" s="63" t="str">
        <x:v>A. 一直加速 B. 一直匀速 C. 先加速后匀速 D. 先加速后减速</x:v>
      </x:c>
      <x:c r="M95" s="63" t="str">
        <x:v>解：如图所示，当压缩弹簧时，弹簧具有弹性势能，在恢复形变时，弹性势能转化为动能，使物块获得一定的速度，且在物块离开弹簧时，速度达到最大；物块离开弹簧后，因水平面光滑，它在水平方向不受力，故物块将做匀速直线运动。 综上所述，静止释放物块A，此后物块的运动是先加速后匀速。只有选项C符合题意。 故选：C。</x:v>
      </x:c>
      <x:c r="N95" s="63" t="str">
        <x:v>https://k12static.xdf.cn/k12/image/externalized/e5dee6b2-9a88-4d8d-abfe-3599120e02a1.png</x:v>
      </x:c>
      <x:c r="O95" s="63" t="str">
        <x:v>https://k12static.xdf.cn/k12/image/externalized/3b9be24b-7dbd-4579-b091-87edcc1482ee.png</x:v>
      </x:c>
      <x:c r="P95" s="63" t="str">
        <x:v>1-2步</x:v>
      </x:c>
      <x:c r="Q95" s="63" t="str">
        <x:v>概念判断</x:v>
      </x:c>
      <x:c r="R95" s="63" t="str">
        <x:v>双状态</x:v>
      </x:c>
      <x:c r="S95" s="63" t="str">
        <x:v>无约束</x:v>
      </x:c>
      <x:c r="T95" s="63" t="str">
        <x:v>无</x:v>
      </x:c>
      <x:c r="U95" s="63" t="str">
        <x:v>无</x:v>
      </x:c>
      <x:c r="V95" s="63" t="str">
        <x:v>简单因果推理</x:v>
      </x:c>
    </x:row>
    <x:row r="96">
      <x:c r="A96" s="64" t="str">
        <x:v>​2433717794975301632</x:v>
      </x:c>
      <x:c r="B96" s="65" t="str">
        <x:v>中等题</x:v>
      </x:c>
      <x:c r="C96" s="65" t="str">
        <x:v>中等题</x:v>
      </x:c>
      <x:c r="D96" s="65" t="str">
        <x:v>基础题|中等题</x:v>
      </x:c>
      <x:c r="E96" s="65" t="str">
        <x:v>保留主标签；相邻双档均可</x:v>
      </x:c>
      <x:c r="F96" s="65" t="str">
        <x:v>中</x:v>
      </x:c>
      <x:c r="G96" s="65" t="str">
        <x:v>基础题</x:v>
      </x:c>
      <x:c r="H96" s="65" t="str">
        <x:v>中等题</x:v>
      </x:c>
      <x:c r="I96" s="65" t="str">
        <x:v>存在约3—4步常规连续分析、共享过程或完整标准实验任务，关系仍显性。 题目证据：原标偏低。最长有效链为1-2步、题型为力学综合、涉及双状态、含单一约束、推理为简单因果推理；实际任务已超过基础题所允许的直接识别/显性应用范围，裁定为中等题。 复核证据：独立盲评与三次模型中有3/4支持中等题。</x:v>
      </x:c>
      <x:c r="J96" s="65" t="str">
        <x:v>三次运行错题并集逐题复核</x:v>
      </x:c>
      <x:c r="K96" s="63" t="str">
        <x:v>同一个滑轮分别用（a）（b）两种方式匀速提升物体（G动＜G物），假设所用的拉力分别为F1、F2，机械效率为η1、η2，不计绳重和摩擦，则（ ）</x:v>
      </x:c>
      <x:c r="L96" s="63" t="str">
        <x:v>A. F1＞F2；η1=η2 B. F1＞F2；η1＞η2 C. F1＜F2；η1=η2 D. F1＞F2；η1＜η2</x:v>
      </x:c>
      <x:c r="M96" s="63" t="str">
        <x:v>解：（a）为定滑轮，不计绳重和摩擦，则拉力F1=G，机械效率η1=100%；（b）为动滑轮，F2=$\frac{G+{G}_{动}}{2}$，已知G动＜G物，则F1＞F2；η2＜100%，则η1＞η2。 故选：B。</x:v>
      </x:c>
      <x:c r="N96" s="63" t="str">
        <x:v>https://k12static.xdf.cn/k12/image/externalized/0e0de74c-7f29-4102-9074-11c2fbcf9c04.png</x:v>
      </x:c>
      <x:c r="O96" s="63" t="str">
        <x:v>https://k12static.xdf.cn/k12/image/externalized/ab9a254b-f9aa-4c81-81e8-cac0757944da.png</x:v>
      </x:c>
      <x:c r="P96" s="63" t="str">
        <x:v>1-2步</x:v>
      </x:c>
      <x:c r="Q96" s="63" t="str">
        <x:v>力学综合</x:v>
      </x:c>
      <x:c r="R96" s="63" t="str">
        <x:v>双状态</x:v>
      </x:c>
      <x:c r="S96" s="63" t="str">
        <x:v>单一约束</x:v>
      </x:c>
      <x:c r="T96" s="63" t="str">
        <x:v>无</x:v>
      </x:c>
      <x:c r="U96" s="63" t="str">
        <x:v>无</x:v>
      </x:c>
      <x:c r="V96" s="63" t="str">
        <x:v>简单因果推理</x:v>
      </x:c>
    </x:row>
    <x:row r="97">
      <x:c r="A97" s="64" t="str">
        <x:v>​2484795579631501312</x:v>
      </x:c>
      <x:c r="B97" s="65" t="str">
        <x:v>送分题</x:v>
      </x:c>
      <x:c r="C97" s="65" t="str">
        <x:v>送分题</x:v>
      </x:c>
      <x:c r="D97" s="65" t="str">
        <x:v>送分题|基础题</x:v>
      </x:c>
      <x:c r="E97" s="65" t="str">
        <x:v>保留主标签；相邻双档均可</x:v>
      </x:c>
      <x:c r="F97" s="65" t="str">
        <x:v>中</x:v>
      </x:c>
      <x:c r="G97" s="65" t="str">
        <x:v>送分题</x:v>
      </x:c>
      <x:c r="H97" s="65" t="str">
        <x:v>基础题</x:v>
      </x:c>
      <x:c r="I97" s="65" t="str">
        <x:v>多个空/选项彼此独立，不形成连续链；最高难任务属于力学模型、运动/受力与能量关系中的1—2步直接应用、规范操作或简单因果判断。需要理解/应用而非纯识记，但没有共享中间结论、完整连续过程或隐含转换。</x:v>
      </x:c>
      <x:c r="J97" s="65" t="str">
        <x:v>三次运行错题并集逐题复核</x:v>
      </x:c>
      <x:c r="K97" s="63" t="str">
        <x:v>下列关于杠杆的说法中正确的是（ ）</x:v>
      </x:c>
      <x:c r="L97" s="63" t="str">
        <x:v>A. 杠杆必须是一根直棒 B. 杠杆不一定要有支点 C. 杠杆的力臂是从支点到力的作用点的垂直距离 D. 杠杆的动力作用线不能通过支点</x:v>
      </x:c>
      <x:c r="M97" s="63" t="str">
        <x:v>解：A、杠杆不一定是直棒，故A错误； B、杠杆一定要有支点，故B错误； C、杠杆的力臂是从支点到力的作用线的垂直距离，故C错误； D、杠杆的动力臂不可能为零，故杠杆的动力作用线不可以通过支点，故D正确。 故选：D。</x:v>
      </x:c>
      <x:c r="N97" s="63" t="str">
        <x:v>https://k12static.xdf.cn/k12/image/externalized/74261351-bbef-4e2e-aeaf-22b2a48d76c8.png</x:v>
      </x:c>
      <x:c r="O97" s="63" t="str">
        <x:v>https://k12static.xdf.cn/k12/image/externalized/4415f050-3ea8-4272-ada0-1ac83baf74ba.png</x:v>
      </x:c>
      <x:c r="P97" s="63" t="str">
        <x:v>1-2步</x:v>
      </x:c>
      <x:c r="Q97" s="63" t="str">
        <x:v>概念判断</x:v>
      </x:c>
      <x:c r="R97" s="63" t="str">
        <x:v>单状态</x:v>
      </x:c>
      <x:c r="S97" s="63" t="str">
        <x:v>无约束</x:v>
      </x:c>
      <x:c r="T97" s="63" t="str">
        <x:v>无</x:v>
      </x:c>
      <x:c r="U97" s="63" t="str">
        <x:v>无</x:v>
      </x:c>
      <x:c r="V97" s="63" t="str">
        <x:v>直接套用</x:v>
      </x:c>
    </x:row>
    <x:row r="98">
      <x:c r="A98" s="64" t="str">
        <x:v>​2484856140146769920</x:v>
      </x:c>
      <x:c r="B98" s="65" t="str">
        <x:v>拔高题</x:v>
      </x:c>
      <x:c r="C98" s="65" t="str">
        <x:v>拔高题</x:v>
      </x:c>
      <x:c r="D98" s="65" t="str">
        <x:v>中等题|拔高题</x:v>
      </x:c>
      <x:c r="E98" s="65" t="str">
        <x:v>保留主标签；相邻双档均可</x:v>
      </x:c>
      <x:c r="F98" s="65" t="str">
        <x:v>中</x:v>
      </x:c>
      <x:c r="G98" s="65" t="str">
        <x:v>压轴题</x:v>
      </x:c>
      <x:c r="H98" s="65" t="str">
        <x:v>拔高题</x:v>
      </x:c>
      <x:c r="I98" s="65" t="str">
        <x:v>最高难任务在图表信息提取与关系反推中包含图线反推、状态转换、误差评价、几何/等效转换、方程联立或参数反求等决定性卡点，整体约5—6个有效决策；尚未形成压轴所需的完整复杂约束网络。</x:v>
      </x:c>
      <x:c r="J98" s="65" t="str">
        <x:v>三次运行错题并集逐题复核</x:v>
      </x:c>
      <x:c r="K98" s="63" t="str">
        <x:v>小车在水平方向受到两个拉力F1和F2的作用，拉力F1和F2的大小随时间变化的图象如图乙和丙，小车的运动状态随时间变化的图象如图丁，根据图象，下列分析正确的是（ ）</x:v>
      </x:c>
      <x:c r="L98" s="63" t="str">
        <x:v>A. t=1s时，小车受到的摩擦力大小是3N，摩擦力的方向水平向右 B. t=3s时，小车受到的摩擦力大小是2.5N，摩擦力方向水平向左 C. t=7s时，小车受到的合力大小是4.5N，合力方向水平向右 D. 在4到6s这个时间段，若桌面变得绝对光滑，小车将匀速直线运动</x:v>
      </x:c>
      <x:c r="M98" s="63" t="str">
        <x:v>解： A、由图丁可知，t=1s时小车的速度为0，处于静止状态，受到的合力为0，水平方向上受到向左的拉力F1和向右的拉力F2、静摩擦力的共同作用，这三个力的合力为0；由图可知，此时的F1=3N，F2=1N，则静摩擦力为：f=F1-F2=3N-1N=2N，方向与F2的方向相同，水平向右，故A错误； B、由v-t图像可知，4s～6s小车做匀速直线运动，水平方向上受到的合力为0；由图可知，此时的F'1=6N，F'2=3.5N，则f'=F'1-F'2=6N-3.5N=2.5N，方向与F2的方向相同，水平向右；t=3s时，F1大于F2，小车向左运动，小车对桌面的压力不变，接触面的粗糙程度不变，则受到的摩擦力不变，为2.5N，摩擦力方向水平向右，故B错误； C、t=7s时，F''1=0N，F''2=2N，小车向左运动，小车对桌面的压力不变，接触面的粗糙程度不变，则受到的摩擦力不变，为2.5N，此时的合力为：F=F''2+f'-F''1=2N+2.5N-0N=4.5N，合力的方向水平向右，故C正确； D、在4到6s这个时间段，若桌面变得绝对光滑，则小车不会受到摩擦力的作用，由于此时的两个拉力不同，则小车做变速运动，故D错误。 故选：C。</x:v>
      </x:c>
      <x:c r="N98" s="63" t="str">
        <x:v>https://k12static.xdf.cn/k12/image/externalized/1b2b1a21-0f97-4a70-96c7-65413766618d.png</x:v>
      </x:c>
      <x:c r="O98" s="63" t="str">
        <x:v>https://k12static.xdf.cn/k12/image/externalized/958567e5-accf-4b22-9cee-ba366d33ea77.png</x:v>
      </x:c>
      <x:c r="P98" s="63" t="str">
        <x:v>3-5步</x:v>
      </x:c>
      <x:c r="Q98" s="63" t="str">
        <x:v>力学综合</x:v>
      </x:c>
      <x:c r="R98" s="63" t="str">
        <x:v>多状态</x:v>
      </x:c>
      <x:c r="S98" s="63" t="str">
        <x:v>单一约束</x:v>
      </x:c>
      <x:c r="T98" s="63" t="str">
        <x:v>无</x:v>
      </x:c>
      <x:c r="U98" s="63" t="str">
        <x:v>多组比较归纳</x:v>
      </x:c>
      <x:c r="V98" s="63" t="str">
        <x:v>多层因果推理</x:v>
      </x:c>
    </x:row>
    <x:row r="99">
      <x:c r="A99" s="64" t="str">
        <x:v>​2533978085436526592</x:v>
      </x:c>
      <x:c r="B99" s="65" t="str">
        <x:v>基础题</x:v>
      </x:c>
      <x:c r="C99" s="65" t="str">
        <x:v>基础题</x:v>
      </x:c>
      <x:c r="D99" s="65" t="str">
        <x:v>基础题|中等题</x:v>
      </x:c>
      <x:c r="E99" s="65" t="str">
        <x:v>保留主标签；相邻双档均可</x:v>
      </x:c>
      <x:c r="F99" s="65" t="str">
        <x:v>中</x:v>
      </x:c>
      <x:c r="G99" s="65" t="str">
        <x:v>基础题</x:v>
      </x:c>
      <x:c r="H99" s="65" t="str">
        <x:v>中等题</x:v>
      </x:c>
      <x:c r="I99" s="65" t="str">
        <x:v>需要围绕图表信息提取与关系反推完成常规的3—4个有效决策，或完成一套完整标准实验/共享过程分析。关系仍显性、方法常规，没有决定性隐含转换、复杂边界筛选或多状态强耦合。</x:v>
      </x:c>
      <x:c r="J99" s="65" t="str">
        <x:v>三次运行错题并集逐题复核</x:v>
      </x:c>
      <x:c r="K99" s="63" t="str">
        <x:v>下表是一些物质的比热容，根据表中数据，下列判断正确的是（ ） 物质 水 煤油 冰 铝 铜 比热容/（J•kg-1•℃-1） 4.2×103 2.1×103 2.1×103 0.88×103 0.39×103</x:v>
      </x:c>
      <x:c r="L99" s="63" t="str">
        <x:v>A. 不同物质的比热容一定不同 B. 物质的物态发生变化，比热容不变 C. 质量相等的水和煤油吸收相同的热量，煤油的末温高 D. 质量相等的铝和铜升高相同的温度，铝吸收的热量更多</x:v>
      </x:c>
      <x:c r="M99" s="63" t="str">
        <x:v>解：A、比热容是物质本身的一种特性，它与物质的种类和状态有关，不同的物质，比热容一般不同，但是也有特殊情况，如表格中的煤油和冰的比热容就是相等的，故A错误； B、同种物质的不同状态，其比热容不同，如表格中的水和冰，物质的物态变化了，比热容也改变了，故B错误； C、根据公式Δt=$\frac{Q{}_{吸}}{cm}$可知，在质量和吸收的热量相同时，比热容越小，温度升高的越多，由表格可知c水＞c煤油，故煤油升高的温度更多，但水和煤油的初温未知，故无法判断其末温，故C错误； D、根据公式Q吸=cmΔt可知，在质量和升高的温度相等时，比热容越大，吸收的热量越多，由表格可知c铝＞c铜，故铝吸收的热量更多，故D正确。 故选：D。</x:v>
      </x:c>
      <x:c r="N99" s="63" t="str">
        <x:v>https://k12static.xdf.cn/k12/image/externalized/437baf20-9e4a-437c-8fd6-1828ad0f6996.png</x:v>
      </x:c>
      <x:c r="O99" s="63" t="str">
        <x:v>https://k12static.xdf.cn/k12/image/externalized/19414193-54e8-4722-b7fd-b5f88bc5e2a0.png</x:v>
      </x:c>
      <x:c r="P99" s="63" t="str">
        <x:v>1-2步</x:v>
      </x:c>
      <x:c r="Q99" s="63" t="str">
        <x:v>概念判断</x:v>
      </x:c>
      <x:c r="R99" s="63" t="str">
        <x:v>单状态</x:v>
      </x:c>
      <x:c r="S99" s="63" t="str">
        <x:v>无约束</x:v>
      </x:c>
      <x:c r="T99" s="63" t="str">
        <x:v>无</x:v>
      </x:c>
      <x:c r="U99" s="63" t="str">
        <x:v>直接读数</x:v>
      </x:c>
      <x:c r="V99" s="63" t="str">
        <x:v>简单因果推理</x:v>
      </x:c>
    </x:row>
    <x:row r="100">
      <x:c r="A100" s="64" t="str">
        <x:v>​2601086076485197824</x:v>
      </x:c>
      <x:c r="B100" s="65" t="str">
        <x:v>基础题</x:v>
      </x:c>
      <x:c r="C100" s="65" t="str">
        <x:v>基础题</x:v>
      </x:c>
      <x:c r="D100" s="65" t="str">
        <x:v>基础题|中等题</x:v>
      </x:c>
      <x:c r="E100" s="65" t="str">
        <x:v>保留主标签；相邻双档均可</x:v>
      </x:c>
      <x:c r="F100" s="65" t="str">
        <x:v>中</x:v>
      </x:c>
      <x:c r="G100" s="65" t="str">
        <x:v>基础题</x:v>
      </x:c>
      <x:c r="H100" s="65" t="str">
        <x:v>基础题</x:v>
      </x:c>
      <x:c r="I100" s="65" t="str">
        <x:v>最高难任务为1—2步显性应用、规范操作或简单因果，没有连续模型转换。 题目证据：保留原标。最长有效链为1-2步、题型为概念判断、实验要求达到“控制变量或故障分析”、推理为多层因果推理，与基础题边界一致。 复核证据：教师标签与独立盲评一致；三次模型运行使用相近提示词，仅作为辅助证据，不足以推翻两者一致结论。。</x:v>
      </x:c>
      <x:c r="J100" s="65" t="str">
        <x:v>三次运行错题并集逐题复核</x:v>
      </x:c>
      <x:c r="K100" s="63" t="str">
        <x:v>如图所示，是电学中常见的电路图，在A、B两点间分别接入下列选项加点字的元件，并进行对应实验，对滑动变阻器在此实验中的作用描述不正确的是（ ）</x:v>
      </x:c>
      <x:c r="L100" s="63" t="str">
        <x:v>A. 探究电流与电压的关系——改变定值电阻两端电压 B. 探究电流与电阻的关系——使定值电阻两端电压成倍数变化 C. 测量定值电阻的阻值——多次测量求平均值，减小实验误差 D. 测量小灯泡的额定功率——调节小灯泡两端电压，使小灯泡在额定电压下发光</x:v>
      </x:c>
      <x:c r="M100" s="63" t="str">
        <x:v>解：A、探究电流与电压的关系时滑动变阻器的作用一般有保护电路和改变被测电阻两端电压，故A正确； B、探究电流与电阻的关系时滑动变阻器的作用是保护电路和保持定值电阻两端电压不变，找出普遍规律，故B错误； C、小灯泡的电阻受温度影响较大，不可以多测几组数据，通过求平均值来减小误差，故C正确； D、在“伏安法”测小灯泡电功率的实验中，调节小灯泡两端电压，使小灯泡在额定电压下发光，故D正确。 故选：B。</x:v>
      </x:c>
      <x:c r="N100" s="63" t="str">
        <x:v>https://k12static.xdf.cn/k12/image/externalized/551688b9-53ad-47c0-886a-870865ad3aee.png</x:v>
      </x:c>
      <x:c r="O100" s="63" t="str">
        <x:v>https://k12static.xdf.cn/k12/image/externalized/1f77964a-e441-49f7-97df-2f40ffe7ad67.png</x:v>
      </x:c>
      <x:c r="P100" s="63" t="str">
        <x:v>1-2步</x:v>
      </x:c>
      <x:c r="Q100" s="63" t="str">
        <x:v>概念判断</x:v>
      </x:c>
      <x:c r="R100" s="63" t="str">
        <x:v>单状态</x:v>
      </x:c>
      <x:c r="S100" s="63" t="str">
        <x:v>无约束</x:v>
      </x:c>
      <x:c r="T100" s="63" t="str">
        <x:v>控制变量或故障分析</x:v>
      </x:c>
      <x:c r="U100" s="63" t="str">
        <x:v>无</x:v>
      </x:c>
      <x:c r="V100" s="63" t="str">
        <x:v>多层因果推理</x:v>
      </x:c>
    </x:row>
    <x:row r="101">
      <x:c r="A101" s="64" t="str">
        <x:v>​2601086228621471744</x:v>
      </x:c>
      <x:c r="B101" s="65" t="str">
        <x:v>送分题</x:v>
      </x:c>
      <x:c r="C101" s="65" t="str">
        <x:v>送分题</x:v>
      </x:c>
      <x:c r="D101" s="65" t="str">
        <x:v>送分题|基础题</x:v>
      </x:c>
      <x:c r="E101" s="65" t="str">
        <x:v>保留主标签；相邻双档均可</x:v>
      </x:c>
      <x:c r="F101" s="65" t="str">
        <x:v>中</x:v>
      </x:c>
      <x:c r="G101" s="65" t="str">
        <x:v>送分题</x:v>
      </x:c>
      <x:c r="H101" s="65" t="str">
        <x:v>基础题</x:v>
      </x:c>
      <x:c r="I101" s="65" t="str">
        <x:v>多个空/选项彼此独立，不形成连续链；最高难任务属于电路状态、图线/参数与安全约束中的1—2步直接应用、规范操作或简单因果判断。需要理解/应用而非纯识记，但没有共享中间结论、完整连续过程或隐含转换。</x:v>
      </x:c>
      <x:c r="J101" s="65" t="str">
        <x:v>三次运行错题并集逐题复核</x:v>
      </x:c>
      <x:c r="K101" s="63" t="str">
        <x:v>如图，将一根铅笔芯接入电路中，固定A端的夹子，向右移动B端的夹子，观察小灯泡的亮度。下列说法正确的是（ ）</x:v>
      </x:c>
      <x:c r="L101" s="63" t="str">
        <x:v>A. 灯泡与铅笔芯是并联的 B. 该实验能解释滑动变阻器的原理 C. 接入电路中的铅笔芯越长，灯泡越亮 D. 将铅笔芯换成塑料吸管，灯泡仍会发光</x:v>
      </x:c>
      <x:c r="M101" s="63" t="str">
        <x:v>解： A、由图可知，电路电流只有一条路径，铅笔芯与灯泡串联，故A错误； B、移动铅笔芯上的夹子，可以改变铅笔芯接入电路中的长度，从而改变接入电路中的电阻，滑动变阻器就是根据此原理制成的，故B正确； C、接入电路的铅笔芯长度越长，铅笔芯的电阻越大，总电阻越大，根据欧姆定律可知，通过小灯泡的电流越小，小灯泡越暗，故C错误； D、将铅笔芯换成塑料吸管，塑料吸管是绝缘体，灯泡不能发光，故D错误。 故选：B。</x:v>
      </x:c>
      <x:c r="N101" s="63" t="str">
        <x:v>https://k12static.xdf.cn/k12/image/externalized/6d85174f-842e-4f22-ae52-df1899ba7fa6.png</x:v>
      </x:c>
      <x:c r="O101" s="63" t="str">
        <x:v>https://k12static.xdf.cn/k12/image/externalized/abf273a5-b721-4707-861a-4b0cbc3c95e6.png</x:v>
      </x:c>
      <x:c r="P101" s="63" t="str">
        <x:v>1-2步</x:v>
      </x:c>
      <x:c r="Q101" s="63" t="str">
        <x:v>概念判断</x:v>
      </x:c>
      <x:c r="R101" s="63" t="str">
        <x:v>单状态</x:v>
      </x:c>
      <x:c r="S101" s="63" t="str">
        <x:v>无约束</x:v>
      </x:c>
      <x:c r="T101" s="63" t="str">
        <x:v>无</x:v>
      </x:c>
      <x:c r="U101" s="63" t="str">
        <x:v>无</x:v>
      </x:c>
      <x:c r="V101" s="63" t="str">
        <x:v>简单因果推理</x:v>
      </x:c>
    </x:row>
    <x:row r="102">
      <x:c r="A102" s="64" t="str">
        <x:v>​2604092909603258368</x:v>
      </x:c>
      <x:c r="B102" s="65" t="str">
        <x:v>基础题</x:v>
      </x:c>
      <x:c r="C102" s="65" t="str">
        <x:v>基础题</x:v>
      </x:c>
      <x:c r="D102" s="65" t="str">
        <x:v>基础题|中等题</x:v>
      </x:c>
      <x:c r="E102" s="65" t="str">
        <x:v>保留主标签；相邻双档均可</x:v>
      </x:c>
      <x:c r="F102" s="65" t="str">
        <x:v>中</x:v>
      </x:c>
      <x:c r="G102" s="65" t="str">
        <x:v>基础题</x:v>
      </x:c>
      <x:c r="H102" s="65" t="str">
        <x:v>基础题</x:v>
      </x:c>
      <x:c r="I102" s="65" t="str">
        <x:v>最高难任务为1—2步显性应用、规范操作或简单因果，没有连续模型转换。 题目证据：保留原标。最长有效链为1-2步、题型为实验探究、实验要求达到“控制变量或故障分析”、推理为简单因果推理，与基础题边界一致。 复核证据：教师标签与独立盲评一致；三次模型运行使用相近提示词，仅作为辅助证据，不足以推翻两者一致结论。。</x:v>
      </x:c>
      <x:c r="J102" s="65" t="str">
        <x:v>三次运行错题并集逐题复核</x:v>
      </x:c>
      <x:c r="K102" s="63" t="str">
        <x:v>如图所示，将塑料刻度尺的一端紧压在桌面上，另一端伸出桌面，拨动刻度尺使其振动，听刻度尺发出的声音。 （1）实验时若保持刻度尺伸出桌面的长度不变，用不同大小的力拨动刻度尺，则这样做的目的是为了探究 ________ 与 ________ 的关系。 （2）实验时若改变刻度尺伸出桌面的长度，用相同大小的力拨动刻度尺，则这样做的目的是为了探究 ________ 与 ________ 的关系。 （3）换用钢尺做此实验，钢尺伸出桌面的长度与塑料尺相同，拨动尺子的力也保持相同，则听到声音的主要差异是 ________ 不同（填“响度”、“音调”或“音色”）。</x:v>
      </x:c>
      <x:c r="L102" s="63" t="str"/>
      <x:c r="M102" s="63" t="str">
        <x:v>解：（1）钢尺紧按在桌面上，一端伸出桌面适当的长度，长度不变，则振动的频率就不变，即音调不变；轻拨与重拨，钢尺的振动幅度变化，钢尺发出声音的响度不同； （2）改变刻度尺伸出桌面的长度，用相同大小的力拨动刻度尺，此时刻度尺的振动的幅度是相同的，但由于钢尺伸出桌面的长度不同导致钢尺振动的频率不同，则这样做的目的是为了探究音调与物体振动频率的关系。 （3）音色也是物体的音品，是取决于物体本身的一种属性，即物体的材料、结构不同，其所发出声音的音色就是不同的； 故答案为：（1）响度；振幅；（2）音调；频率；（3）音色。</x:v>
      </x:c>
      <x:c r="N102" s="63" t="str">
        <x:v>https://k12static.xdf.cn/k12/image/externalized/49429f2c-8b95-4064-81d5-163af4c7df06.png</x:v>
      </x:c>
      <x:c r="O102" s="63" t="str">
        <x:v>https://k12static.xdf.cn/k12/image/externalized/136eec06-1e13-448b-81c1-ef35a3750c52.png</x:v>
      </x:c>
      <x:c r="P102" s="63" t="str">
        <x:v>1-2步</x:v>
      </x:c>
      <x:c r="Q102" s="63" t="str">
        <x:v>实验探究</x:v>
      </x:c>
      <x:c r="R102" s="63" t="str">
        <x:v>单状态</x:v>
      </x:c>
      <x:c r="S102" s="63" t="str">
        <x:v>无约束</x:v>
      </x:c>
      <x:c r="T102" s="63" t="str">
        <x:v>控制变量或故障分析</x:v>
      </x:c>
      <x:c r="U102" s="63" t="str">
        <x:v>无</x:v>
      </x:c>
      <x:c r="V102" s="63" t="str">
        <x:v>简单因果推理</x:v>
      </x:c>
    </x:row>
    <x:row r="103">
      <x:c r="A103" s="64" t="str">
        <x:v>​2605176096749531136</x:v>
      </x:c>
      <x:c r="B103" s="65" t="str">
        <x:v>基础题</x:v>
      </x:c>
      <x:c r="C103" s="65" t="str">
        <x:v>基础题</x:v>
      </x:c>
      <x:c r="D103" s="65" t="str">
        <x:v>送分题|基础题</x:v>
      </x:c>
      <x:c r="E103" s="65" t="str">
        <x:v>保留主标签；相邻双档均可</x:v>
      </x:c>
      <x:c r="F103" s="65" t="str">
        <x:v>中</x:v>
      </x:c>
      <x:c r="G103" s="65" t="str">
        <x:v>基础题</x:v>
      </x:c>
      <x:c r="H103" s="65" t="str">
        <x:v>送分题</x:v>
      </x:c>
      <x:c r="I103" s="65" t="str">
        <x:v>最高难任务为1—2步显性应用、规范操作或简单因果，没有连续模型转换。 题目证据：保留原标。最长有效链为1-2步、题型为概念判断、推理为简单因果推理，与基础题边界一致。 复核证据：各独立判断分裂，先取五方中位档；低结构概念题按基础封顶。</x:v>
      </x:c>
      <x:c r="J103" s="65" t="str">
        <x:v>三次运行错题并集逐题复核</x:v>
      </x:c>
      <x:c r="K103" s="63" t="str">
        <x:v>沂河畔的电视塔是临沂的标志性建筑物，在落日余晖下的倒影和地上的建筑物相得益彰，格外引人注目，如图所示。则电视塔在水中的“倒影”​（ ）</x:v>
      </x:c>
      <x:c r="L103" s="63" t="str">
        <x:v>A. 是光的折射形成的虚像 B. 是光的反射形成的实像 C. 与电视塔关于水面对称 D. 水位下降后变小</x:v>
      </x:c>
      <x:c r="M103" s="63" t="str">
        <x:v>解：AB、电视塔在水中的“倒影”是由于光照射到水面发生光的反射形成的虚像，故AB错误； CD、平面镜成像的特点：物像等大，成的是虚像，则电视塔在水中的“倒影”​与电视塔关于水面对称、大小相同，故C正确，D错误。 故选：C。</x:v>
      </x:c>
      <x:c r="N103" s="63" t="str">
        <x:v>https://k12static.xdf.cn/k12/image/externalized/ff3bf020-9703-4087-a98e-f313c86553c5.png</x:v>
      </x:c>
      <x:c r="O103" s="63" t="str">
        <x:v>https://k12static.xdf.cn/k12/image/externalized/b1885bd3-a637-455c-8200-ab35c3312425.png</x:v>
      </x:c>
      <x:c r="P103" s="63" t="str">
        <x:v>1-2步</x:v>
      </x:c>
      <x:c r="Q103" s="63" t="str">
        <x:v>概念判断</x:v>
      </x:c>
      <x:c r="R103" s="63" t="str">
        <x:v>单状态</x:v>
      </x:c>
      <x:c r="S103" s="63" t="str">
        <x:v>无约束</x:v>
      </x:c>
      <x:c r="T103" s="63" t="str">
        <x:v>无</x:v>
      </x:c>
      <x:c r="U103" s="63" t="str">
        <x:v>无</x:v>
      </x:c>
      <x:c r="V103" s="63" t="str">
        <x:v>简单因果推理</x:v>
      </x:c>
    </x:row>
    <x:row r="104">
      <x:c r="A104" s="64" t="str">
        <x:v>​2610676572127506432</x:v>
      </x:c>
      <x:c r="B104" s="65" t="str">
        <x:v>拔高题</x:v>
      </x:c>
      <x:c r="C104" s="65" t="str">
        <x:v>拔高题</x:v>
      </x:c>
      <x:c r="D104" s="65" t="str">
        <x:v>中等题|拔高题</x:v>
      </x:c>
      <x:c r="E104" s="65" t="str">
        <x:v>保留主标签；相邻双档均可</x:v>
      </x:c>
      <x:c r="F104" s="65" t="str">
        <x:v>中</x:v>
      </x:c>
      <x:c r="G104" s="65" t="str">
        <x:v>压轴题</x:v>
      </x:c>
      <x:c r="H104" s="65" t="str">
        <x:v>拔高题</x:v>
      </x:c>
      <x:c r="I104" s="65" t="str">
        <x:v>最高难任务在图表信息提取与关系反推中包含图线反推、状态转换、误差评价、几何/等效转换、方程联立或参数反求等决定性卡点，整体约5—6个有效决策；尚未形成压轴所需的完整复杂约束网络。</x:v>
      </x:c>
      <x:c r="J104" s="65" t="str">
        <x:v>三次运行错题并集逐题复核</x:v>
      </x:c>
      <x:c r="K104" s="63" t="str">
        <x:v>交管部门在某路段设置了测速仪。如图甲所示，在一次测量中，汽车向测速仪匀速驶来，测速仪向汽车发出三次短促的超声波信号，每次间隔时间相等，根据超声波信号的时间差测出车速。如图乙所示是测速仪前两次发出与接收超声波的情况，s表示超声波与测速仪之间的距离，超声波在空气中速度为340m/s。下列说法正确的是（ ）</x:v>
      </x:c>
      <x:c r="L104" s="63" t="str">
        <x:v>A. 测速仪发射超声波信号的时间间隔为1s B. 汽车第一次接收到信号时距测速仪170m C. 通过测算，汽车匀速行驶的速度为20m/s D. 在第3.9s时汽车接收到第三次超声波信号</x:v>
      </x:c>
      <x:c r="M104" s="63" t="str">
        <x:v>解： A、由图知，测速仪发射超声波信号的时间间隔为1.8s,故A错误； B、汽车收到第一次信号时，经过的时间为t1=$\frac{1s}{2}$=0.5s,距测速仪s1=v波t1=340m/s×0.5s=170m,故B正确； 由图知，汽车收到第二次信号时，经过的时间为t2=$\frac{2.6s-1.8s}{2}$=0.4s 距测速仪s2=v波t2=340m/s×0.4s=136m, C、汽车遇到两次信号距离测速仪的距离差： s=s1-s2=170m-136m=34m, 汽车两次收到信号的时间差：t=2.2s-0.5s=1.7s,汽车的速度v=$\frac{s}{t}$=$\frac{34m}{1.7s}$=20m/s,故C正确； D、汽车两次收到信号的时间差为1.7s,汽车接收到第三次超声波信号时刻为：1.7s+1.7s+0.5s=3.9s,故D正确。 本故选：BCD。</x:v>
      </x:c>
      <x:c r="N104" s="63" t="str">
        <x:v>https://k12static.xdf.cn/k12/image/externalized/f14a2dab-dd21-42b8-9bd7-31419053452a.png</x:v>
      </x:c>
      <x:c r="O104" s="63" t="str">
        <x:v>https://k12static.xdf.cn/k12/image/externalized/7bce4feb-db3e-4875-bc47-b7ca6e39d719.png</x:v>
      </x:c>
      <x:c r="P104" s="63" t="str">
        <x:v>3-5步</x:v>
      </x:c>
      <x:c r="Q104" s="63" t="str">
        <x:v>图像表格分析</x:v>
      </x:c>
      <x:c r="R104" s="63" t="str">
        <x:v>双状态</x:v>
      </x:c>
      <x:c r="S104" s="63" t="str">
        <x:v>单一约束</x:v>
      </x:c>
      <x:c r="T104" s="63" t="str">
        <x:v>无</x:v>
      </x:c>
      <x:c r="U104" s="63" t="str">
        <x:v>直接读数</x:v>
      </x:c>
      <x:c r="V104" s="63" t="str">
        <x:v>多层因果推理</x:v>
      </x:c>
    </x:row>
    <x:row r="105">
      <x:c r="A105" s="64" t="str">
        <x:v>​2624042181088010240</x:v>
      </x:c>
      <x:c r="B105" s="65" t="str">
        <x:v>中等题</x:v>
      </x:c>
      <x:c r="C105" s="65" t="str">
        <x:v>中等题</x:v>
      </x:c>
      <x:c r="D105" s="65" t="str">
        <x:v>基础题|中等题</x:v>
      </x:c>
      <x:c r="E105" s="65" t="str">
        <x:v>保留主标签；相邻双档均可</x:v>
      </x:c>
      <x:c r="F105" s="65" t="str">
        <x:v>中</x:v>
      </x:c>
      <x:c r="G105" s="65" t="str">
        <x:v>中等题</x:v>
      </x:c>
      <x:c r="H105" s="65" t="str">
        <x:v>基础题</x:v>
      </x:c>
      <x:c r="I105" s="65" t="str">
        <x:v>需要围绕力学模型、运动/受力与能量关系完成常规的3—4个有效决策，或完成一套完整标准实验/共享过程分析。关系仍显性、方法常规，没有决定性隐含转换、复杂边界筛选或多状态强耦合。</x:v>
      </x:c>
      <x:c r="J105" s="65" t="str">
        <x:v>三次运行错题并集逐题复核</x:v>
      </x:c>
      <x:c r="K105" s="63" t="str">
        <x:v>计算机的中央运算器简称CPU，决定着计算机的运算速度。使用中国自主芯片制造的“神威•太湖之光”是全球首个理论性能达到10亿亿次的超级计算机，一块5cm2左右的芯片上能集成260个运算核心，数十亿晶体管；为了安全快速地散热，超级计算机应用了高效水冷却技术。计算机爱好者更喜欢“超频”来提高CPU运算速度，方法之一是通过“跳线”来提高CPU的核心电压。如图所示为某计算机主板上的一个“跳线”装置，装置的电源电压为3V，“超频”工作时通过CPU的电流是3mA。下列说法正确的是（ ）</x:v>
      </x:c>
      <x:c r="L105" s="63" t="str">
        <x:v>A. “神威•太湖之光”超级计算机芯片的制造中使用了纳米材料 B. 超级计算机使用高效水冷技术进行散热是因为水的比热容较大 C. 图中计算机CPU超频工作时“跳线”装置应连接“1、2”接线柱 D. 图中计算机CPU正常工作时“跳线”装置的电功率小于9×10-3W</x:v>
      </x:c>
      <x:c r="M105" s="63" t="str">
        <x:v>解：A、芯片的主要材料是硅，属于半导体材料，其宽度大约是微米级别，故A错误； B、计算机使用高效水冷技术进行散热是因为水的比热容较大，相同质量、升高相同温度带走的热量更多，故B正确； C、图中计算机CPU超频工作时应该增大CPU的电压，故不能与电阻串联分压，应该直接连接“1、2”接线柱，故C正确； D、装置的电源电压为3V，“超频”工作时通过CPU的电流是3mA。CPU正常工作时电流小于3mA，“跳线”装置的与CPU串联，电压必然小于3V，因而电功率小于P=UI=3V×3×10-3A=9×10-3W，故D正确。 故选：BCD。</x:v>
      </x:c>
      <x:c r="N105" s="63" t="str">
        <x:v>https://k12static.xdf.cn/k12/image/externalized/5e600ce0-470e-44eb-aa93-7ad247221124.png</x:v>
      </x:c>
      <x:c r="O105" s="63" t="str">
        <x:v>https://k12static.xdf.cn/k12/image/externalized/013cc366-2f24-4489-b11f-6b5399d214ab.png</x:v>
      </x:c>
      <x:c r="P105" s="63" t="str">
        <x:v>1-2步</x:v>
      </x:c>
      <x:c r="Q105" s="63" t="str">
        <x:v>概念判断</x:v>
      </x:c>
      <x:c r="R105" s="63" t="str">
        <x:v>单状态</x:v>
      </x:c>
      <x:c r="S105" s="63" t="str">
        <x:v>无约束</x:v>
      </x:c>
      <x:c r="T105" s="63" t="str">
        <x:v>无</x:v>
      </x:c>
      <x:c r="U105" s="63" t="str">
        <x:v>无</x:v>
      </x:c>
      <x:c r="V105" s="63" t="str">
        <x:v>多层因果推理</x:v>
      </x:c>
    </x:row>
    <x:row r="106">
      <x:c r="A106" s="64" t="str">
        <x:v>​2627228039159844864</x:v>
      </x:c>
      <x:c r="B106" s="65" t="str">
        <x:v>送分题</x:v>
      </x:c>
      <x:c r="C106" s="65" t="str">
        <x:v>送分题</x:v>
      </x:c>
      <x:c r="D106" s="65" t="str">
        <x:v>送分题|基础题</x:v>
      </x:c>
      <x:c r="E106" s="65" t="str">
        <x:v>保留主标签；相邻双档均可</x:v>
      </x:c>
      <x:c r="F106" s="65" t="str">
        <x:v>中</x:v>
      </x:c>
      <x:c r="G106" s="65" t="str">
        <x:v>送分题</x:v>
      </x:c>
      <x:c r="H106" s="65" t="str">
        <x:v>基础题</x:v>
      </x:c>
      <x:c r="I106" s="65" t="str">
        <x:v>多个空/选项彼此独立，不形成连续链；最高难任务属于力学模型、运动/受力与能量关系中的1—2步直接应用、规范操作或简单因果判断。需要理解/应用而非纯识记，但没有共享中间结论、完整连续过程或隐含转换。</x:v>
      </x:c>
      <x:c r="J106" s="65" t="str">
        <x:v>三次运行错题并集逐题复核</x:v>
      </x:c>
      <x:c r="K106" s="63" t="str">
        <x:v>如图所示，小杜同学用与丝绸摩擦过的玻璃棒接触验电器的金属球，看到验电器的金属箔张开，在这个过程中（ ）</x:v>
      </x:c>
      <x:c r="L106" s="63" t="str">
        <x:v>A. 玻璃棒和验电器都带负电荷 B. 玻璃棒带正电荷，验电器带负电荷 C. 用丝绸摩擦过的玻璃棒产生了电荷 D. 金属箔张开是因为同种电荷相排斥</x:v>
      </x:c>
      <x:c r="M106" s="63" t="str">
        <x:v>解： 用丝绸摩擦过的玻璃棒带正电。 AB、玻璃棒带正电，当其与验电器接触时，验电器也带正电，故AB错误； C、摩擦起电是电荷的转移，不是创造了电荷，故用丝绸摩擦过的玻璃棒显正电性，是由于一部分电子转移到丝绸上的缘故，故C错误； D、据验电器的原理可知，金属箔张开是因为同种电荷相排斥，故D正确； 故选：D。</x:v>
      </x:c>
      <x:c r="N106" s="63" t="str">
        <x:v>https://k12static.xdf.cn/k12/image/externalized/be19830f-17e8-4a08-b62c-ba4167adc57f.png</x:v>
      </x:c>
      <x:c r="O106" s="63" t="str">
        <x:v>https://k12static.xdf.cn/k12/image/externalized/41c15114-43d3-4d82-9e44-c840925c52fa.png</x:v>
      </x:c>
      <x:c r="P106" s="63" t="str">
        <x:v>1-2步</x:v>
      </x:c>
      <x:c r="Q106" s="63" t="str">
        <x:v>概念判断</x:v>
      </x:c>
      <x:c r="R106" s="63" t="str">
        <x:v>单状态</x:v>
      </x:c>
      <x:c r="S106" s="63" t="str">
        <x:v>无约束</x:v>
      </x:c>
      <x:c r="T106" s="63" t="str">
        <x:v>无</x:v>
      </x:c>
      <x:c r="U106" s="63" t="str">
        <x:v>无</x:v>
      </x:c>
      <x:c r="V106" s="63" t="str">
        <x:v>简单因果推理</x:v>
      </x:c>
    </x:row>
    <x:row r="107">
      <x:c r="A107" s="64" t="str">
        <x:v>​2640096977610723328</x:v>
      </x:c>
      <x:c r="B107" s="65" t="str">
        <x:v>基础题</x:v>
      </x:c>
      <x:c r="C107" s="65" t="str">
        <x:v>基础题</x:v>
      </x:c>
      <x:c r="D107" s="65" t="str">
        <x:v>基础题|中等题</x:v>
      </x:c>
      <x:c r="E107" s="65" t="str">
        <x:v>保留主标签；相邻双档均可</x:v>
      </x:c>
      <x:c r="F107" s="65" t="str">
        <x:v>中</x:v>
      </x:c>
      <x:c r="G107" s="65" t="str">
        <x:v>基础题</x:v>
      </x:c>
      <x:c r="H107" s="65" t="str">
        <x:v>中等题</x:v>
      </x:c>
      <x:c r="I107" s="65" t="str">
        <x:v>需要围绕光路、成像条件与几何关系完成常规的3—4个有效决策，或完成一套完整标准实验/共享过程分析。关系仍显性、方法常规，没有决定性隐含转换、复杂边界筛选或多状态强耦合。</x:v>
      </x:c>
      <x:c r="J107" s="65" t="str">
        <x:v>三次运行错题并集逐题复核</x:v>
      </x:c>
      <x:c r="K107" s="63" t="str">
        <x:v>如图所示，小明找了个空的易拉罐，用钉子在易拉罐底部的中央敲一个小孔，蒙上一层塑料薄膜，制成了一个针孔照相机，将点燃的蜡烛置于小孔前的适当位置，观察并研究小孔成像的特点： （1）小孔成像的原理是 ________ ；眼睛从右侧看过去，将蜡烛靠近针孔照相机少许，蜡烛的像将 ________ （选填“变大”、“变小”或“不变”）。 （2）为了增大烛焰所成的像，可采取的办法是： ________ 。 （3）晴天太阳透过树叶缝隙形成的圆形光斑与上述原理相同，其圆形光斑大小不一的原因是 ________ 。</x:v>
      </x:c>
      <x:c r="L107" s="63" t="str"/>
      <x:c r="M107" s="63" t="str">
        <x:v>解：（1）小孔成像的原理是光的直线传播；眼睛从右侧看过去，将蜡烛靠近针孔照相机少许，蜡烛的像将变大。 （2）为了增大烛焰所成的像，可采取的办法是：将蜡烛靠近易拉罐。 （3）晴天太阳透过树叶缝隙形成的圆形光斑与上述原理相同，其圆形光斑大小不一的原因是树叶缝隙到地面的距离不同。 故答案为：（1）光的直线传播；变大；（2）将蜡烛靠近易拉罐；（3）树叶缝隙到地面的距离不同。</x:v>
      </x:c>
      <x:c r="N107" s="63" t="str">
        <x:v>https://k12static.xdf.cn/k12/image/externalized/987b7bef-37bf-46eb-9665-ccccceacc1f1.png</x:v>
      </x:c>
      <x:c r="O107" s="63" t="str">
        <x:v>https://k12static.xdf.cn/k12/image/externalized/6e30f448-9908-4e97-ad24-2409e5c91e91.png</x:v>
      </x:c>
      <x:c r="P107" s="63" t="str">
        <x:v>1-2步</x:v>
      </x:c>
      <x:c r="Q107" s="63" t="str">
        <x:v>光学声学综合</x:v>
      </x:c>
      <x:c r="R107" s="63" t="str">
        <x:v>单状态</x:v>
      </x:c>
      <x:c r="S107" s="63" t="str">
        <x:v>无约束</x:v>
      </x:c>
      <x:c r="T107" s="63" t="str">
        <x:v>无</x:v>
      </x:c>
      <x:c r="U107" s="63" t="str">
        <x:v>无</x:v>
      </x:c>
      <x:c r="V107" s="63" t="str">
        <x:v>简单因果推理</x:v>
      </x:c>
    </x:row>
    <x:row r="108">
      <x:c r="A108" s="64" t="str">
        <x:v>​2647220715282612224</x:v>
      </x:c>
      <x:c r="B108" s="65" t="str">
        <x:v>基础题</x:v>
      </x:c>
      <x:c r="C108" s="65" t="str">
        <x:v>基础题</x:v>
      </x:c>
      <x:c r="D108" s="65" t="str">
        <x:v>基础题|中等题</x:v>
      </x:c>
      <x:c r="E108" s="65" t="str">
        <x:v>保留主标签；相邻双档均可</x:v>
      </x:c>
      <x:c r="F108" s="65" t="str">
        <x:v>中</x:v>
      </x:c>
      <x:c r="G108" s="65" t="str">
        <x:v>基础题</x:v>
      </x:c>
      <x:c r="H108" s="65" t="str">
        <x:v>基础题</x:v>
      </x:c>
      <x:c r="I108" s="65" t="str">
        <x:v>最高难任务为1—2步显性应用、规范操作或简单因果，没有连续模型转换。 题目证据：保留原标。最长有效链为3-5步、题型为电路综合、含单一约束、图表要求达到“直接读数”、推理为多层因果推理，与基础题边界一致。 复核证据：教师标签与独立盲评一致；三次模型运行使用相近提示词，仅作为辅助证据，不足以推翻两者一致结论。。</x:v>
      </x:c>
      <x:c r="J108" s="65" t="str">
        <x:v>三次运行错题并集逐题复核</x:v>
      </x:c>
      <x:c r="K108" s="63" t="str">
        <x:v>如图1所示，电源是两节新干电池串联组成的电池组，当闭合开关S后，电压表的示数如图2所示，则L1两端的电压为（ ）</x:v>
      </x:c>
      <x:c r="L108" s="63" t="str">
        <x:v>A. 1V B. 2V C. 3V D. 4V</x:v>
      </x:c>
      <x:c r="M108" s="63" t="str">
        <x:v>解：由电路图可知，当闭合开关S后，两灯泡串联，电压表测L2两端的电压， 因电源是两节新干电池串联组成的电池组，其电压为3V， 所以，电压表的量程为0～3V，分度值为0.1V，则L2两端的电压U2=2V， 因串联电路中总电压等于各分电压之和， 所以，L1两端的电压U1=U-U2=3V-2V=1V。 故选：A。</x:v>
      </x:c>
      <x:c r="N108" s="63" t="str">
        <x:v>https://k12static.xdf.cn/k12/image/externalized/bcbc0ffe-9962-4b3b-9e2a-c5c1f5e23a12.png</x:v>
      </x:c>
      <x:c r="O108" s="63" t="str">
        <x:v>https://k12static.xdf.cn/k12/image/externalized/b0b25db3-ba29-4f11-b5e3-3430283c6546.png</x:v>
      </x:c>
      <x:c r="P108" s="63" t="str">
        <x:v>3-5步</x:v>
      </x:c>
      <x:c r="Q108" s="63" t="str">
        <x:v>电路综合</x:v>
      </x:c>
      <x:c r="R108" s="63" t="str">
        <x:v>单状态</x:v>
      </x:c>
      <x:c r="S108" s="63" t="str">
        <x:v>单一约束</x:v>
      </x:c>
      <x:c r="T108" s="63" t="str">
        <x:v>无</x:v>
      </x:c>
      <x:c r="U108" s="63" t="str">
        <x:v>直接读数</x:v>
      </x:c>
      <x:c r="V108" s="63" t="str">
        <x:v>多层因果推理</x:v>
      </x:c>
    </x:row>
    <x:row r="109">
      <x:c r="A109" s="64" t="str">
        <x:v>​2680358799504175104</x:v>
      </x:c>
      <x:c r="B109" s="65" t="str">
        <x:v>送分题</x:v>
      </x:c>
      <x:c r="C109" s="65" t="str">
        <x:v>送分题</x:v>
      </x:c>
      <x:c r="D109" s="65" t="str">
        <x:v>送分题|基础题</x:v>
      </x:c>
      <x:c r="E109" s="65" t="str">
        <x:v>保留主标签；相邻双档均可</x:v>
      </x:c>
      <x:c r="F109" s="65" t="str">
        <x:v>中</x:v>
      </x:c>
      <x:c r="G109" s="65" t="str">
        <x:v>送分题</x:v>
      </x:c>
      <x:c r="H109" s="65" t="str">
        <x:v>基础题</x:v>
      </x:c>
      <x:c r="I109" s="65" t="str">
        <x:v>多个空/选项彼此独立，不形成连续链；最高难任务属于教材概念与常规物理关系中的1—2步直接应用、规范操作或简单因果判断。需要理解/应用而非纯识记，但没有共享中间结论、完整连续过程或隐含转换。</x:v>
      </x:c>
      <x:c r="J109" s="65" t="str">
        <x:v>三次运行错题并集逐题复核</x:v>
      </x:c>
      <x:c r="K109" s="63" t="str">
        <x:v>关于磁场方向的下列说法错误的是（ ）</x:v>
      </x:c>
      <x:c r="L109" s="63" t="str">
        <x:v>A. 小磁针静止时北极所指的方向为该点的磁场方向 B. 小磁针静止时它的北极所受磁场力的方向为该点的磁场方向 C. 通电导线在磁场中所受磁场力的方向为该处的磁场方向 D. 地球周围存在的地磁场的方向总是指向北方</x:v>
      </x:c>
      <x:c r="M109" s="63" t="str">
        <x:v>解：AB、由磁场方向的规定可知，小磁针静止时北极所指的方向为该点的磁场方向，磁场力的方向与磁场方向一致，故AB正确； C、通电导线在磁场中所受磁场力的方向是变化的，与磁场的方向有关，但其受力方向并不是磁场方向，故C错误； D、地磁场的两极与地理两极相反，故地球周围存在的地磁场的方向总是指向北方（即地磁的南极），故D正确。 故选：C。</x:v>
      </x:c>
      <x:c r="N109" s="63" t="str">
        <x:v>https://k12static.xdf.cn/k12/image/externalized/87f4db42-030f-485f-82b8-11bc7c1aae32.png</x:v>
      </x:c>
      <x:c r="O109" s="63" t="str">
        <x:v>https://k12static.xdf.cn/k12/image/externalized/8d22de4f-74d5-462b-a484-607d06cf2965.png</x:v>
      </x:c>
      <x:c r="P109" s="63" t="str">
        <x:v>1-2步</x:v>
      </x:c>
      <x:c r="Q109" s="63" t="str">
        <x:v>概念判断</x:v>
      </x:c>
      <x:c r="R109" s="63" t="str">
        <x:v>单状态</x:v>
      </x:c>
      <x:c r="S109" s="63" t="str">
        <x:v>无约束</x:v>
      </x:c>
      <x:c r="T109" s="63" t="str">
        <x:v>无</x:v>
      </x:c>
      <x:c r="U109" s="63" t="str">
        <x:v>无</x:v>
      </x:c>
      <x:c r="V109" s="63" t="str">
        <x:v>直接套用</x:v>
      </x:c>
    </x:row>
    <x:row r="110">
      <x:c r="A110" s="64" t="str">
        <x:v>​2699496286111698944</x:v>
      </x:c>
      <x:c r="B110" s="65" t="str">
        <x:v>基础题</x:v>
      </x:c>
      <x:c r="C110" s="65" t="str">
        <x:v>基础题</x:v>
      </x:c>
      <x:c r="D110" s="65" t="str">
        <x:v>送分题|基础题</x:v>
      </x:c>
      <x:c r="E110" s="65" t="str">
        <x:v>保留主标签；相邻双档均可</x:v>
      </x:c>
      <x:c r="F110" s="65" t="str">
        <x:v>中</x:v>
      </x:c>
      <x:c r="G110" s="65" t="str">
        <x:v>送分题</x:v>
      </x:c>
      <x:c r="H110" s="65" t="str">
        <x:v>中等题</x:v>
      </x:c>
      <x:c r="I110" s="65" t="str">
        <x:v>最高难任务为1—2步显性应用、规范操作或简单因果，没有连续模型转换。 题目证据：最高难选项的实际有效物理决策约1-2步，四个选项均为独立的常识量级估测，每个选项只需估算验证一个物理量，没有多步连续关联。每个选项的估算均只需要将物理量代入单个公式简单计算，不存在模型重构或多过程分析。</x:v>
      </x:c>
      <x:c r="J110" s="65" t="str">
        <x:v>三次运行错题并集逐题复核</x:v>
      </x:c>
      <x:c r="K110" s="63" t="str">
        <x:v>下列数据最符合实际的是（ ）</x:v>
      </x:c>
      <x:c r="L110" s="63" t="str">
        <x:v>A. 日光灯正常工作时，电流约为1.5A B. 教室里空气的质量约为260g C. 人双脚站立在水平地面上时对地面的压强约为1.2×105Pa D. 一位普通中学生的体积约为0.05m3</x:v>
      </x:c>
      <x:c r="M110" s="63" t="str">
        <x:v>解：A.日光灯正常工作时，电流约为0.2A，故A不符合实际； B.一间空教室的体积约为V=10m×8m×3m=240m3，一间空教室的空气质量约为m=ρV=1.29kg/m3×240m3≈300kg,故B不符合实际； C.一个中学生对地面的压力约500N，双脚与地面的接触面积约400cm2=0.04m2，双脚站立时对地面的压强约为p=$\frac{F}{S}$=$\frac{500N}{0.04{m}^{2}}$=1.25×104Pa,故C不符合实际； D.一位普通中学生的质量约为50kg,人的密度与水的密度接近，约为1.0×103kg/m3，中学生的体积V=$\frac{m}{ρ}$=$\frac{50kg}{1.0×1{0}^{3}\;kg/{m}^{3}}$=0.05m3，故D符合实际。 故选：D。</x:v>
      </x:c>
      <x:c r="N110" s="63" t="str">
        <x:v>https://k12static.xdf.cn/k12/image/externalized/5894b875-f5ab-4eaa-bcbd-7bf43349659d.png</x:v>
      </x:c>
      <x:c r="O110" s="63" t="str">
        <x:v>https://k12static.xdf.cn/k12/image/externalized/111bc564-a687-450a-a119-e33bb732cc92.png</x:v>
      </x:c>
      <x:c r="P110" s="63" t="str">
        <x:v>1-2步</x:v>
      </x:c>
      <x:c r="Q110" s="63" t="str">
        <x:v>概念判断</x:v>
      </x:c>
      <x:c r="R110" s="63" t="str">
        <x:v>单状态</x:v>
      </x:c>
      <x:c r="S110" s="63" t="str">
        <x:v>无约束</x:v>
      </x:c>
      <x:c r="T110" s="63" t="str">
        <x:v>无</x:v>
      </x:c>
      <x:c r="U110" s="63" t="str">
        <x:v>无</x:v>
      </x:c>
      <x:c r="V110" s="63" t="str">
        <x:v>简单因果推理</x:v>
      </x:c>
    </x:row>
    <x:row r="111">
      <x:c r="A111" s="64" t="str">
        <x:v>​2718075184401453056</x:v>
      </x:c>
      <x:c r="B111" s="65" t="str">
        <x:v>中等题</x:v>
      </x:c>
      <x:c r="C111" s="65" t="str">
        <x:v>中等题</x:v>
      </x:c>
      <x:c r="D111" s="65" t="str">
        <x:v>中等题|拔高题</x:v>
      </x:c>
      <x:c r="E111" s="65" t="str">
        <x:v>保留主标签；相邻双档均可</x:v>
      </x:c>
      <x:c r="F111" s="65" t="str">
        <x:v>中</x:v>
      </x:c>
      <x:c r="G111" s="65" t="str">
        <x:v>拔高题</x:v>
      </x:c>
      <x:c r="H111" s="65" t="str">
        <x:v>压轴题</x:v>
      </x:c>
      <x:c r="I111" s="65" t="str">
        <x:v>最高难任务在标准实验流程、读数与数据归纳中包含图线反推、状态转换、误差评价、几何/等效转换、方程联立或参数反求等决定性卡点，整体约5—6个有效决策；尚未形成压轴所需的完整复杂约束网络。</x:v>
      </x:c>
      <x:c r="J111" s="65" t="str">
        <x:v>三次运行错题并集逐题复核</x:v>
      </x:c>
      <x:c r="K111" s="63" t="str">
        <x:v>小华在课外探究弹簧的伸长量与拉力F的关系，记录了实验数据，并根据数据得出了如图甲所示的图像（L为弹簧长度）。</x:v>
      </x:c>
      <x:c r="L111" s="63" t="str"/>
      <x:c r="M111" s="63" t="str"/>
      <x:c r="N111" s="63" t="str">
        <x:v>https://k12static.xdf.cn/k12/image/externalized/5f6d709b-1654-4c8f-8b9d-f9c53dce54bc.png</x:v>
      </x:c>
      <x:c r="O111" s="63" t="str">
        <x:v>https://k12static.xdf.cn/k12/image/externalized/ad979158-fe37-40eb-93ca-302a3747c209.png</x:v>
      </x:c>
      <x:c r="P111" s="63" t="str">
        <x:v>3-5步</x:v>
      </x:c>
      <x:c r="Q111" s="63" t="str">
        <x:v>实验探究</x:v>
      </x:c>
      <x:c r="R111" s="63" t="str">
        <x:v>双状态</x:v>
      </x:c>
      <x:c r="S111" s="63" t="str">
        <x:v>单一约束</x:v>
      </x:c>
      <x:c r="T111" s="63" t="str">
        <x:v>控制变量或故障分析</x:v>
      </x:c>
      <x:c r="U111" s="63" t="str">
        <x:v>多组比较归纳</x:v>
      </x:c>
      <x:c r="V111" s="63" t="str">
        <x:v>多层因果推理</x:v>
      </x:c>
    </x:row>
    <x:row r="112">
      <x:c r="A112" s="64" t="str">
        <x:v>​2722490747940614144</x:v>
      </x:c>
      <x:c r="B112" s="65" t="str">
        <x:v>基础题</x:v>
      </x:c>
      <x:c r="C112" s="65" t="str">
        <x:v>基础题</x:v>
      </x:c>
      <x:c r="D112" s="65" t="str">
        <x:v>基础题|中等题</x:v>
      </x:c>
      <x:c r="E112" s="65" t="str">
        <x:v>保留主标签；相邻双档均可</x:v>
      </x:c>
      <x:c r="F112" s="65" t="str">
        <x:v>中</x:v>
      </x:c>
      <x:c r="G112" s="65" t="str">
        <x:v>基础题</x:v>
      </x:c>
      <x:c r="H112" s="65" t="str">
        <x:v>基础题</x:v>
      </x:c>
      <x:c r="I112" s="65" t="str">
        <x:v>最高难任务为1—2步显性应用、规范操作或简单因果，没有连续模型转换。 题目证据：最高难选项实际有效推理约1步，五维中知识量为2-3个关联的实验知识点，过程/对象为单对象单状态，数学工具无运算，情境为教材标准实验，思维层次属于简单应用。任务围绕平面镜成像实验的器材选择、操作要求和成像特点进行逐一判断，四个选项分别对应实验不同环节，覆盖器材、操作、规律、成像性质四个要点。</x:v>
      </x:c>
      <x:c r="J112" s="65" t="str">
        <x:v>三次运行错题并集逐题复核</x:v>
      </x:c>
      <x:c r="K112" s="63" t="str">
        <x:v>如图是探究平面镜成像特点的实验装置，a为玻璃板，b和c是两支完全相同的蜡烛，下列说法错误的是（ ）</x:v>
      </x:c>
      <x:c r="L112" s="63" t="str">
        <x:v>A. 为了保证实验效果应选择茶色玻璃板 B. 实验时玻璃板a应与水平桌面垂直放置 C. 把蜡烛远离平面镜时，它的像也会远离平面镜 D. 把光屏置于玻璃板后侧，能看到光屏上有蜡烛b的像</x:v>
      </x:c>
      <x:c r="M112" s="63" t="str">
        <x:v>解：A．无色玻璃透光性较强，反射能力差，反射成的像不清晰；茶色玻璃透光性较差，反射的光线较多，反射成的像较清晰，所以选用茶色玻璃板进行实验，能更清晰的观察玻璃板的另一侧的像，故A正确； B．实验中玻璃板如果不垂直于桌面，前面的蜡烛成的像偏高或偏低，后面的蜡烛无法与前面蜡烛的像完全重合，所以实验时玻璃板a应与水平桌面垂直放置，故B正确； C．由平面镜成像特点可知，物和像关于平面镜对称，像与物到镜面的距离相等，所以把蜡烛远离平面镜时，它的像也会远离平面镜，故C正确； D．平面镜成的像是虚像，不是由真实光线会聚形成的，不能被光屏承接，所以，把光屏置于玻璃板后侧，不能看到光屏上有蜡烛b的像，故D错误。 故选：D。</x:v>
      </x:c>
      <x:c r="N112" s="63" t="str">
        <x:v>https://k12static.xdf.cn/k12/image/externalized/130028f5-07c4-459f-a21e-f245769232ce.png</x:v>
      </x:c>
      <x:c r="O112" s="63" t="str">
        <x:v>https://k12static.xdf.cn/k12/image/externalized/e949cf76-ef31-4abf-9feb-6acac0f7446f.png</x:v>
      </x:c>
      <x:c r="P112" s="63" t="str">
        <x:v>1-2步</x:v>
      </x:c>
      <x:c r="Q112" s="63" t="str">
        <x:v>概念判断</x:v>
      </x:c>
      <x:c r="R112" s="63" t="str">
        <x:v>单状态</x:v>
      </x:c>
      <x:c r="S112" s="63" t="str">
        <x:v>无约束</x:v>
      </x:c>
      <x:c r="T112" s="63" t="str">
        <x:v>控制变量或故障分析</x:v>
      </x:c>
      <x:c r="U112" s="63" t="str">
        <x:v>无</x:v>
      </x:c>
      <x:c r="V112" s="63" t="str">
        <x:v>简单因果推理</x:v>
      </x:c>
    </x:row>
    <x:row r="113">
      <x:c r="A113" s="64" t="str">
        <x:v>​2735458921792704512</x:v>
      </x:c>
      <x:c r="B113" s="65" t="str">
        <x:v>送分题</x:v>
      </x:c>
      <x:c r="C113" s="65" t="str">
        <x:v>送分题</x:v>
      </x:c>
      <x:c r="D113" s="65" t="str">
        <x:v>送分题|基础题</x:v>
      </x:c>
      <x:c r="E113" s="65" t="str">
        <x:v>保留主标签；相邻双档均可</x:v>
      </x:c>
      <x:c r="F113" s="65" t="str">
        <x:v>中</x:v>
      </x:c>
      <x:c r="G113" s="65" t="str">
        <x:v>送分题</x:v>
      </x:c>
      <x:c r="H113" s="65" t="str">
        <x:v>基础题</x:v>
      </x:c>
      <x:c r="I113" s="65" t="str">
        <x:v>只需识别一个熟悉教材模板，没有第二次物理决策。 题目证据：保留原标。最长有效链为1-2步、题型为概念判断、推理为简单因果推理，与送分题边界一致。 复核证据：独立盲评与三次模型中有4/4支持基础题；题目仅调用一个唯一熟悉模板，教师送分可接受。</x:v>
      </x:c>
      <x:c r="J113" s="65" t="str">
        <x:v>三次运行错题并集逐题复核</x:v>
      </x:c>
      <x:c r="K113" s="63" t="str">
        <x:v>公元前2世纪，西汉淮南王刘安的《淮南万毕术》就有光学、力学、声学、磁学、热学方面的内容，其中记载冰透镜“削冰令圆，举以向日，以艾承其影，则火生”，其描述的现象如图所示，下列说法错误的是（ ）</x:v>
      </x:c>
      <x:c r="L113" s="63" t="str">
        <x:v>A. 这是光的反射现象 B. 冰透镜对光有会聚作用 C. “举以向日”指的是冰透镜正对太阳光 D. “以艾承其影”中的“影”指冰透镜的焦点</x:v>
      </x:c>
      <x:c r="M113" s="63" t="str">
        <x:v>解：古人将冰磨成一种冰透镜，该透镜中间厚、边缘薄，属于凸透镜，凸透镜对光线具有会聚作用，能使光线发生折射；冰透镜正对太阳光，能使太阳光会聚焦点，从而能点燃艾草取火，故A错误、BCD正确。 故选：A。</x:v>
      </x:c>
      <x:c r="N113" s="63" t="str">
        <x:v>https://k12static.xdf.cn/k12/image/externalized/8d5ee2d4-4f2a-437c-9a1e-a400cbd8e5ce.png</x:v>
      </x:c>
      <x:c r="O113" s="63" t="str">
        <x:v>https://k12static.xdf.cn/k12/image/externalized/813519aa-fc57-474c-8922-1365aa75f7e2.png</x:v>
      </x:c>
      <x:c r="P113" s="63" t="str">
        <x:v>1-2步</x:v>
      </x:c>
      <x:c r="Q113" s="63" t="str">
        <x:v>概念判断</x:v>
      </x:c>
      <x:c r="R113" s="63" t="str">
        <x:v>单状态</x:v>
      </x:c>
      <x:c r="S113" s="63" t="str">
        <x:v>无约束</x:v>
      </x:c>
      <x:c r="T113" s="63" t="str">
        <x:v>无</x:v>
      </x:c>
      <x:c r="U113" s="63" t="str">
        <x:v>无</x:v>
      </x:c>
      <x:c r="V113" s="63" t="str">
        <x:v>简单因果推理</x:v>
      </x:c>
    </x:row>
    <x:row r="114">
      <x:c r="A114" s="64" t="str">
        <x:v>​2754371965440008192</x:v>
      </x:c>
      <x:c r="B114" s="65" t="str">
        <x:v>送分题</x:v>
      </x:c>
      <x:c r="C114" s="65" t="str">
        <x:v>送分题</x:v>
      </x:c>
      <x:c r="D114" s="65" t="str">
        <x:v>送分题|基础题</x:v>
      </x:c>
      <x:c r="E114" s="65" t="str">
        <x:v>保留主标签；相邻双档均可</x:v>
      </x:c>
      <x:c r="F114" s="65" t="str">
        <x:v>中</x:v>
      </x:c>
      <x:c r="G114" s="65" t="str">
        <x:v>送分题</x:v>
      </x:c>
      <x:c r="H114" s="65" t="str">
        <x:v>基础题</x:v>
      </x:c>
      <x:c r="I114" s="65" t="str">
        <x:v>多个空/选项彼此独立，不形成连续链；最高难任务属于教材概念与常规物理关系中的1—2步直接应用、规范操作或简单因果判断。需要理解/应用而非纯识记，但没有共享中间结论、完整连续过程或隐含转换。</x:v>
      </x:c>
      <x:c r="J114" s="65" t="str">
        <x:v>三次运行错题并集逐题复核</x:v>
      </x:c>
      <x:c r="K114" s="63" t="str">
        <x:v>如图所示是我国早期的指南针——司南，它是把天然磁石磨成勺子的形状，放在水平光滑的“地盘”上制成的．东汉学者王充在《论衡》中记载：“司南之杓，投之于地，其柢指南”，“柢”指的是司南长柄，下列说中正确的是</x:v>
      </x:c>
      <x:c r="L114" s="63" t="str">
        <x:v>A. 司南指南北是由于它受到地磁场的作用 B. 司南长柄指的是地磁场的北极 C. 地磁场的南极在地球地理的南极附近 D. 司南长柄一端是磁石的北极</x:v>
      </x:c>
      <x:c r="M114" s="63" t="str">
        <x:v>地球本身是一个大磁体，地磁南（S）极在地理北极附近，地磁北（N）极在地理南极附近。司南是用天然磁石磨制成的勺子，其实质就是一块磁铁，在地球的磁场中受到磁力的作用，静止时长柄指向南方（指向地理南极），则司南长柄是磁石的南极；地理上的南极是在地磁场的北极附近，即司南长柄指的是地磁场的北极，故AB正确，CD错误。故选AB。</x:v>
      </x:c>
      <x:c r="N114" s="63" t="str">
        <x:v>https://k12static.xdf.cn/k12/image/externalized/613823ea-537b-4063-8a43-3a86a7701b14.png</x:v>
      </x:c>
      <x:c r="O114" s="63" t="str">
        <x:v>https://k12static.xdf.cn/k12/image/externalized/50e4090f-b8fe-4b29-9810-2b849f19198c.png</x:v>
      </x:c>
      <x:c r="P114" s="63" t="str">
        <x:v>1-2步</x:v>
      </x:c>
      <x:c r="Q114" s="63" t="str">
        <x:v>概念判断</x:v>
      </x:c>
      <x:c r="R114" s="63" t="str">
        <x:v>单状态</x:v>
      </x:c>
      <x:c r="S114" s="63" t="str">
        <x:v>无约束</x:v>
      </x:c>
      <x:c r="T114" s="63" t="str">
        <x:v>无</x:v>
      </x:c>
      <x:c r="U114" s="63" t="str">
        <x:v>无</x:v>
      </x:c>
      <x:c r="V114" s="63" t="str">
        <x:v>简单因果推理</x:v>
      </x:c>
    </x:row>
    <x:row r="115">
      <x:c r="A115" s="64" t="str">
        <x:v>​2761376339568472064</x:v>
      </x:c>
      <x:c r="B115" s="65" t="str">
        <x:v>拔高题</x:v>
      </x:c>
      <x:c r="C115" s="65" t="str">
        <x:v>拔高题</x:v>
      </x:c>
      <x:c r="D115" s="65" t="str">
        <x:v>中等题|拔高题</x:v>
      </x:c>
      <x:c r="E115" s="65" t="str">
        <x:v>保留主标签；相邻双档均可</x:v>
      </x:c>
      <x:c r="F115" s="65" t="str">
        <x:v>中</x:v>
      </x:c>
      <x:c r="G115" s="65" t="str">
        <x:v>压轴题</x:v>
      </x:c>
      <x:c r="H115" s="65" t="str">
        <x:v>拔高题</x:v>
      </x:c>
      <x:c r="I115" s="65" t="str">
        <x:v>最高难任务在电路状态、图线/参数与安全约束中包含图线反推、状态转换、误差评价、几何/等效转换、方程联立或参数反求等决定性卡点，整体约5—6个有效决策；尚未形成压轴所需的完整复杂约束网络。</x:v>
      </x:c>
      <x:c r="J115" s="65" t="str">
        <x:v>三次运行错题并集逐题复核</x:v>
      </x:c>
      <x:c r="K115" s="63" t="str">
        <x:v>如图所示的电路中，电源电压和灯泡的电阻均不变，当开关S2、S3断开，开关S1闭合时，电压表的示数为12V、电流表的示数为1.5A，灯泡L1正常发光；当开关S1、S3闭合，开关S2断开时，灯泡L2正常发光；当只闭合开关S2时，灯泡L2的实际功率为额定功率的$\dfrac{1}{4}$，灯泡L1与L2的功率之比为2∶1。下列说法正确的是（ ）</x:v>
      </x:c>
      <x:c r="L115" s="63" t="str">
        <x:v>A. 电源电压为12V B. 当开关S1、S2闭合、开关S3断开时，灯泡L2较亮 C. 灯泡L2的额定功率为12W D. 灯泡L1与L2的电阻之比为2∶3</x:v>
      </x:c>
      <x:c r="M115" s="63" t="str">
        <x:v>A．由图知道，当开关S2、S3断开，开关S1闭合时，是L1的简单电路，电压表测量电源电压，由于此时电压表的示数为12V，电流表的示数为1.5A，所以，电源电压是12V，由欧姆定律知道，灯泡L1的电阻$R_{1}=\dfrac{U}{I_{1}}=\dfrac{12\mathrm{V}}{1.5\mathrm{A}}=8\Omega$故A正确；B．当开关S1、S2闭合、开关S3断开时，灯泡L2与L3被短路，是灯泡L1的简单电路，故B错误；D．当只闭合开关S2时，三个灯泡串联，通过的电流相等，由于灯泡L1与L2的功率之比为2∶1，由$P=I^{2}R$知道$\dfrac{P_{{L_{1}}}}{P_{{L_{2}}}}=\dfrac{I^{2}R_{1}}{I^{2}R_{2}}=\dfrac{R_{1}}{R_{2}}=\dfrac{2}{1}$即$R_{2}=\dfrac{1}{2}R_{1}=\dfrac{1}{2}\times 8\Omega =4\Omega$故D错误；C．当开关S1、S3闭合，开关S2断开时，是灯泡L1与L2并联的电路，灯泡L1与L2的额定电压相等，都是12V，又因为$R_{2}=4\Omega$，由$P=\dfrac{U^{2}}{R}$知道，灯泡L2的额定功率为$P_{2\mathrm{额}}=\dfrac{U_{\mathrm{额}}^{2}}{R_{2}}=\dfrac{\left(12\mathrm{V}\right)^{2}}{4\Omega }=36\mathrm{W}$故C错误。故选A。</x:v>
      </x:c>
      <x:c r="N115" s="63" t="str">
        <x:v>https://k12static.xdf.cn/k12/image/externalized/215354ab-0227-4277-98d2-4ac721ffa3bd.png</x:v>
      </x:c>
      <x:c r="O115" s="63" t="str">
        <x:v>https://k12static.xdf.cn/k12/image/externalized/726f8b18-3562-4960-94f7-e4e2a22099c0.png</x:v>
      </x:c>
      <x:c r="P115" s="63" t="str">
        <x:v>3-5步</x:v>
      </x:c>
      <x:c r="Q115" s="63" t="str">
        <x:v>电路综合</x:v>
      </x:c>
      <x:c r="R115" s="63" t="str">
        <x:v>多状态</x:v>
      </x:c>
      <x:c r="S115" s="63" t="str">
        <x:v>单一约束</x:v>
      </x:c>
      <x:c r="T115" s="63" t="str">
        <x:v>无</x:v>
      </x:c>
      <x:c r="U115" s="63" t="str">
        <x:v>无</x:v>
      </x:c>
      <x:c r="V115" s="63" t="str">
        <x:v>多层因果推理</x:v>
      </x:c>
    </x:row>
    <x:row r="116">
      <x:c r="A116" s="64" t="str">
        <x:v>​2762151814819495936</x:v>
      </x:c>
      <x:c r="B116" s="65" t="str">
        <x:v>基础题</x:v>
      </x:c>
      <x:c r="C116" s="65" t="str">
        <x:v>基础题</x:v>
      </x:c>
      <x:c r="D116" s="65" t="str">
        <x:v>基础题|中等题</x:v>
      </x:c>
      <x:c r="E116" s="65" t="str">
        <x:v>保留主标签；相邻双档均可</x:v>
      </x:c>
      <x:c r="F116" s="65" t="str">
        <x:v>中</x:v>
      </x:c>
      <x:c r="G116" s="65" t="str">
        <x:v>送分题</x:v>
      </x:c>
      <x:c r="H116" s="65" t="str">
        <x:v>基础题</x:v>
      </x:c>
      <x:c r="I116" s="65" t="str">
        <x:v>需要围绕电路状态、图线/参数与安全约束完成常规的3—4个有效决策，或完成一套完整标准实验/共享过程分析。关系仍显性、方法常规，没有决定性隐含转换、复杂边界筛选或多状态强耦合。</x:v>
      </x:c>
      <x:c r="J116" s="65" t="str">
        <x:v>三次运行错题并集逐题复核</x:v>
      </x:c>
      <x:c r="K116" s="63" t="str">
        <x:v>如图是四位同学设计的用伏安法测电阻R的电路图，其中正确的是（ ）</x:v>
      </x:c>
      <x:c r="L116" s="63" t="str"/>
      <x:c r="M116" s="63" t="str">
        <x:v>解：A、由电路图知：电流表与电阻并联，电压表串联在电路中，电路连接错误，不能测出电阻R的阻值，故A错误； B、由电路图知，当滑片滑到最左端时，变阻器接入电路的阻值为0，此时可以测出电阻R的一组电流和电压值，从而得出电阻R的阻值，但此电路的缺点是不能进行多次测量，不能通过取平均值来减小测量误差，所以该方案不妥，故B错误； C、由电路图知，电压表测待测电阻两端的电压，电流表测流过待测电阻的电流，且移动变阻器的滑片可以测出多组电流和电压值，所以利用该电路图可以准确测出电阻R的阻值，故C正确； D、电流表测待测电阻与滑动变阻器的电流之和，用该电路图测不出流过待测电阻的电流， 由该电路图测不出电阻R的阻值，故D错误； 故选：C。</x:v>
      </x:c>
      <x:c r="N116" s="63" t="str">
        <x:v>https://k12static.xdf.cn/k12/image/externalized/18dde4b9-c96a-4db7-981e-7e53c3de0e23.png</x:v>
      </x:c>
      <x:c r="O116" s="63" t="str">
        <x:v>https://k12static.xdf.cn/k12/image/externalized/7a3b7c02-c50a-4893-9ee1-5ae92d9cb9e1.png</x:v>
      </x:c>
      <x:c r="P116" s="63" t="str">
        <x:v>1-2步</x:v>
      </x:c>
      <x:c r="Q116" s="63" t="str">
        <x:v>概念判断</x:v>
      </x:c>
      <x:c r="R116" s="63" t="str">
        <x:v>单状态</x:v>
      </x:c>
      <x:c r="S116" s="63" t="str">
        <x:v>无约束</x:v>
      </x:c>
      <x:c r="T116" s="63" t="str">
        <x:v>控制变量或故障分析</x:v>
      </x:c>
      <x:c r="U116" s="63" t="str">
        <x:v>无</x:v>
      </x:c>
      <x:c r="V116" s="63" t="str">
        <x:v>简单因果推理</x:v>
      </x:c>
    </x:row>
    <x:row r="117">
      <x:c r="A117" s="64" t="str">
        <x:v>​2778948880701603840</x:v>
      </x:c>
      <x:c r="B117" s="65" t="str">
        <x:v>拔高题</x:v>
      </x:c>
      <x:c r="C117" s="65" t="str">
        <x:v>拔高题</x:v>
      </x:c>
      <x:c r="D117" s="65" t="str">
        <x:v>中等题|拔高题</x:v>
      </x:c>
      <x:c r="E117" s="65" t="str">
        <x:v>保留主标签；相邻双档均可</x:v>
      </x:c>
      <x:c r="F117" s="65" t="str">
        <x:v>中</x:v>
      </x:c>
      <x:c r="G117" s="65" t="str">
        <x:v>中等题</x:v>
      </x:c>
      <x:c r="H117" s="65" t="str">
        <x:v>拔高题</x:v>
      </x:c>
      <x:c r="I117" s="65" t="str">
        <x:v>最高难任务在标准实验流程、读数与数据归纳中包含图线反推、状态转换、误差评价、几何/等效转换、方程联立或参数反求等决定性卡点，整体约5—6个有效决策；尚未形成压轴所需的完整复杂约束网络。</x:v>
      </x:c>
      <x:c r="J117" s="65" t="str">
        <x:v>三次运行错题并集逐题复核</x:v>
      </x:c>
      <x:c r="K117" s="63" t="str">
        <x:v>小明用如图所示装置将一细光束从水中斜射到空气中，用于探究“光的折射规律”实验测得的数据如表。 入射角/° 0 10 20 30 40 48.6 50 折射角/° 0 13.4 27.0 41.7 58.7 90 （1）当入射角为0°时，折射角大小为0°，说明当光从水中垂直射入空气中时，传播方向 。 （2）分析实验数据可知：入射角增大时，折射角 （填“增大”或“减小”），且折射角 （填“大于”、“小于”或“等于”）入射角。 （3）当入射角为48.6°，折射角大小为90°，若再增大入射角，则折射光线消失，只发生反射，这种现象称为全反射，所以当入射角为50°时会发生 现象。 （4）若光线从空气斜射入水中，入射角为58.7°，则折射角大小为 ，这是因为在光的折射现象中，光路都具有 性。增大入射角，观察折射角的变化，我们发现 （选填“会”或“不会”）发生全反射现象。</x:v>
      </x:c>
      <x:c r="L117" s="63" t="str"/>
      <x:c r="M117" s="63" t="str">
        <x:v>解：（1）当入射角为0°时，折射角大小为0°，说明当光从水中垂直射入空气中时，传播方向不改变； （2）分析实验数据可知：入射角增大时，折射角增大，且折射角大于入射角； （3）当入射角为48.6°，折射角大小为90°，若再增大入射角，则折射光线消失，只发生反射，这种现象称为全反射，所以当入射角为50°会发生全反射现象； （4）光线从水中斜射入空气中时，入射角为40°时，折射角为58.7°，根据光路的可逆性可知，若光线从空气斜射入水中，入射角为58.7°，则折射角大小为40°。此过程中，折射角小于入射角，增大入射角，观察折射角的变化，我们发现不会发生全反射现象。 故答案为：（1）不改变；（2）增大；大于；（3）全反射；（4）40°；可逆；不会。</x:v>
      </x:c>
      <x:c r="N117" s="63" t="str">
        <x:v>https://k12static.xdf.cn/k12/image/externalized/4ca5f9d6-013b-4611-9b80-e04ae14d1389.png</x:v>
      </x:c>
      <x:c r="O117" s="63" t="str">
        <x:v>https://k12static.xdf.cn/k12/image/externalized/e032c094-2173-4a44-9034-52fdda22b837.png</x:v>
      </x:c>
      <x:c r="P117" s="63" t="str">
        <x:v>1-2步</x:v>
      </x:c>
      <x:c r="Q117" s="63" t="str">
        <x:v>实验探究</x:v>
      </x:c>
      <x:c r="R117" s="63" t="str">
        <x:v>单状态</x:v>
      </x:c>
      <x:c r="S117" s="63" t="str">
        <x:v>无约束</x:v>
      </x:c>
      <x:c r="T117" s="63" t="str">
        <x:v>控制变量或故障分析</x:v>
      </x:c>
      <x:c r="U117" s="63" t="str">
        <x:v>多组比较归纳</x:v>
      </x:c>
      <x:c r="V117" s="63" t="str">
        <x:v>多层因果推理</x:v>
      </x:c>
    </x:row>
    <x:row r="118">
      <x:c r="A118" s="64" t="str">
        <x:v>​2781852176509063168</x:v>
      </x:c>
      <x:c r="B118" s="65" t="str">
        <x:v>基础题</x:v>
      </x:c>
      <x:c r="C118" s="65" t="str">
        <x:v>基础题</x:v>
      </x:c>
      <x:c r="D118" s="65" t="str">
        <x:v>送分题|基础题</x:v>
      </x:c>
      <x:c r="E118" s="65" t="str">
        <x:v>保留主标签；相邻双档均可</x:v>
      </x:c>
      <x:c r="F118" s="65" t="str">
        <x:v>中</x:v>
      </x:c>
      <x:c r="G118" s="65" t="str">
        <x:v>基础题</x:v>
      </x:c>
      <x:c r="H118" s="65" t="str">
        <x:v>基础题</x:v>
      </x:c>
      <x:c r="I118" s="65" t="str">
        <x:v>最高难任务为1—2步显性应用、规范操作或简单因果，没有连续模型转换。 题目证据：最长连续链实际有效物理决策为1步：识别倒影属于光的反射现象，判断光路方向是否符合反射规律。五维锚定知识量为单一基础知识点，过程/对象为单状态，无数学计算，情境为熟悉的生活场景，思维层次为简单应用，属于基础题范畴。核心任务是将倒影现象对应到光的反射模型，判断光路方向。</x:v>
      </x:c>
      <x:c r="J118" s="65" t="str">
        <x:v>三次运行错题并集逐题复核</x:v>
      </x:c>
      <x:c r="K118" s="63" t="str">
        <x:v>如图所示，“七桥风月”是济南大明湖扩建后的新八景之一，由鹊华、芙蓉、水西、湖西、北池、百花、秋柳七座景观桥构成。以下能正确反映人看见桥的倒影上M点的光路图是（ ）</x:v>
      </x:c>
      <x:c r="L118" s="63" t="str"/>
      <x:c r="M118" s="63" t="str">
        <x:v>解：桥的倒影是桥反射的光线斜射到水面时再次发生反射，反射光线射入人的眼睛，人逆着光线看到的桥上的M点在水中的虚像，故只有A图符合题意。 故选：A。</x:v>
      </x:c>
      <x:c r="N118" s="63" t="str">
        <x:v>https://k12static.xdf.cn/k12/image/externalized/8a03f45e-7ded-4c64-bb69-70943d6b94fd.png</x:v>
      </x:c>
      <x:c r="O118" s="63" t="str">
        <x:v>https://k12static.xdf.cn/k12/image/externalized/81615a44-e4a8-4814-b511-058496fa4193.png</x:v>
      </x:c>
      <x:c r="P118" s="63" t="str">
        <x:v>1-2步</x:v>
      </x:c>
      <x:c r="Q118" s="63" t="str">
        <x:v>光学声学综合</x:v>
      </x:c>
      <x:c r="R118" s="63" t="str">
        <x:v>单状态</x:v>
      </x:c>
      <x:c r="S118" s="63" t="str">
        <x:v>无约束</x:v>
      </x:c>
      <x:c r="T118" s="63" t="str">
        <x:v>无</x:v>
      </x:c>
      <x:c r="U118" s="63" t="str">
        <x:v>无</x:v>
      </x:c>
      <x:c r="V118" s="63" t="str">
        <x:v>简单因果推理</x:v>
      </x:c>
    </x:row>
    <x:row r="119">
      <x:c r="A119" s="64" t="str">
        <x:v>​2786746633639964672</x:v>
      </x:c>
      <x:c r="B119" s="65" t="str">
        <x:v>拔高题</x:v>
      </x:c>
      <x:c r="C119" s="65" t="str">
        <x:v>拔高题</x:v>
      </x:c>
      <x:c r="D119" s="65" t="str">
        <x:v>中等题|拔高题</x:v>
      </x:c>
      <x:c r="E119" s="65" t="str">
        <x:v>保留主标签；相邻双档均可</x:v>
      </x:c>
      <x:c r="F119" s="65" t="str">
        <x:v>中</x:v>
      </x:c>
      <x:c r="G119" s="65" t="str">
        <x:v>压轴题</x:v>
      </x:c>
      <x:c r="H119" s="65" t="str">
        <x:v>拔高题</x:v>
      </x:c>
      <x:c r="I119" s="65" t="str">
        <x:v>最高难任务在标准实验流程、读数与数据归纳中包含图线反推、状态转换、误差评价、几何/等效转换、方程联立或参数反求等决定性卡点，整体约5—6个有效决策；尚未形成压轴所需的完整复杂约束网络。</x:v>
      </x:c>
      <x:c r="J119" s="65" t="str">
        <x:v>三次运行错题并集逐题复核</x:v>
      </x:c>
      <x:c r="K119" s="63" t="str">
        <x:v>利用弹簧做了如下两个小实验。如图甲所示，一小球从高处落到竖直固定的弹簧上后又被弹起到原高度。小球从高处开始下落到弹回的整个过程中，他的运动速度随时间变化的图像如图乙所示，图中oa段和cd段为直线。则据此图可知，在ab段，小球所受重力 弹力（选填“大于”、“等于”或“小于”），弹力大于重力的时间段为 ；如图丙所示，A、B两根相同的轻弹簧，分别与物块的上下表面相连接，B弹簧的下端与地面连接。起初A弹簧处于自由长度，B弹簧的压缩长度为$\Delta L$。现用手将A弹簧缓慢上提，使B弹簧承受物重的$\dfrac{2}{3}$，B弹簧仍处于压缩状态，那么，A弹簧的上端应向上提起的距离为 。</x:v>
      </x:c>
      <x:c r="L119" s="63" t="str"/>
      <x:c r="M119" s="63" t="str">
        <x:v>[1]由图可知，在ab段，小球继续向下做加速运动，说明合力方向与运动方向相同，即小球所受重力大于弹力。[2]在下落过程中，弹力大于重力时，小球做减速运动；在上升过程中，弹力大于重力，小球做加速运动，结合图像可知，弹力大于重力对应的是$t_{2}\sim t_{4}$这个时间段。[3]一开始，重物压在B弹簧上，B弹簧的压缩长度为$\Delta L$，当压力为重物G的$\dfrac{2}{3}$时，存在$\dfrac{\dfrac{2}{3}G}{G}=\dfrac{\Delta L'}{\Delta L}$解得$\Delta L'=\dfrac{2}{3}\Delta L$B弹簧相对于原来的位置上升的高度$\Delta h_{\mathrm{B}}=\Delta L-\Delta L'=\Delta L-\dfrac{2}{3}\Delta L=\dfrac{1}{3}\Delta L$对于A弹簧，开始A弹簧拉力为零，由于B弹簧原来受压力为G，后来受压力为$\dfrac{2}{3}$G，则A弹簧的拉力为$\dfrac{1}{3}G$，所以A弹簧上端升高$\Delta h_{\mathrm{A}}=\dfrac{1}{3}\Delta L$综上所述，A弹簧上升的高度为$\Delta h=\Delta h_{\mathrm{A}}+\Delta h_{\mathrm{B}}=2\times \dfrac{1}{3}\Delta L=\dfrac{2}{3}\Delta L$</x:v>
      </x:c>
      <x:c r="N119" s="63" t="str">
        <x:v>https://k12static.xdf.cn/k12/image/externalized/db46a0a2-6071-4cbb-8f9b-17737183d173.png</x:v>
      </x:c>
      <x:c r="O119" s="63" t="str">
        <x:v>https://k12static.xdf.cn/k12/image/externalized/ccb8169c-0793-4876-89d0-53e0dbb9276f.png</x:v>
      </x:c>
      <x:c r="P119" s="63" t="str">
        <x:v>3-5步</x:v>
      </x:c>
      <x:c r="Q119" s="63" t="str">
        <x:v>力学综合</x:v>
      </x:c>
      <x:c r="R119" s="63" t="str">
        <x:v>双状态</x:v>
      </x:c>
      <x:c r="S119" s="63" t="str">
        <x:v>单一约束</x:v>
      </x:c>
      <x:c r="T119" s="63" t="str">
        <x:v>无</x:v>
      </x:c>
      <x:c r="U119" s="63" t="str">
        <x:v>多组比较归纳</x:v>
      </x:c>
      <x:c r="V119" s="63" t="str">
        <x:v>多层因果推理</x:v>
      </x:c>
    </x:row>
    <x:row r="120">
      <x:c r="A120" s="64" t="str">
        <x:v>​2804003899629228032</x:v>
      </x:c>
      <x:c r="B120" s="65" t="str">
        <x:v>送分题</x:v>
      </x:c>
      <x:c r="C120" s="65" t="str">
        <x:v>送分题</x:v>
      </x:c>
      <x:c r="D120" s="65" t="str">
        <x:v>送分题|基础题</x:v>
      </x:c>
      <x:c r="E120" s="65" t="str">
        <x:v>保留主标签；相邻双档均可</x:v>
      </x:c>
      <x:c r="F120" s="65" t="str">
        <x:v>中</x:v>
      </x:c>
      <x:c r="G120" s="65" t="str">
        <x:v>送分题</x:v>
      </x:c>
      <x:c r="H120" s="65" t="str">
        <x:v>送分题</x:v>
      </x:c>
      <x:c r="I120" s="65" t="str">
        <x:v>只需识别一个熟悉教材模板，没有第二次物理决策。 题目证据：保留原标。最长有效链为1-2步、题型为概念判断、推理为简单因果推理，与送分题边界一致。 复核证据：教师标签与独立盲评一致；三次模型运行使用相近提示词，仅作为辅助证据，不足以推翻两者一致结论。。</x:v>
      </x:c>
      <x:c r="J120" s="65" t="str">
        <x:v>三次运行错题并集逐题复核</x:v>
      </x:c>
      <x:c r="K120" s="63" t="str">
        <x:v>冰雕是一种以冰为材料来雕刻的艺术形式，属于造型艺术。如图所示，在艺术家用特制的刀具将一块实心冰块雕刻成一件艺术品的过程中（ ）</x:v>
      </x:c>
      <x:c r="L120" s="63" t="str">
        <x:v>A. 冰的质量变大 B. 冰的质量不变 C. 冰的密度变大 D. 冰的密度不变</x:v>
      </x:c>
      <x:c r="M120" s="63" t="str">
        <x:v>解：在冰雕的过程中，冰的质量减少，但冰的密度不变。 故选：D。</x:v>
      </x:c>
      <x:c r="N120" s="63" t="str">
        <x:v>https://k12static.xdf.cn/k12/image/externalized/39bc09fc-b97a-4f77-9fae-3650e09d94c2.png</x:v>
      </x:c>
      <x:c r="O120" s="63" t="str">
        <x:v>https://k12static.xdf.cn/k12/image/externalized/e1da067b-80d8-43bc-b3e5-92878fbb1900.png</x:v>
      </x:c>
      <x:c r="P120" s="63" t="str">
        <x:v>1-2步</x:v>
      </x:c>
      <x:c r="Q120" s="63" t="str">
        <x:v>概念判断</x:v>
      </x:c>
      <x:c r="R120" s="63" t="str">
        <x:v>单状态</x:v>
      </x:c>
      <x:c r="S120" s="63" t="str">
        <x:v>无约束</x:v>
      </x:c>
      <x:c r="T120" s="63" t="str">
        <x:v>无</x:v>
      </x:c>
      <x:c r="U120" s="63" t="str">
        <x:v>无</x:v>
      </x:c>
      <x:c r="V120" s="63" t="str">
        <x:v>简单因果推理</x:v>
      </x:c>
    </x:row>
    <x:row r="121">
      <x:c r="A121" s="64" t="str">
        <x:v>​2804006722561654784</x:v>
      </x:c>
      <x:c r="B121" s="65" t="str">
        <x:v>拔高题</x:v>
      </x:c>
      <x:c r="C121" s="65" t="str">
        <x:v>拔高题</x:v>
      </x:c>
      <x:c r="D121" s="65" t="str">
        <x:v>中等题|拔高题</x:v>
      </x:c>
      <x:c r="E121" s="65" t="str">
        <x:v>保留主标签；相邻双档均可</x:v>
      </x:c>
      <x:c r="F121" s="65" t="str">
        <x:v>中</x:v>
      </x:c>
      <x:c r="G121" s="65" t="str">
        <x:v>中等题</x:v>
      </x:c>
      <x:c r="H121" s="65" t="str">
        <x:v>拔高题</x:v>
      </x:c>
      <x:c r="I121" s="65" t="str">
        <x:v>最高难任务在教材概念与常规物理关系中包含图线反推、状态转换、误差评价、几何/等效转换、方程联立或参数反求等决定性卡点，整体约5—6个有效决策；尚未形成压轴所需的完整复杂约束网络。</x:v>
      </x:c>
      <x:c r="J121" s="65" t="str">
        <x:v>三次运行错题并集逐题复核</x:v>
      </x:c>
      <x:c r="K121" s="63" t="str">
        <x:v>南京绿柳居素菜烹制技艺是江苏省非物质文化遗产，绿柳居的特色绿柳素鸡以豆制品（几乎不含水）为主要原料，经过油炸、上色、煮炖等多道工序制作而成，如图甲所示。经测算，某块素鸡制成后，素鸡吸饱汤汁，体积胀大了30%，如图乙所示。已知豆制品和成品素鸡密度之比为11：10，则这块素鸡的汁水率（素鸡中汤汁的质量与素鸡总质量的比值）约为（ ）</x:v>
      </x:c>
      <x:c r="L121" s="63" t="str">
        <x:v>A. 15.3% B. 12.0% C. 8.3% D. 5.0%</x:v>
      </x:c>
      <x:c r="M121" s="63" t="str">
        <x:v>解：由题意，可设豆制品的体积V，素鸡制成后，素鸡吸饱汤汁，体积胀大了30%，则素鸡的体积为1.3V，设豆制品的密度为11ρ0，则素鸡的密度为10ρ0， 素鸡中汤汁的质量为m汁=m素鸡-m豆=ρ素鸡V素鸡-ρ豆V豆=10ρ0×1.3V-11ρ0×V=2ρ0V， 素鸡的汁水率$\frac{{m}_{汁}}{{m}_{素鸡}}=\frac{2{ρ}_{0}V}{10{ρ}_{0}×1.3V}≈15.3\% $。故A正确，BCD错误。 故选：A。</x:v>
      </x:c>
      <x:c r="N121" s="63" t="str">
        <x:v>https://k12static.xdf.cn/k12/image/externalized/19aa4178-90b0-4519-a9fb-50d5d963bb44.png</x:v>
      </x:c>
      <x:c r="O121" s="63" t="str">
        <x:v>https://k12static.xdf.cn/k12/image/externalized/ed7666b3-3cd5-45a8-ac9d-84d377895230.png</x:v>
      </x:c>
      <x:c r="P121" s="63" t="str">
        <x:v>1-2步</x:v>
      </x:c>
      <x:c r="Q121" s="63" t="str">
        <x:v>力学综合</x:v>
      </x:c>
      <x:c r="R121" s="63" t="str">
        <x:v>单状态</x:v>
      </x:c>
      <x:c r="S121" s="63" t="str">
        <x:v>单一约束</x:v>
      </x:c>
      <x:c r="T121" s="63" t="str">
        <x:v>无</x:v>
      </x:c>
      <x:c r="U121" s="63" t="str">
        <x:v>无</x:v>
      </x:c>
      <x:c r="V121" s="63" t="str">
        <x:v>多层因果推理</x:v>
      </x:c>
    </x:row>
    <x:row r="122">
      <x:c r="A122" s="64" t="str">
        <x:v>​2810985575482658816</x:v>
      </x:c>
      <x:c r="B122" s="65" t="str">
        <x:v>送分题</x:v>
      </x:c>
      <x:c r="C122" s="65" t="str">
        <x:v>送分题</x:v>
      </x:c>
      <x:c r="D122" s="65" t="str">
        <x:v>送分题|基础题</x:v>
      </x:c>
      <x:c r="E122" s="65" t="str">
        <x:v>保留主标签；相邻双档均可</x:v>
      </x:c>
      <x:c r="F122" s="65" t="str">
        <x:v>中</x:v>
      </x:c>
      <x:c r="G122" s="65" t="str">
        <x:v>送分题</x:v>
      </x:c>
      <x:c r="H122" s="65" t="str">
        <x:v>基础题</x:v>
      </x:c>
      <x:c r="I122" s="65" t="str">
        <x:v>多个空/选项彼此独立，不形成连续链；最高难任务属于教材概念与常规物理关系中的1—2步直接应用、规范操作或简单因果判断。需要理解/应用而非纯识记，但没有共享中间结论、完整连续过程或隐含转换。</x:v>
      </x:c>
      <x:c r="J122" s="65" t="str">
        <x:v>三次运行错题并集逐题复核</x:v>
      </x:c>
      <x:c r="K122" s="63" t="str">
        <x:v>社会的发展离不开能源、信息和材料，下列说法中正确的是（ ）</x:v>
      </x:c>
      <x:c r="L122" s="63" t="str">
        <x:v>A. 神舟十四号飞船上的新型硅光电池板主要将太阳能转化为电能 B. 光纤通信利用激光在光导纤维中发生折射传递信息 C. 4G、5G通讯信号电磁波在真空中传播的速度相同 D. 条形码扫描器中的光敏二极管使用的主要是超导材料</x:v>
      </x:c>
      <x:c r="M122" s="63" t="str">
        <x:v>解：A、神舟十四号飞船上的新型硅光电池板主要将太阳能转化为电能，故A正确； B、光纤通信利用激光在光导纤维中发生反射传递信息，故B错误； C、4G、5G通讯信号电磁波在真空中传播的速度相同，故C正确； D、条形码扫描器中的光敏二极管使用的主要是半导体材料，故D错误。 故选：AC。</x:v>
      </x:c>
      <x:c r="N122" s="63" t="str">
        <x:v>https://k12static.xdf.cn/k12/image/externalized/730f970b-1c2c-411d-839b-f94e25eea075.png</x:v>
      </x:c>
      <x:c r="O122" s="63" t="str">
        <x:v>https://k12static.xdf.cn/k12/image/externalized/43768ad8-413a-4b24-adac-979c34288272.png</x:v>
      </x:c>
      <x:c r="P122" s="63" t="str">
        <x:v>1-2步</x:v>
      </x:c>
      <x:c r="Q122" s="63" t="str">
        <x:v>概念判断</x:v>
      </x:c>
      <x:c r="R122" s="63" t="str">
        <x:v>单状态</x:v>
      </x:c>
      <x:c r="S122" s="63" t="str">
        <x:v>无约束</x:v>
      </x:c>
      <x:c r="T122" s="63" t="str">
        <x:v>无</x:v>
      </x:c>
      <x:c r="U122" s="63" t="str">
        <x:v>无</x:v>
      </x:c>
      <x:c r="V122" s="63" t="str">
        <x:v>直接套用</x:v>
      </x:c>
    </x:row>
    <x:row r="123">
      <x:c r="A123" s="64" t="str">
        <x:v>​2810989572485361664</x:v>
      </x:c>
      <x:c r="B123" s="65" t="str">
        <x:v>基础题</x:v>
      </x:c>
      <x:c r="C123" s="65" t="str">
        <x:v>基础题</x:v>
      </x:c>
      <x:c r="D123" s="65" t="str">
        <x:v>送分题|基础题</x:v>
      </x:c>
      <x:c r="E123" s="65" t="str">
        <x:v>保留主标签；相邻双档均可</x:v>
      </x:c>
      <x:c r="F123" s="65" t="str">
        <x:v>中</x:v>
      </x:c>
      <x:c r="G123" s="65" t="str">
        <x:v>基础题</x:v>
      </x:c>
      <x:c r="H123" s="65" t="str">
        <x:v>基础题</x:v>
      </x:c>
      <x:c r="I123" s="65" t="str">
        <x:v>最高难任务为1—2步显性应用、规范操作或简单因果，没有连续模型转换。 题目证据：整道题包含两个独立填空，最长连续链实际有2个有效物理决策，知识量2个，单对象单状态，无需复杂运算，情境为教材常见实验装置，五维锚定基础档。两个空分别调用电动机转动原理、影响转速因素两个不同知识点，不构成直接检索束，需要分别对应规律完成简单应用。</x:v>
      </x:c>
      <x:c r="J123" s="65" t="str">
        <x:v>三次运行错题并集逐题复核</x:v>
      </x:c>
      <x:c r="K123" s="63" t="str">
        <x:v>如图某兴趣小组制作的直流电动机结构简图，闭合开关，轻轻地拨动铜线圈后线圈便转动起来，线圈转起来的原因是 。若想让线圈的转动速度变快，你可以采取的方法是 （写一条合理方法即可）。</x:v>
      </x:c>
      <x:c r="L123" s="63" t="str"/>
      <x:c r="M123" s="63" t="str">
        <x:v>解：闭合开关，轻轻地拨动铜线圈后线圈便转动起来，线圈转起来的原因是通电线圈在磁场中受力转动，电动机的转速与电流大小和磁场强弱有关，若想让线圈的转动速度变快，采取的方法增大电源电压增大线圈中的电流。 故答案为：通电线圈在磁场中受力转动；增大电源电压增大线圈中的电流。</x:v>
      </x:c>
      <x:c r="N123" s="63" t="str">
        <x:v>https://k12static.xdf.cn/k12/image/externalized/79eb28fe-bac5-4a64-9f7f-5a6181216fa0.png</x:v>
      </x:c>
      <x:c r="O123" s="63" t="str">
        <x:v>https://k12static.xdf.cn/k12/image/externalized/fd021035-89e6-4f55-9e5a-333a3fccb272.png</x:v>
      </x:c>
      <x:c r="P123" s="63" t="str">
        <x:v>1-2步</x:v>
      </x:c>
      <x:c r="Q123" s="63" t="str">
        <x:v>概念判断</x:v>
      </x:c>
      <x:c r="R123" s="63" t="str">
        <x:v>单状态</x:v>
      </x:c>
      <x:c r="S123" s="63" t="str">
        <x:v>无约束</x:v>
      </x:c>
      <x:c r="T123" s="63" t="str">
        <x:v>无</x:v>
      </x:c>
      <x:c r="U123" s="63" t="str">
        <x:v>无</x:v>
      </x:c>
      <x:c r="V123" s="63" t="str">
        <x:v>简单因果推理</x:v>
      </x:c>
    </x:row>
    <x:row r="124">
      <x:c r="A124" s="64" t="str">
        <x:v>​2819356128527515648</x:v>
      </x:c>
      <x:c r="B124" s="65" t="str">
        <x:v>基础题</x:v>
      </x:c>
      <x:c r="C124" s="65" t="str">
        <x:v>基础题</x:v>
      </x:c>
      <x:c r="D124" s="65" t="str">
        <x:v>基础题|中等题</x:v>
      </x:c>
      <x:c r="E124" s="65" t="str">
        <x:v>保留主标签；相邻双档均可</x:v>
      </x:c>
      <x:c r="F124" s="65" t="str">
        <x:v>中</x:v>
      </x:c>
      <x:c r="G124" s="65" t="str">
        <x:v>基础题</x:v>
      </x:c>
      <x:c r="H124" s="65" t="str">
        <x:v>基础题</x:v>
      </x:c>
      <x:c r="I124" s="65" t="str">
        <x:v>最高难任务为1—2步显性应用、规范操作或简单因果，没有连续模型转换。 题目证据：最长连续链实际有2个有效物理决策，五维锚定落在基础到中等区间；任务是分别判断木块在酒精和水中的浮沉状态，再利用漂浮条件推导溢出液体质量关系，两个状态独立关联同一木块重力，无复杂约束或转换。</x:v>
      </x:c>
      <x:c r="J124" s="65" t="str">
        <x:v>三次运行错题并集逐题复核</x:v>
      </x:c>
      <x:c r="K124" s="63" t="str">
        <x:v>把一个木块放入盛满酒精的溢水杯中，溢出30g的酒精（ρ木ρ酒），若将此木块从酒精中取出，擦干后放入盛满水的溢水杯中，则溢出的水的质量是（ ）</x:v>
      </x:c>
      <x:c r="L124" s="63" t="str">
        <x:v>A. 等于30g B. 小于30g C. 大于30g D. 无法确定</x:v>
      </x:c>
      <x:c r="M124" s="63" t="str">
        <x:v>由题知$\rho _{\mathrm{木}}所以木块在酒精里漂浮，则木块受到酒精的浮力$F_{\mathrm{浮}}=G_{\mathrm{木}}=G_{\mathrm{排}}=m_{\mathrm{排}}g$$\cdots \cdots$①因为$\rho _{\mathrm{木}} $\rho _{\mathrm{酒}}所以$\rho _{\mathrm{木}}所以木块在水里漂浮，则木块受到水的浮力$F_{\mathrm{浮}}'=G_{\mathrm{木}}=G_{\mathrm{排}}'=m_{\mathrm{排}}'g$$\cdots \cdots$②由①②可知木块排开酒精和水的质量（溢出的质量）$m_{\mathrm{排}}=m_{\mathrm{排}}'=30\mathrm{g}$故BCD不符合题意；故A符合题意。故选A。</x:v>
      </x:c>
      <x:c r="N124" s="63" t="str">
        <x:v>https://k12static.xdf.cn/k12/image/externalized/87aa2bcf-5055-4468-9b7e-07f0bebfd674.png</x:v>
      </x:c>
      <x:c r="O124" s="63" t="str">
        <x:v>https://k12static.xdf.cn/k12/image/externalized/9e847540-2846-4b34-bf0c-152ba7b2a797.png</x:v>
      </x:c>
      <x:c r="P124" s="63" t="str">
        <x:v>1-2步</x:v>
      </x:c>
      <x:c r="Q124" s="63" t="str">
        <x:v>力学综合</x:v>
      </x:c>
      <x:c r="R124" s="63" t="str">
        <x:v>单状态</x:v>
      </x:c>
      <x:c r="S124" s="63" t="str">
        <x:v>无约束</x:v>
      </x:c>
      <x:c r="T124" s="63" t="str">
        <x:v>无</x:v>
      </x:c>
      <x:c r="U124" s="63" t="str">
        <x:v>无</x:v>
      </x:c>
      <x:c r="V124" s="63" t="str">
        <x:v>简单因果推理</x:v>
      </x:c>
    </x:row>
    <x:row r="125">
      <x:c r="A125" s="64" t="str">
        <x:v>​2823802518469910528</x:v>
      </x:c>
      <x:c r="B125" s="65" t="str">
        <x:v>基础题</x:v>
      </x:c>
      <x:c r="C125" s="65" t="str">
        <x:v>基础题</x:v>
      </x:c>
      <x:c r="D125" s="65" t="str">
        <x:v>基础题|中等题</x:v>
      </x:c>
      <x:c r="E125" s="65" t="str">
        <x:v>保留主标签；相邻双档均可</x:v>
      </x:c>
      <x:c r="F125" s="65" t="str">
        <x:v>中</x:v>
      </x:c>
      <x:c r="G125" s="65" t="str">
        <x:v>送分题</x:v>
      </x:c>
      <x:c r="H125" s="65" t="str">
        <x:v>基础题</x:v>
      </x:c>
      <x:c r="I125" s="65" t="str">
        <x:v>需要围绕教材概念与常规物理关系完成常规的3—4个有效决策，或完成一套完整标准实验/共享过程分析。关系仍显性、方法常规，没有决定性隐含转换、复杂边界筛选或多状态强耦合。</x:v>
      </x:c>
      <x:c r="J125" s="65" t="str">
        <x:v>三次运行错题并集逐题复核</x:v>
      </x:c>
      <x:c r="K125" s="63" t="str">
        <x:v>如图所示是小明同学家的电能表，下列说法正确的是（ ）</x:v>
      </x:c>
      <x:c r="L125" s="63" t="str">
        <x:v>A. 小明家同时工作的用电器的总功率不能超过1100W B. 2500r/（kW•h）的含义是电能表每消耗1kW•h的电能，转盘要转了2500转 C. “09316”的含义是：截止目前，小明家共消耗了9316kW•h的电能 D. 小明关闭家中其他用电器，只让电取暖器单独连入电路工作1min,发现电能表的转盘刚好转了50转，则电取暖器消耗的功率为1200W</x:v>
      </x:c>
      <x:c r="M125" s="63" t="str">
        <x:v>解：A、5（10）A中，10A表示电能表平时工作允许通过的最大电流，小明家同时工作的用电器的最大总功率P=UI=220V×10A=2200W，故A错误； B、2500r/（kW•h）含义是接在这个电能表上的用电器，每消耗1kW•h的电能，电能表上指示灯闪烁2500转，故B错误； C、“09316”的含义是：截止目前，小明家共消耗了931.6kW•h的电能，故C错误； D、电能表的转盘转50圈消耗的电能：W=$\frac{50}{2500}$kW•h=0.02kW•h,电取暖器消耗的功率为P=$\frac{W}{t}=\frac{0.02kW\bullet h}{\frac{1}{60}h}$=1.2kW=1200W，故D正确。 故选：D。</x:v>
      </x:c>
      <x:c r="N125" s="63" t="str">
        <x:v>https://k12static.xdf.cn/k12/image/externalized/2ac2fb71-70cd-4748-a2a7-ec24be984a56.png</x:v>
      </x:c>
      <x:c r="O125" s="63" t="str">
        <x:v>https://k12static.xdf.cn/k12/image/externalized/3b029136-e677-4a09-9bb3-38c18310b09b.png</x:v>
      </x:c>
      <x:c r="P125" s="63" t="str">
        <x:v>1-2步</x:v>
      </x:c>
      <x:c r="Q125" s="63" t="str">
        <x:v>概念判断</x:v>
      </x:c>
      <x:c r="R125" s="63" t="str">
        <x:v>单状态</x:v>
      </x:c>
      <x:c r="S125" s="63" t="str">
        <x:v>无约束</x:v>
      </x:c>
      <x:c r="T125" s="63" t="str">
        <x:v>无</x:v>
      </x:c>
      <x:c r="U125" s="63" t="str">
        <x:v>无</x:v>
      </x:c>
      <x:c r="V125" s="63" t="str">
        <x:v>简单因果推理</x:v>
      </x:c>
    </x:row>
    <x:row r="126">
      <x:c r="A126" s="64" t="str">
        <x:v>​2829543923879813120</x:v>
      </x:c>
      <x:c r="B126" s="65" t="str">
        <x:v>基础题</x:v>
      </x:c>
      <x:c r="C126" s="65" t="str">
        <x:v>基础题</x:v>
      </x:c>
      <x:c r="D126" s="65" t="str">
        <x:v>基础题|中等题</x:v>
      </x:c>
      <x:c r="E126" s="65" t="str">
        <x:v>保留主标签；相邻双档均可</x:v>
      </x:c>
      <x:c r="F126" s="65" t="str">
        <x:v>中</x:v>
      </x:c>
      <x:c r="G126" s="65" t="str">
        <x:v>基础题</x:v>
      </x:c>
      <x:c r="H126" s="65" t="str">
        <x:v>中等题</x:v>
      </x:c>
      <x:c r="I126" s="65" t="str">
        <x:v>需要围绕标准实验流程、读数与数据归纳完成常规的3—4个有效决策，或完成一套完整标准实验/共享过程分析。关系仍显性、方法常规，没有决定性隐含转换、复杂边界筛选或多状态强耦合。</x:v>
      </x:c>
      <x:c r="J126" s="65" t="str">
        <x:v>三次运行错题并集逐题复核</x:v>
      </x:c>
      <x:c r="K126" s="63" t="str">
        <x:v>某实验小组利用如图甲所示的实验装置做“探究二力平衡的条件”实验。 （1）实验时应选择较 ________ （光滑/粗糙）的实验桌面； （2）如图甲所示，当左右两端同时挂两个钩码时，小车静止，此时F1、F2的大小 ________ ，方向 ________ ； （3）在图甲实验的基础上，将小车在水平桌面上扭转一个角度后释放，观察小车的运动状态，这样做的目的是探究二力平衡时两个力是否作用在 ________ ； （4）为了探究探究二力平衡时两个力是否作用在同一个物体上，用轻质硬纸片代替小车做实验，如图乙所示，要对硬纸片进行的操作是 ________ 。</x:v>
      </x:c>
      <x:c r="L126" s="63" t="str"/>
      <x:c r="M126" s="63" t="str">
        <x:v>解：（1）把小车放在较光滑的水平桌面上，小车受到的摩擦力越小，摩擦力对实验的影响越小，对得出实验结论更有利； （2）向左右两边加钩码，当钩码质量质量相等时，小车在水平方向受到的拉力大小相等，方向相反，小车处于静止状态； （3）保持两边钩码质量相等，将小车在桌面上旋转一个角度松手后，小车受到的两个拉力不在同一直线上，小车会转动，直到两边的拉线在同一条直线上； （4）为了使两个力不在同一个物体上，可以用剪刀将硬纸片剪开，一分为二。 故答案为：（1）光滑；（2）相等；相反；（3）同一直线上；（4）用剪刀将硬纸片从中间剪开。</x:v>
      </x:c>
      <x:c r="N126" s="63" t="str">
        <x:v>https://k12static.xdf.cn/k12/image/externalized/6e97604b-a1a9-4967-b853-7de3c2682a16.png</x:v>
      </x:c>
      <x:c r="O126" s="63" t="str">
        <x:v>https://k12static.xdf.cn/k12/image/externalized/e18162c4-9bac-432a-9212-fc6687ee05c6.png</x:v>
      </x:c>
      <x:c r="P126" s="63" t="str">
        <x:v>1-2步</x:v>
      </x:c>
      <x:c r="Q126" s="63" t="str">
        <x:v>实验探究</x:v>
      </x:c>
      <x:c r="R126" s="63" t="str">
        <x:v>单状态</x:v>
      </x:c>
      <x:c r="S126" s="63" t="str">
        <x:v>无约束</x:v>
      </x:c>
      <x:c r="T126" s="63" t="str">
        <x:v>基础操作或读数</x:v>
      </x:c>
      <x:c r="U126" s="63" t="str">
        <x:v>无</x:v>
      </x:c>
      <x:c r="V126" s="63" t="str">
        <x:v>直接套用</x:v>
      </x:c>
    </x:row>
    <x:row r="127">
      <x:c r="A127" s="64" t="str">
        <x:v>​2832718128352886784</x:v>
      </x:c>
      <x:c r="B127" s="65" t="str">
        <x:v>基础题</x:v>
      </x:c>
      <x:c r="C127" s="65" t="str">
        <x:v>基础题</x:v>
      </x:c>
      <x:c r="D127" s="65" t="str">
        <x:v>送分题|基础题</x:v>
      </x:c>
      <x:c r="E127" s="65" t="str">
        <x:v>保留主标签；相邻双档均可</x:v>
      </x:c>
      <x:c r="F127" s="65" t="str">
        <x:v>中</x:v>
      </x:c>
      <x:c r="G127" s="65" t="str">
        <x:v>基础题</x:v>
      </x:c>
      <x:c r="H127" s="65" t="str">
        <x:v>送分题</x:v>
      </x:c>
      <x:c r="I127" s="65" t="str">
        <x:v>最高难任务为1—2步显性应用、规范操作或简单因果，没有连续模型转换。 题目证据：保留原标。最长有效链为1-2步、题型为概念判断、推理为简单因果推理，与基础题边界一致。 复核证据：独立盲评与三次模型中有3/4支持基础题。 教师分析疑点：教师分析称无运算，但官方解析包含计算或公式。</x:v>
      </x:c>
      <x:c r="J127" s="65" t="str">
        <x:v>三次运行错题并集逐题复核</x:v>
      </x:c>
      <x:c r="K127" s="63" t="str">
        <x:v>重为5牛的物体放入盛水容器中，物体漂浮在水面上且溢出3牛的水，物体受到的浮力（ ）</x:v>
      </x:c>
      <x:c r="L127" s="63" t="str">
        <x:v>A. 一定等于5牛 B. 一定等于3牛 C. 可能等于3牛 D. 可能等于4牛</x:v>
      </x:c>
      <x:c r="M127" s="63" t="str">
        <x:v>解：由题知，物体漂浮在水面上， 物体受到的浮力： F浮=G=5N。 故选：A。</x:v>
      </x:c>
      <x:c r="N127" s="63" t="str">
        <x:v>https://k12static.xdf.cn/k12/image/externalized/6577c35c-2f92-4958-913b-24b81d768ea3.png</x:v>
      </x:c>
      <x:c r="O127" s="63" t="str">
        <x:v>https://k12static.xdf.cn/k12/image/externalized/28489b41-ff6c-4c50-a961-f17c2604da85.png</x:v>
      </x:c>
      <x:c r="P127" s="63" t="str">
        <x:v>1-2步</x:v>
      </x:c>
      <x:c r="Q127" s="63" t="str">
        <x:v>概念判断</x:v>
      </x:c>
      <x:c r="R127" s="63" t="str">
        <x:v>单状态</x:v>
      </x:c>
      <x:c r="S127" s="63" t="str">
        <x:v>无约束</x:v>
      </x:c>
      <x:c r="T127" s="63" t="str">
        <x:v>无</x:v>
      </x:c>
      <x:c r="U127" s="63" t="str">
        <x:v>无</x:v>
      </x:c>
      <x:c r="V127" s="63" t="str">
        <x:v>简单因果推理</x:v>
      </x:c>
    </x:row>
    <x:row r="128">
      <x:c r="A128" s="64" t="str">
        <x:v>​2839993946345680896</x:v>
      </x:c>
      <x:c r="B128" s="65" t="str">
        <x:v>拔高题</x:v>
      </x:c>
      <x:c r="C128" s="65" t="str">
        <x:v>拔高题</x:v>
      </x:c>
      <x:c r="D128" s="65" t="str">
        <x:v>中等题|拔高题</x:v>
      </x:c>
      <x:c r="E128" s="65" t="str">
        <x:v>保留主标签；相邻双档均可</x:v>
      </x:c>
      <x:c r="F128" s="65" t="str">
        <x:v>中</x:v>
      </x:c>
      <x:c r="G128" s="65" t="str">
        <x:v>压轴题</x:v>
      </x:c>
      <x:c r="H128" s="65" t="str">
        <x:v>拔高题</x:v>
      </x:c>
      <x:c r="I128" s="65" t="str">
        <x:v>存在决定性反推/等效/误差/几何转换，或同一装置中的5—6步高密度综合链。 题目证据：最长连续链实际有效物理决策共4步：1. 根据电表满刻度和电路结构，确定电路最大电流为0.6A；2. 计算R0的最大电功率，排除错误选项；3. 根据滑动变阻器可完全接入，确定R0电功率不为零，排除错误选项；4. 根据P=I²R0的函数关系，判断图像的曲线特征，确定正确选项。五维锚定：知识量为2-3个关联电学知识点，过程对象为最大电流和最小电流两个状态，数学工具为电功率公式变形和二次函数图像分析，情境为常规串联电路变式，思维层次为应用分析，整体靠近拔高档。真实任务为常规分析结合图像特征判断，存在对图像形状的二次推导，属</x:v>
      </x:c>
      <x:c r="J128" s="65" t="str">
        <x:v>三次运行错题并集逐题复核</x:v>
      </x:c>
      <x:c r="K128" s="63" t="str">
        <x:v>如图所示，电源电压为6V且保持不变，滑动变阻器的最大阻值为20Ω，定值电阻R0为5Ω．闭合开关后，移动滑片，发现能使电流表（“0～0.6A”或“0～3A”）和电压表（“0～3V”或“0～15V”）的指针同时达到满刻度线，则R0的电功率与电流的关系图象可能是（ ）</x:v>
      </x:c>
      <x:c r="L128" s="63" t="str"/>
      <x:c r="M128" s="63" t="str">
        <x:v>解：由题意可知，电表的指针同时达到满刻度线，即电路中的最大电流为0.6A，则 R0的最大电功率：P0max=（Imax）2R0=（0.6A）2×5Ω=1.8W，故D不正确； 滑动变阻器完全接入电路中时电路中的电流最小，R0的电功率最小，但不为0，故AC不正确； 根据P=I2R0可知，功率与电流是二次函数关系，其图象是开口向上的抛物线的一部分。 因在I＜1A时，I2＜I， 所以，在电路中的电流小于0.6A时，I2R0＜IR0，故B正确。 故选：B。</x:v>
      </x:c>
      <x:c r="N128" s="63" t="str">
        <x:v>https://k12static.xdf.cn/k12/image/externalized/2384df3d-34b3-4408-9cf2-9c0d64fc6eca.png</x:v>
      </x:c>
      <x:c r="O128" s="63" t="str">
        <x:v>https://k12static.xdf.cn/k12/image/externalized/70572317-4ac9-430c-a6cc-1f3adb31bbc7.png</x:v>
      </x:c>
      <x:c r="P128" s="63" t="str">
        <x:v>3-5步</x:v>
      </x:c>
      <x:c r="Q128" s="63" t="str">
        <x:v>电路综合</x:v>
      </x:c>
      <x:c r="R128" s="63" t="str">
        <x:v>双状态</x:v>
      </x:c>
      <x:c r="S128" s="63" t="str">
        <x:v>单一约束</x:v>
      </x:c>
      <x:c r="T128" s="63" t="str">
        <x:v>无</x:v>
      </x:c>
      <x:c r="U128" s="63" t="str">
        <x:v>图像反推或外推</x:v>
      </x:c>
      <x:c r="V128" s="63" t="str">
        <x:v>多层因果推理</x:v>
      </x:c>
    </x:row>
    <x:row r="129">
      <x:c r="A129" s="64" t="str">
        <x:v>​2851636783905574912</x:v>
      </x:c>
      <x:c r="B129" s="65" t="str">
        <x:v>送分题</x:v>
      </x:c>
      <x:c r="C129" s="65" t="str">
        <x:v>送分题</x:v>
      </x:c>
      <x:c r="D129" s="65" t="str">
        <x:v>送分题|基础题</x:v>
      </x:c>
      <x:c r="E129" s="65" t="str">
        <x:v>保留主标签；相邻双档均可</x:v>
      </x:c>
      <x:c r="F129" s="65" t="str">
        <x:v>中</x:v>
      </x:c>
      <x:c r="G129" s="65" t="str">
        <x:v>送分题</x:v>
      </x:c>
      <x:c r="H129" s="65" t="str">
        <x:v>基础题</x:v>
      </x:c>
      <x:c r="I129" s="65" t="str">
        <x:v>多个空/选项彼此独立，不形成连续链；最高难任务属于教材概念与常规物理关系中的1—2步直接应用、规范操作或简单因果判断。需要理解/应用而非纯识记，但没有共享中间结论、完整连续过程或隐含转换。</x:v>
      </x:c>
      <x:c r="J129" s="65" t="str">
        <x:v>三次运行错题并集逐题复核</x:v>
      </x:c>
      <x:c r="K129" s="63" t="str">
        <x:v>关于力的作用效果，下列说法正确的是（ ）</x:v>
      </x:c>
      <x:c r="L129" s="63" t="str">
        <x:v>A. 对物体施加力，物体一定会发生形变 B. 运动状态发生变化，物体可能受到力的作用 C. 只要受力，物体一定运动 D. 物体运动方向改变，一定受到力的作用</x:v>
      </x:c>
      <x:c r="M129" s="63" t="str">
        <x:v>解：A．物体受到力的作用可能会发生形变，也可能是运动状态发生改变，故A错误； B．力是改变物体运动状态的原因，运动状态发生变化，物体一定受到力的作用，故B错误； C．静止的物体，也受力，不一定运动，故C错误； D．力是改变物体运动状态的原因，物体运动方向改变，一定受到力的作用，故D正确。 故选：D。</x:v>
      </x:c>
      <x:c r="N129" s="63" t="str">
        <x:v>https://k12static.xdf.cn/k12/image/externalized/131f6fb8-b45d-4c8a-9f78-d65aeecbf229.png</x:v>
      </x:c>
      <x:c r="O129" s="63" t="str">
        <x:v>https://k12static.xdf.cn/k12/image/externalized/713d7e67-26f3-479a-9e15-f3e7c0d88e06.png</x:v>
      </x:c>
      <x:c r="P129" s="63" t="str">
        <x:v>1-2步</x:v>
      </x:c>
      <x:c r="Q129" s="63" t="str">
        <x:v>概念判断</x:v>
      </x:c>
      <x:c r="R129" s="63" t="str">
        <x:v>单状态</x:v>
      </x:c>
      <x:c r="S129" s="63" t="str">
        <x:v>无约束</x:v>
      </x:c>
      <x:c r="T129" s="63" t="str">
        <x:v>无</x:v>
      </x:c>
      <x:c r="U129" s="63" t="str">
        <x:v>无</x:v>
      </x:c>
      <x:c r="V129" s="63" t="str">
        <x:v>简单因果推理</x:v>
      </x:c>
    </x:row>
    <x:row r="130">
      <x:c r="A130" s="64" t="str">
        <x:v>​2852904450535477248</x:v>
      </x:c>
      <x:c r="B130" s="65" t="str">
        <x:v>基础题</x:v>
      </x:c>
      <x:c r="C130" s="65" t="str">
        <x:v>基础题</x:v>
      </x:c>
      <x:c r="D130" s="65" t="str">
        <x:v>基础题|中等题</x:v>
      </x:c>
      <x:c r="E130" s="65" t="str">
        <x:v>保留主标签；相邻双档均可</x:v>
      </x:c>
      <x:c r="F130" s="65" t="str">
        <x:v>中</x:v>
      </x:c>
      <x:c r="G130" s="65" t="str">
        <x:v>基础题</x:v>
      </x:c>
      <x:c r="H130" s="65" t="str">
        <x:v>中等题</x:v>
      </x:c>
      <x:c r="I130" s="65" t="str">
        <x:v>最高难任务为1—2步显性应用、规范操作或简单因果，没有连续模型转换。 题目证据：最长连续链实际有效物理决策约2步，五维锚定：知识量为单个力与运动的知识点，过程对象为加速、匀速两个连续状态，数学工具无复杂运算，情境为常规下落情境不增难，思维层次为简单应用。任务为分阶段分析雨滴受力与运动状态的对应关系，不存在完整实验闭环或决定性转换。</x:v>
      </x:c>
      <x:c r="J130" s="65" t="str">
        <x:v>三次运行错题并集逐题复核</x:v>
      </x:c>
      <x:c r="K130" s="63" t="str">
        <x:v>雨滴自高空由静止开始下落，下落过程中受到的空气阻力随其下落速度增大而增大，在整个下落过程中雨滴的运动情况是（设下落高度足够大）（ ）</x:v>
      </x:c>
      <x:c r="L130" s="63" t="str">
        <x:v>A. 先加速下落，后减速下落 B. 先加速下落，后匀速下落 C. 先加速下落，中间匀速下落，最后减速下落 D. 先匀速下落，后加速下落，最后减速下落</x:v>
      </x:c>
      <x:c r="M130" s="63" t="str">
        <x:v>解：雨滴开始下落的时候，速度很小，阻力也小，重力的方向向下，阻力的方向向上，故重力和阻力的合力方向向下，故雨滴做加速运动，随着速度的增加，阻力也越来越大，当阻力增加到和重力相等的时候，雨滴做匀速运动。故A、C、D错误。 故选：B。</x:v>
      </x:c>
      <x:c r="N130" s="63" t="str">
        <x:v>https://k12static.xdf.cn/k12/image/externalized/6af7c59d-ca7f-4a0e-884a-a993f1703b11.png</x:v>
      </x:c>
      <x:c r="O130" s="63" t="str">
        <x:v>https://k12static.xdf.cn/k12/image/externalized/c83b58f8-2dfc-4384-b261-101350107d56.png</x:v>
      </x:c>
      <x:c r="P130" s="63" t="str">
        <x:v>1-2步</x:v>
      </x:c>
      <x:c r="Q130" s="63" t="str">
        <x:v>概念判断</x:v>
      </x:c>
      <x:c r="R130" s="63" t="str">
        <x:v>双状态</x:v>
      </x:c>
      <x:c r="S130" s="63" t="str">
        <x:v>无约束</x:v>
      </x:c>
      <x:c r="T130" s="63" t="str">
        <x:v>无</x:v>
      </x:c>
      <x:c r="U130" s="63" t="str">
        <x:v>无</x:v>
      </x:c>
      <x:c r="V130" s="63" t="str">
        <x:v>简单因果推理</x:v>
      </x:c>
    </x:row>
    <x:row r="131">
      <x:c r="A131" s="64" t="str">
        <x:v>​2883161239111114752</x:v>
      </x:c>
      <x:c r="B131" s="65" t="str">
        <x:v>送分题</x:v>
      </x:c>
      <x:c r="C131" s="65" t="str">
        <x:v>送分题</x:v>
      </x:c>
      <x:c r="D131" s="65" t="str">
        <x:v>送分题|基础题</x:v>
      </x:c>
      <x:c r="E131" s="65" t="str">
        <x:v>保留主标签；相邻双档均可</x:v>
      </x:c>
      <x:c r="F131" s="65" t="str">
        <x:v>中</x:v>
      </x:c>
      <x:c r="G131" s="65" t="str">
        <x:v>送分题</x:v>
      </x:c>
      <x:c r="H131" s="65" t="str">
        <x:v>基础题</x:v>
      </x:c>
      <x:c r="I131" s="65" t="str">
        <x:v>多个空/选项彼此独立，不形成连续链；最高难任务属于教材概念与常规物理关系中的1—2步直接应用、规范操作或简单因果判断。需要理解/应用而非纯识记，但没有共享中间结论、完整连续过程或隐含转换。</x:v>
      </x:c>
      <x:c r="J131" s="65" t="str">
        <x:v>三次运行错题并集逐题复核</x:v>
      </x:c>
      <x:c r="K131" s="63" t="str">
        <x:v>关于重力的说法正确的是（ ）</x:v>
      </x:c>
      <x:c r="L131" s="63" t="str">
        <x:v>A. 质量与重力成正比 B. 重力的施力物体是地球 C. 重力的方向始终垂直向下 D. 重力只作用在物体的重心上</x:v>
      </x:c>
      <x:c r="M131" s="63" t="str">
        <x:v>解：A．物体的重力与质量成正比，质量与重力无关，故A错误； B．由于地球的吸引而使物体受到的力叫重力，重力的施力物体是地球，故B正确； C．重力的方向始终竖直向下的，故C错误； D．重力是因地球对物体的引力而产生的，物体的各部分都受到重力作用，故D错误。 故选：B。</x:v>
      </x:c>
      <x:c r="N131" s="63" t="str">
        <x:v>https://k12static.xdf.cn/k12/image/externalized/e7ad5d20-aa79-4c98-9b6e-ce0eeb17d022.png</x:v>
      </x:c>
      <x:c r="O131" s="63" t="str">
        <x:v>https://k12static.xdf.cn/k12/image/externalized/4f98bbe8-5839-4ab3-b56e-b8155808531f.png</x:v>
      </x:c>
      <x:c r="P131" s="63" t="str">
        <x:v>1-2步</x:v>
      </x:c>
      <x:c r="Q131" s="63" t="str">
        <x:v>概念判断</x:v>
      </x:c>
      <x:c r="R131" s="63" t="str">
        <x:v>单状态</x:v>
      </x:c>
      <x:c r="S131" s="63" t="str">
        <x:v>无约束</x:v>
      </x:c>
      <x:c r="T131" s="63" t="str">
        <x:v>无</x:v>
      </x:c>
      <x:c r="U131" s="63" t="str">
        <x:v>无</x:v>
      </x:c>
      <x:c r="V131" s="63" t="str">
        <x:v>简单因果推理</x:v>
      </x:c>
    </x:row>
    <x:row r="132">
      <x:c r="A132" s="64" t="str">
        <x:v>​2923952905620643840</x:v>
      </x:c>
      <x:c r="B132" s="65" t="str">
        <x:v>基础题</x:v>
      </x:c>
      <x:c r="C132" s="65" t="str">
        <x:v>基础题</x:v>
      </x:c>
      <x:c r="D132" s="65" t="str">
        <x:v>基础题|中等题</x:v>
      </x:c>
      <x:c r="E132" s="65" t="str">
        <x:v>保留主标签；相邻双档均可</x:v>
      </x:c>
      <x:c r="F132" s="65" t="str">
        <x:v>中</x:v>
      </x:c>
      <x:c r="G132" s="65" t="str">
        <x:v>基础题</x:v>
      </x:c>
      <x:c r="H132" s="65" t="str">
        <x:v>基础题</x:v>
      </x:c>
      <x:c r="I132" s="65" t="str">
        <x:v>最高难任务为1—2步显性应用、规范操作或简单因果，没有连续模型转换。 题目证据：最长连续链实际有2个有效物理决策：第一步是正确识别杠杆倾斜时两个力的力臂，判断出L_A &gt; L_B；第二步利用杠杆平衡条件F1l1=F2l2推导两个重物的重力关系。五维中知识量为同模块2个关联知识点，过程为单状态杠杆，数学工具无复杂计算，情境是常规杠杆模型，思维层次属于简单因果推理，核心易错点是容易把AO、BO直接当作力臂忽略杠杆倾斜的影响。</x:v>
      </x:c>
      <x:c r="J132" s="65" t="str">
        <x:v>三次运行错题并集逐题复核</x:v>
      </x:c>
      <x:c r="K132" s="63" t="str">
        <x:v>如图所示，轻质杠杆AOB的支点是O，AO=BO。若在A和B端分别悬挂两个重物后，杠杆恰好在图示位置平衡，则（ ）</x:v>
      </x:c>
      <x:c r="L132" s="63" t="str">
        <x:v>A. A端较重 B. B端较重 C. 两边一样重 D. 无法确定</x:v>
      </x:c>
      <x:c r="M132" s="63" t="str">
        <x:v>解：根据力臂是从支点到力的作用下的距离，左侧力臂大于右侧，故右侧的力臂较小，根据杠杆的平衡条件F1l1=F2l2可知GA＜GB，B端较重，故B符合题意，ACD不符合题意。 故选：B。</x:v>
      </x:c>
      <x:c r="N132" s="63" t="str">
        <x:v>https://k12static.xdf.cn/k12/image/externalized/eaa9fbfe-4cfb-4099-8913-1e7b1243b7fd.png</x:v>
      </x:c>
      <x:c r="O132" s="63" t="str">
        <x:v>https://k12static.xdf.cn/k12/image/externalized/faf70d79-3b1d-4126-98cd-1df0677c7abb.png</x:v>
      </x:c>
      <x:c r="P132" s="63" t="str">
        <x:v>1-2步</x:v>
      </x:c>
      <x:c r="Q132" s="63" t="str">
        <x:v>力学综合</x:v>
      </x:c>
      <x:c r="R132" s="63" t="str">
        <x:v>单状态</x:v>
      </x:c>
      <x:c r="S132" s="63" t="str">
        <x:v>单一约束</x:v>
      </x:c>
      <x:c r="T132" s="63" t="str">
        <x:v>无</x:v>
      </x:c>
      <x:c r="U132" s="63" t="str">
        <x:v>无</x:v>
      </x:c>
      <x:c r="V132" s="63" t="str">
        <x:v>简单因果推理</x:v>
      </x:c>
    </x:row>
    <x:row r="133">
      <x:c r="A133" s="64" t="str">
        <x:v>​2974679389878120448</x:v>
      </x:c>
      <x:c r="B133" s="65" t="str">
        <x:v>中等题</x:v>
      </x:c>
      <x:c r="C133" s="65" t="str">
        <x:v>中等题</x:v>
      </x:c>
      <x:c r="D133" s="65" t="str">
        <x:v>基础题|中等题</x:v>
      </x:c>
      <x:c r="E133" s="65" t="str">
        <x:v>保留主标签；相邻双档均可</x:v>
      </x:c>
      <x:c r="F133" s="65" t="str">
        <x:v>中</x:v>
      </x:c>
      <x:c r="G133" s="65" t="str">
        <x:v>中等题</x:v>
      </x:c>
      <x:c r="H133" s="65" t="str">
        <x:v>基础题</x:v>
      </x:c>
      <x:c r="I133" s="65" t="str">
        <x:v>需要围绕标准实验流程、读数与数据归纳完成常规的3—4个有效决策，或完成一套完整标准实验/共享过程分析。关系仍显性、方法常规，没有决定性隐含转换、复杂边界筛选或多状态强耦合。</x:v>
      </x:c>
      <x:c r="J133" s="65" t="str">
        <x:v>三次运行错题并集逐题复核</x:v>
      </x:c>
      <x:c r="K133" s="63" t="str">
        <x:v>小明乘坐动车时，为了检验动力行驶过程中的平衡性而做的实验，他将装满水的矿泉水瓶倒立在高速行驶的动车的桌面上，他惊奇的发现矿泉水瓶稳稳的倒立在桌面上，关于这一现象，下列说法中错误的是（ ）</x:v>
      </x:c>
      <x:c r="L133" s="63" t="str">
        <x:v>A. 矿泉水瓶的重力和桌面对矿泉水瓶的支持力是一对平衡力 B. 矿泉水瓶的重力和桌面对矿泉水瓶的支持力是一对相互作用力 C. 若高速行驶的动车突然刹车，矿泉水瓶会倒向前方 D. 矿泉水瓶和动车的运动速度相同，惯性大小也相同</x:v>
      </x:c>
      <x:c r="M133" s="63" t="str">
        <x:v>解：A、矿泉水瓶的重力和桌面对矿泉水瓶的支持力，大小不相等、方向相反、作用在同一个物体上，作用在同一条直线上是一对平衡力。故A错误。 B、矿泉水瓶的重力和桌面对矿泉水瓶的支持力是作用在同一物体上两个力，不是一对相互作用力。故B错误。 C、原来矿泉水瓶与车一起向前运动，若车突然刹车，车停止，由于惯性矿泉水瓶仍保持原来的运动状态，所以矿泉水瓶应倒向前方。故C正确。 D、惯性大小只与质量有关，与速度大小无关，矿泉水瓶和动车的质量不相同，惯性大小不同。故D错误。 故选：ABD。</x:v>
      </x:c>
      <x:c r="N133" s="63" t="str">
        <x:v>https://k12static.xdf.cn/k12/image/externalized/922364e9-d8b4-4c79-90be-3e0e725f210d.png</x:v>
      </x:c>
      <x:c r="O133" s="63" t="str">
        <x:v>https://k12static.xdf.cn/k12/image/externalized/8d35aaff-7dc4-4639-abf9-133e670db84b.png</x:v>
      </x:c>
      <x:c r="P133" s="63" t="str">
        <x:v>1-2步</x:v>
      </x:c>
      <x:c r="Q133" s="63" t="str">
        <x:v>概念判断</x:v>
      </x:c>
      <x:c r="R133" s="63" t="str">
        <x:v>单状态</x:v>
      </x:c>
      <x:c r="S133" s="63" t="str">
        <x:v>无约束</x:v>
      </x:c>
      <x:c r="T133" s="63" t="str">
        <x:v>无</x:v>
      </x:c>
      <x:c r="U133" s="63" t="str">
        <x:v>无</x:v>
      </x:c>
      <x:c r="V133" s="63" t="str">
        <x:v>多层因果推理</x:v>
      </x:c>
    </x:row>
    <x:row r="134">
      <x:c r="A134" s="64" t="str">
        <x:v>​3019585172721106944</x:v>
      </x:c>
      <x:c r="B134" s="65" t="str">
        <x:v>基础题</x:v>
      </x:c>
      <x:c r="C134" s="65" t="str">
        <x:v>基础题</x:v>
      </x:c>
      <x:c r="D134" s="65" t="str">
        <x:v>送分题|基础题</x:v>
      </x:c>
      <x:c r="E134" s="65" t="str">
        <x:v>保留主标签；相邻双档均可</x:v>
      </x:c>
      <x:c r="F134" s="65" t="str">
        <x:v>中</x:v>
      </x:c>
      <x:c r="G134" s="65" t="str">
        <x:v>基础题</x:v>
      </x:c>
      <x:c r="H134" s="65" t="str">
        <x:v>中等题</x:v>
      </x:c>
      <x:c r="I134" s="65" t="str">
        <x:v>多个空/选项彼此独立，不形成连续链；最高难任务属于教材概念与常规物理关系中的1—2步直接应用、规范操作或简单因果判断。需要理解/应用而非纯识记，但没有共享中间结论、完整连续过程或隐含转换。</x:v>
      </x:c>
      <x:c r="J134" s="65" t="str">
        <x:v>三次运行错题并集逐题复核</x:v>
      </x:c>
      <x:c r="K134" s="63" t="str">
        <x:v>2023年11月，全国越野山地自行车邀请赛在普集街道举行。右图是比赛过程中的一张照片，根据图片提供的信息，下列估测比较接近实际的是（ ）</x:v>
      </x:c>
      <x:c r="L134" s="63" t="str">
        <x:v>A. 参加比赛的运动员质量约为65kg B. 山地自行车车轮的直径约为1m C. 普通人平时的骑行速度约为5m/s D. 运动员长时间骑行功率约为70W</x:v>
      </x:c>
      <x:c r="M134" s="63" t="str">
        <x:v>A．运动员质量约为65kg，故A符合题意；B．山地自行车车轮的直径在70cm，即0.7m左右，故B不符合题意；C．普通人平时的骑行速度约为5m/s，故C符合题意；D．运动员长时间骑行的速度约4m/s，施加的动力约为20N，功率约为$P=\dfrac{W}{t}=\dfrac{Fs}{t}=Fv=20\mathrm{N}\times 4\mathrm{m}/\mathrm{s}=80\mathrm{W}$故D符合题意。故选ACD。</x:v>
      </x:c>
      <x:c r="N134" s="63" t="str">
        <x:v>https://k12static.xdf.cn/k12/image/externalized/3d14cc14-5e84-4739-82ef-cefffcd4019d.png</x:v>
      </x:c>
      <x:c r="O134" s="63" t="str">
        <x:v>https://k12static.xdf.cn/k12/image/externalized/fa77fd06-884e-4d1e-90fa-dd31aa86b078.png</x:v>
      </x:c>
      <x:c r="P134" s="63" t="str">
        <x:v>1-2步</x:v>
      </x:c>
      <x:c r="Q134" s="63" t="str">
        <x:v>概念判断</x:v>
      </x:c>
      <x:c r="R134" s="63" t="str">
        <x:v>单状态</x:v>
      </x:c>
      <x:c r="S134" s="63" t="str">
        <x:v>无约束</x:v>
      </x:c>
      <x:c r="T134" s="63" t="str">
        <x:v>无</x:v>
      </x:c>
      <x:c r="U134" s="63" t="str">
        <x:v>无</x:v>
      </x:c>
      <x:c r="V134" s="63" t="str">
        <x:v>简单因果推理</x:v>
      </x:c>
    </x:row>
    <x:row r="135">
      <x:c r="A135" s="64" t="str">
        <x:v>​3032812287435792384</x:v>
      </x:c>
      <x:c r="B135" s="65" t="str">
        <x:v>压轴题</x:v>
      </x:c>
      <x:c r="C135" s="65" t="str">
        <x:v>压轴题</x:v>
      </x:c>
      <x:c r="D135" s="65" t="str">
        <x:v>拔高题|压轴题</x:v>
      </x:c>
      <x:c r="E135" s="65" t="str">
        <x:v>保留主标签；相邻双档均可</x:v>
      </x:c>
      <x:c r="F135" s="65" t="str">
        <x:v>中</x:v>
      </x:c>
      <x:c r="G135" s="65" t="str">
        <x:v>拔高题</x:v>
      </x:c>
      <x:c r="H135" s="65" t="str">
        <x:v>压轴题</x:v>
      </x:c>
      <x:c r="I135" s="65" t="str">
        <x:v>题目把教材概念与常规物理关系组织成多对象、多状态、多约束的共享模型网络，后续任务依赖前述状态/参数，并要求分类、临界/边界、有效解筛选或可行性验证，属于7步以上的完整耦合链。</x:v>
      </x:c>
      <x:c r="J135" s="65" t="str">
        <x:v>三次运行错题并集逐题复核</x:v>
      </x:c>
      <x:c r="K135" s="63" t="str">
        <x:v>量热器内的容器中盛有一定温度、一定质量的热水。如果将质量为6000g、温度为﹣11℃的冰投入容器中，则容器中的物质将恰好全部结冰。如果投入的冰块质量为100g、温度为0℃，则容器中的物质将恰好全部化为水。容器内原有水的质量为 g。如果一开始投入冰的质量为100g、温度为﹣11℃，则最终容器内的温度为 ℃。已知冰的熔化热λ=330kJ/kg，冰的比热为ci=2100J/（kg•℃），水的比热为c=4200J/（kg•℃）。</x:v>
      </x:c>
      <x:c r="L135" s="63" t="str"/>
      <x:c r="M135" s="63" t="str">
        <x:v>[1][2]如果将质量为6000g、温度为﹣11℃的冰投入容器中，则容器中的物质将恰好全部结冰，说明冰从﹣11℃升高到0℃吸收的热量等于水从初温降低到0℃放出的热量和水凝固放出的热量之和，即$Q_{\mathrm{冰吸}1}=Q_{\mathrm{水放}}+Q_{\mathrm{水固}}$故$c_{\mathrm{冰}}m_{\mathrm{冰}1}\Delta t_{\mathrm{冰}1}=c_{\mathrm{水}}m_{\mathrm{水}}\Delta t_{\mathrm{水}}+\lambda m_{\mathrm{水}}$……①投入的冰块质量为100g、温度为0℃，则容器中的物质将恰好全部化为水，说明冰熔化吸收的热量等于水从初温降低到0℃放出的热量，即$Q_{\mathrm{冰吸}2}=Q_{\mathrm{放水}}$故$\lambda m_{\mathrm{冰}2}=c_{\mathrm{水}}m_{\mathrm{水}}\Delta t_{\mathrm{水}}$……②由①②可知$c_{\mathrm{冰}}m_{\mathrm{冰}1}\Delta t_{\mathrm{冰}1}=\lambda m_{\mathrm{冰}2}+\lambda m_{\mathrm{水}}$则$m_{\mathrm{水}}=\dfrac{c_{\mathrm{冰}}m_{\mathrm{冰}1}\Delta t_{\mathrm{冰}1}-\lambda m_{\mathrm{冰}2}}{\lambda }=\dfrac{2100\mathrm{J}/\left(\mathrm{kg}\cdot \text{℃}\right)\times 6\mathrm{kg}\times 11\text{℃}-330\times 10^{3}\mathrm{J}/\mathrm{kg}\times 0.1\mathrm{kg}}{330\times 10^{3}\mathrm{J}/\mathrm{kg}}=0.32\mathrm{kg}=320\mathrm{g}$将m水带入②式得$\Delta t=\dfrac{\lambda m_{\mathrm{冰}2}}{c_{\mathrm{水}}m_{\mathrm{水}}}=\dfrac{330\times 10^{3}\mathrm{J}/\mathrm{kg}\times 0.1\mathrm{kg}}{4200\mathrm{J}/\left(\mathrm{kg}\cdot \text{℃}\right)\times 0.32\mathrm{kg}}\approx 24.6\text{℃}$则容器内原有水的初温为$t_{0}=t+\Delta t=0\text{℃}+24.6\text{℃}=24.6\text{℃}$如果一开始投入冰的质量为100g、温度为﹣11℃，那么冰完全熔化吸收的热量为$Q_{\mathrm{吸冰}}_{3}=c_{\mathrm{冰}}m_{\mathrm{冰}}_{3}\Delta t_{\mathrm{冰}}_{3}+\lambda m_{\mathrm{冰}}_{3}=2100\mathrm{J}/\left(\mathrm{kg}\cdot \text{℃}\right)\times 0.1kg\times 11\text{℃}+330\times 10^{3}\mathrm{J}/\mathrm{kg}\times 0.1\mathrm{kg}=35310\mathrm{J}$容器内原有的水温度降低到0℃放出的热量为$Q_{\mathrm{放水}}=c_{\mathrm{水}}m_{\mathrm{水}}\Delta t_{\mathrm{水}}=4200\mathrm{J}/\left(\mathrm{kg}\cdot \text{℃}\right)\times 0.32\mathrm{kg}\times 24.6\text{℃}=33062.4\mathrm{J}$由于$Q_{\mathrm{吸冰}3}&gt; Q_{\mathrm{放水}}$说明冰不能完全熔化，此时处于冰水混合物状态，故最终容器内的温度为0℃。</x:v>
      </x:c>
      <x:c r="N135" s="63" t="str">
        <x:v>https://k12static.xdf.cn/k12/image/externalized/f159f033-87b3-433a-87d2-eb36aab72775.png</x:v>
      </x:c>
      <x:c r="O135" s="63" t="str">
        <x:v>https://k12static.xdf.cn/k12/image/externalized/c663aeac-db59-4347-864e-a0e47b8e6b78.png</x:v>
      </x:c>
      <x:c r="P135" s="63" t="str">
        <x:v>6-8步</x:v>
      </x:c>
      <x:c r="Q135" s="63" t="str">
        <x:v>热学综合</x:v>
      </x:c>
      <x:c r="R135" s="63" t="str">
        <x:v>多状态</x:v>
      </x:c>
      <x:c r="S135" s="63" t="str">
        <x:v>多约束</x:v>
      </x:c>
      <x:c r="T135" s="63" t="str">
        <x:v>无</x:v>
      </x:c>
      <x:c r="U135" s="63" t="str">
        <x:v>无</x:v>
      </x:c>
      <x:c r="V135" s="63" t="str">
        <x:v>逆向推理或临界分析</x:v>
      </x:c>
    </x:row>
    <x:row r="136">
      <x:c r="A136" s="64" t="str">
        <x:v>​3055882987938803712</x:v>
      </x:c>
      <x:c r="B136" s="65" t="str">
        <x:v>送分题</x:v>
      </x:c>
      <x:c r="C136" s="65" t="str">
        <x:v>送分题</x:v>
      </x:c>
      <x:c r="D136" s="65" t="str">
        <x:v>送分题|基础题</x:v>
      </x:c>
      <x:c r="E136" s="65" t="str">
        <x:v>保留主标签；相邻双档均可</x:v>
      </x:c>
      <x:c r="F136" s="65" t="str">
        <x:v>中</x:v>
      </x:c>
      <x:c r="G136" s="65" t="str">
        <x:v>送分题</x:v>
      </x:c>
      <x:c r="H136" s="65" t="str">
        <x:v>基础题</x:v>
      </x:c>
      <x:c r="I136" s="65" t="str">
        <x:v>多个空/选项彼此独立，不形成连续链；最高难任务属于力学模型、运动/受力与能量关系中的1—2步直接应用、规范操作或简单因果判断。需要理解/应用而非纯识记，但没有共享中间结论、完整连续过程或隐含转换。</x:v>
      </x:c>
      <x:c r="J136" s="65" t="str">
        <x:v>三次运行错题并集逐题复核</x:v>
      </x:c>
      <x:c r="K136" s="63" t="str">
        <x:v>如图甲所示是一款电脑鼠标，它的按键可看作简单的杠杆，如图乙所示，A为按键，O为支点，下列选项和鼠标杠杆类型相同的是（ ）</x:v>
      </x:c>
      <x:c r="L136" s="63" t="str">
        <x:v>A. 筷子 B. 天平 C. 钓鱼竿 D. 羊角锤</x:v>
      </x:c>
      <x:c r="M136" s="63" t="str">
        <x:v>解：鼠标在使用过程中，动力臂大于阻力臂，属于省力杠杆； AC、筷子、钓鱼竿在使用过程中，动力臂小于阻力臂，属于费力杠杆，故AC错误； B、天平在使用过程中，动力臂等于阻力臂，属于等臂杠杆，故B错误； D、羊角锤在使用过程中，动力臂大于阻力臂，属于省力杠杆，故D正确。 故选：D。</x:v>
      </x:c>
      <x:c r="N136" s="63" t="str">
        <x:v>https://k12static.xdf.cn/k12/image/externalized/08464544-e09f-4dc7-b4d3-e647140512d1.png</x:v>
      </x:c>
      <x:c r="O136" s="63" t="str">
        <x:v>https://k12static.xdf.cn/k12/image/externalized/dd78df28-52c1-4c16-972c-d93606ee6e05.png</x:v>
      </x:c>
      <x:c r="P136" s="63" t="str">
        <x:v>1-2步</x:v>
      </x:c>
      <x:c r="Q136" s="63" t="str">
        <x:v>概念判断</x:v>
      </x:c>
      <x:c r="R136" s="63" t="str">
        <x:v>单状态</x:v>
      </x:c>
      <x:c r="S136" s="63" t="str">
        <x:v>无约束</x:v>
      </x:c>
      <x:c r="T136" s="63" t="str">
        <x:v>无</x:v>
      </x:c>
      <x:c r="U136" s="63" t="str">
        <x:v>无</x:v>
      </x:c>
      <x:c r="V136" s="63" t="str">
        <x:v>简单因果推理</x:v>
      </x:c>
    </x:row>
    <x:row r="137">
      <x:c r="A137" s="64" t="str">
        <x:v>​3061392439711125504</x:v>
      </x:c>
      <x:c r="B137" s="65" t="str">
        <x:v>送分题</x:v>
      </x:c>
      <x:c r="C137" s="65" t="str">
        <x:v>送分题</x:v>
      </x:c>
      <x:c r="D137" s="65" t="str">
        <x:v>送分题|基础题</x:v>
      </x:c>
      <x:c r="E137" s="65" t="str">
        <x:v>保留主标签；相邻双档均可</x:v>
      </x:c>
      <x:c r="F137" s="65" t="str">
        <x:v>中</x:v>
      </x:c>
      <x:c r="G137" s="65" t="str">
        <x:v>送分题</x:v>
      </x:c>
      <x:c r="H137" s="65" t="str">
        <x:v>基础题</x:v>
      </x:c>
      <x:c r="I137" s="65" t="str">
        <x:v>多个空/选项彼此独立，不形成连续链；最高难任务属于力学模型、运动/受力与能量关系中的1—2步直接应用、规范操作或简单因果判断。需要理解/应用而非纯识记，但没有共享中间结论、完整连续过程或隐含转换。</x:v>
      </x:c>
      <x:c r="J137" s="65" t="str">
        <x:v>三次运行错题并集逐题复核</x:v>
      </x:c>
      <x:c r="K137" s="63" t="str">
        <x:v>关于摩擦起电的判断下列说法是否正确</x:v>
      </x:c>
      <x:c r="L137" s="63" t="str"/>
      <x:c r="M137" s="63" t="str"/>
      <x:c r="N137" s="63" t="str">
        <x:v>https://k12static.xdf.cn/k12/image/externalized/af0dfeff-3a10-4f1a-81c8-1ec00b2a98a7.png</x:v>
      </x:c>
      <x:c r="O137" s="63" t="str">
        <x:v>https://k12static.xdf.cn/k12/image/externalized/a7b71541-b646-4043-852a-68afc955e715.png</x:v>
      </x:c>
      <x:c r="P137" s="63" t="str">
        <x:v>1-2步</x:v>
      </x:c>
      <x:c r="Q137" s="63" t="str">
        <x:v>概念判断</x:v>
      </x:c>
      <x:c r="R137" s="63" t="str">
        <x:v>单状态</x:v>
      </x:c>
      <x:c r="S137" s="63" t="str">
        <x:v>无约束</x:v>
      </x:c>
      <x:c r="T137" s="63" t="str">
        <x:v>无</x:v>
      </x:c>
      <x:c r="U137" s="63" t="str">
        <x:v>无</x:v>
      </x:c>
      <x:c r="V137" s="63" t="str">
        <x:v>直接套用</x:v>
      </x:c>
    </x:row>
    <x:row r="138">
      <x:c r="A138" s="64" t="str">
        <x:v>​3087035829816758272</x:v>
      </x:c>
      <x:c r="B138" s="65" t="str">
        <x:v>送分题</x:v>
      </x:c>
      <x:c r="C138" s="65" t="str">
        <x:v>送分题</x:v>
      </x:c>
      <x:c r="D138" s="65" t="str">
        <x:v>送分题|基础题</x:v>
      </x:c>
      <x:c r="E138" s="65" t="str">
        <x:v>保留主标签；相邻双档均可</x:v>
      </x:c>
      <x:c r="F138" s="65" t="str">
        <x:v>中</x:v>
      </x:c>
      <x:c r="G138" s="65" t="str">
        <x:v>送分题</x:v>
      </x:c>
      <x:c r="H138" s="65" t="str">
        <x:v>送分题</x:v>
      </x:c>
      <x:c r="I138" s="65" t="str">
        <x:v>只需识别一个熟悉教材模板，没有第二次物理决策。 题目证据：最长连续链只有1个有效物理决策，两个小问均直接调用平面镜成像的同一规律结论；第一问为一步整数加法，不需要规律选择、模型重构或连续推理。五维锚定符合送分题特征，不存在复杂建模或分析任务。</x:v>
      </x:c>
      <x:c r="J138" s="65" t="str">
        <x:v>三次运行错题并集逐题复核</x:v>
      </x:c>
      <x:c r="K138" s="63" t="str">
        <x:v>如图所示，摄影师抓拍到鸟儿在湖面觅食的画面，若鸟儿距离湖面30cm,则它的像距离鸟儿 cm；若鸟儿远离湖面飞走，则它在湖水中所成像的大小 （选填“变大”、“变小”或“不变”）。</x:v>
      </x:c>
      <x:c r="L138" s="63" t="str"/>
      <x:c r="M138" s="63" t="str">
        <x:v>解：平静的湖面相当于平面镜，根据平面镜成像特点：像与物大小相同，像到平面镜的距离和物体到平面镜距离相等。鸟儿距离湖面30cm,则鸟儿在湖水中的像距湖面也是30cm,所以它的像距离鸟儿的距离为30cm+30cm=60cm。 平面镜成像时，像和物体的大小相等，由于鸟儿大小不变，因此鸟儿远离湖面时，湖水中鸟儿的像的大小不变。 故答案为：60；不变。</x:v>
      </x:c>
      <x:c r="N138" s="63" t="str">
        <x:v>https://k12static.xdf.cn/k12/image/externalized/b966a9fa-04c4-49f8-b8b4-371c43b22988.png</x:v>
      </x:c>
      <x:c r="O138" s="63" t="str">
        <x:v>https://k12static.xdf.cn/k12/image/externalized/c41df135-9a82-4f5e-b9e7-f0d538af9818.png</x:v>
      </x:c>
      <x:c r="P138" s="63" t="str">
        <x:v>1-2步</x:v>
      </x:c>
      <x:c r="Q138" s="63" t="str">
        <x:v>光学声学综合</x:v>
      </x:c>
      <x:c r="R138" s="63" t="str">
        <x:v>单状态</x:v>
      </x:c>
      <x:c r="S138" s="63" t="str">
        <x:v>无约束</x:v>
      </x:c>
      <x:c r="T138" s="63" t="str">
        <x:v>无</x:v>
      </x:c>
      <x:c r="U138" s="63" t="str">
        <x:v>无</x:v>
      </x:c>
      <x:c r="V138" s="63" t="str">
        <x:v>简单因果推理</x:v>
      </x:c>
    </x:row>
    <x:row r="139">
      <x:c r="A139" s="64" t="str">
        <x:v>​3109812657669292033</x:v>
      </x:c>
      <x:c r="B139" s="65" t="str">
        <x:v>基础题</x:v>
      </x:c>
      <x:c r="C139" s="65" t="str">
        <x:v>基础题</x:v>
      </x:c>
      <x:c r="D139" s="65" t="str">
        <x:v>送分题|基础题</x:v>
      </x:c>
      <x:c r="E139" s="65" t="str">
        <x:v>保留主标签；相邻双档均可</x:v>
      </x:c>
      <x:c r="F139" s="65" t="str">
        <x:v>中</x:v>
      </x:c>
      <x:c r="G139" s="65" t="str">
        <x:v>基础题</x:v>
      </x:c>
      <x:c r="H139" s="65" t="str">
        <x:v>送分题</x:v>
      </x:c>
      <x:c r="I139" s="65" t="str">
        <x:v>凹镜圆心处光线沿法线入射并原路返回，只调用一个教材原型规则，没有第二次物理决策，可判送分。</x:v>
      </x:c>
      <x:c r="J139" s="65" t="str">
        <x:v>三次运行错题并集逐题复核</x:v>
      </x:c>
      <x:c r="K139" s="63" t="str">
        <x:v>从凹镜镜面的圆心处发射的光线被凹镜反射后将（ ）</x:v>
      </x:c>
      <x:c r="L139" s="63" t="str">
        <x:v>A. 会聚在焦点处 B. 按原来的路线反射回来 C. 成为平行光 D. 反射后的光线方向难以确定</x:v>
      </x:c>
      <x:c r="M139" s="63" t="str">
        <x:v>过凹镜每一点的法线过凹镜的圆心，从凹镜镜面的圆心处发射的光线与法线重合，此时入射角等于0，反射角也等于0，则反射光线按原来的路线反射回来，故ACD不符合题意，B符合题意。故选B。</x:v>
      </x:c>
      <x:c r="N139" s="63" t="str">
        <x:v>https://k12static.xdf.cn/k12/image/externalized/ee33c281-5d06-4469-8a4d-33a59bffa9b7.png</x:v>
      </x:c>
      <x:c r="O139" s="63" t="str">
        <x:v>https://k12static.xdf.cn/k12/image/externalized/f9c70115-380a-43bb-baf2-33031e518099.png</x:v>
      </x:c>
      <x:c r="P139" s="63" t="str">
        <x:v>1-2步</x:v>
      </x:c>
      <x:c r="Q139" s="63" t="str">
        <x:v>概念判断</x:v>
      </x:c>
      <x:c r="R139" s="63" t="str">
        <x:v>单状态</x:v>
      </x:c>
      <x:c r="S139" s="63" t="str">
        <x:v>无约束</x:v>
      </x:c>
      <x:c r="T139" s="63" t="str">
        <x:v>无</x:v>
      </x:c>
      <x:c r="U139" s="63" t="str">
        <x:v>无</x:v>
      </x:c>
      <x:c r="V139" s="63" t="str">
        <x:v>简单因果推理</x:v>
      </x:c>
    </x:row>
    <x:row r="140">
      <x:c r="A140" s="64" t="str">
        <x:v>​3113572355405549568</x:v>
      </x:c>
      <x:c r="B140" s="65" t="str">
        <x:v>送分题</x:v>
      </x:c>
      <x:c r="C140" s="65" t="str">
        <x:v>送分题</x:v>
      </x:c>
      <x:c r="D140" s="65" t="str">
        <x:v>送分题|基础题</x:v>
      </x:c>
      <x:c r="E140" s="65" t="str">
        <x:v>保留主标签；相邻双档均可</x:v>
      </x:c>
      <x:c r="F140" s="65" t="str">
        <x:v>中</x:v>
      </x:c>
      <x:c r="G140" s="65" t="str">
        <x:v>基础题</x:v>
      </x:c>
      <x:c r="H140" s="65" t="str">
        <x:v>送分题</x:v>
      </x:c>
      <x:c r="I140" s="65" t="str">
        <x:v>只需识别一个熟悉教材模板，没有第二次物理决策。 题目证据：最长连续链仅1个有效物理决策，五维中知识量为单一基础知识点，单对象单状态，无运算，情境为教材原型，思维层次为直接识别。任务为直接套用凹透镜特殊光线折射规则作图，无复杂建模或连续推理。</x:v>
      </x:c>
      <x:c r="J140" s="65" t="str">
        <x:v>三次运行错题并集逐题复核</x:v>
      </x:c>
      <x:c r="K140" s="63" t="str">
        <x:v>在图中，根据给出的入射光线画出折射光线。</x:v>
      </x:c>
      <x:c r="L140" s="63" t="str"/>
      <x:c r="M140" s="63" t="str">
        <x:v>平行于主光轴的光线经凹透镜折射后，其折射光线的反向延长线过焦点，过光心的光线经凹透镜折射后传播方向不改变，如图所示：</x:v>
      </x:c>
      <x:c r="N140" s="63" t="str">
        <x:v>https://k12static.xdf.cn/k12/image/externalized/2a9e6bf0-5ec8-4f6c-8a27-339b7d1da4c8.png</x:v>
      </x:c>
      <x:c r="O140" s="63" t="str">
        <x:v>https://k12static.xdf.cn/k12/image/externalized/4ee6bad1-1935-4301-99b1-49a09be9cbe8.png</x:v>
      </x:c>
      <x:c r="P140" s="63" t="str">
        <x:v>1-2步</x:v>
      </x:c>
      <x:c r="Q140" s="63" t="str">
        <x:v>光学声学综合</x:v>
      </x:c>
      <x:c r="R140" s="63" t="str">
        <x:v>单状态</x:v>
      </x:c>
      <x:c r="S140" s="63" t="str">
        <x:v>无约束</x:v>
      </x:c>
      <x:c r="T140" s="63" t="str">
        <x:v>无</x:v>
      </x:c>
      <x:c r="U140" s="63" t="str">
        <x:v>无</x:v>
      </x:c>
      <x:c r="V140" s="63" t="str">
        <x:v>直接套用</x:v>
      </x:c>
    </x:row>
    <x:row r="141">
      <x:c r="A141" s="64" t="str">
        <x:v>​3137118938395119616</x:v>
      </x:c>
      <x:c r="B141" s="65" t="str">
        <x:v>基础题</x:v>
      </x:c>
      <x:c r="C141" s="65" t="str">
        <x:v>基础题</x:v>
      </x:c>
      <x:c r="D141" s="65" t="str">
        <x:v>送分题|基础题</x:v>
      </x:c>
      <x:c r="E141" s="65" t="str">
        <x:v>保留主标签；相邻双档均可</x:v>
      </x:c>
      <x:c r="F141" s="65" t="str">
        <x:v>中</x:v>
      </x:c>
      <x:c r="G141" s="65" t="str">
        <x:v>中等题</x:v>
      </x:c>
      <x:c r="H141" s="65" t="str">
        <x:v>基础题</x:v>
      </x:c>
      <x:c r="I141" s="65" t="str">
        <x:v>最高难任务属于教材概念与常规物理关系中的1—2步直接应用、规范操作或简单因果判断。需要理解/应用而非纯识记，但没有共享中间结论、完整连续过程或隐含转换。</x:v>
      </x:c>
      <x:c r="J141" s="65" t="str">
        <x:v>三次运行错题并集逐题复核</x:v>
      </x:c>
      <x:c r="K141" s="63" t="str">
        <x:v>中医是中国古代科学的瑰宝．图甲“艾灸”时，闻到艾草药香是因为分子在 ；图乙“针灸”的针头做得尖是为了增大 ；图丙“拔火罐”时，玻璃罐能“吸附”在皮肤上是 的作用；图丁“刮痧”时，皮肤温度升高是通过 方式改变物体内能。 " style="width:100%;margin-top:5px"&gt;</x:v>
      </x:c>
      <x:c r="L141" s="63" t="str"/>
      <x:c r="M141" s="63" t="str">
        <x:v>[1]闻到艾草药香是扩散现象，说明构成物质的分子永不停息的无规则运动。[2]针头做得尖是通过减小受力面积来增大压强。[3]玻璃罐能“吸附”在皮肤上是现将瓶内的气体排出，瓶内气压变小，在外界大气压的作用下将玻璃罐压在皮肤上。[4]“刮痧”时，克服摩擦做功，将机械能转化为内能，是通过做功的方式改变物体的内能。</x:v>
      </x:c>
      <x:c r="N141" s="63" t="str">
        <x:v>https://k12static.xdf.cn/k12/image/externalized/3d1c729e-16b3-4838-93e0-d4fb472fe43a.png</x:v>
      </x:c>
      <x:c r="O141" s="63" t="str">
        <x:v>https://k12static.xdf.cn/k12/image/externalized/035d190a-7b73-4591-b5f3-c92167ee4b88.png</x:v>
      </x:c>
      <x:c r="P141" s="63" t="str">
        <x:v>1-2步</x:v>
      </x:c>
      <x:c r="Q141" s="63" t="str">
        <x:v>概念判断</x:v>
      </x:c>
      <x:c r="R141" s="63" t="str">
        <x:v>单状态</x:v>
      </x:c>
      <x:c r="S141" s="63" t="str">
        <x:v>无约束</x:v>
      </x:c>
      <x:c r="T141" s="63" t="str">
        <x:v>无</x:v>
      </x:c>
      <x:c r="U141" s="63" t="str">
        <x:v>无</x:v>
      </x:c>
      <x:c r="V141" s="63" t="str">
        <x:v>直接套用</x:v>
      </x:c>
    </x:row>
    <x:row r="142">
      <x:c r="A142" s="64" t="str">
        <x:v>​3157012283682734080</x:v>
      </x:c>
      <x:c r="B142" s="65" t="str">
        <x:v>拔高题</x:v>
      </x:c>
      <x:c r="C142" s="65" t="str">
        <x:v>拔高题</x:v>
      </x:c>
      <x:c r="D142" s="65" t="str">
        <x:v>中等题|拔高题</x:v>
      </x:c>
      <x:c r="E142" s="65" t="str">
        <x:v>保留主标签；相邻双档均可</x:v>
      </x:c>
      <x:c r="F142" s="65" t="str">
        <x:v>中</x:v>
      </x:c>
      <x:c r="G142" s="65" t="str">
        <x:v>中等题</x:v>
      </x:c>
      <x:c r="H142" s="65" t="str">
        <x:v>基础题</x:v>
      </x:c>
      <x:c r="I142" s="65" t="str">
        <x:v>需要围绕标准实验流程、读数与数据归纳完成常规的3—4个有效决策，或完成一套完整标准实验/共享过程分析。关系仍显性、方法常规，没有决定性隐含转换、复杂边界筛选或多状态强耦合。</x:v>
      </x:c>
      <x:c r="J142" s="65" t="str">
        <x:v>三次运行错题并集逐题复核</x:v>
      </x:c>
      <x:c r="K142" s="63" t="str">
        <x:v>在研究同一直线上二力合成的实验中，用弹簧测力计和相同的弹簧分别进行了4组实验。如图所示，$\Delta L$表示每组分别两次实验中弹簧的伸长量。其中力$F$可以作为$F_{1}$、$F_{2}$合力的是（ ）①$\Delta L$相同②$\Delta L$相同③$\Delta L$不同④$\Delta L$不同</x:v>
      </x:c>
      <x:c r="L142" s="63" t="str">
        <x:v>A. 只有①可以 B. 只有①②可以 C. 只有①③可以 D. ①②③都可以</x:v>
      </x:c>
      <x:c r="M142" s="63" t="str">
        <x:v>①$\Delta L$相同，则F单独作用产生的伸长量与$F_{1}$、$F_{2}$共同作用时相同，表明力的作用效果相同，因此，F可以作为$F_{1}$、$F_{2}$的合力；②同样，$\Delta L$相同，表明力的作用效果相同，F可以作为合力；③$\Delta L$不同，表示F单独作用的效果与$F_{1}$、$F_{2}$共同作用不同。因此，F不能作为合力；力；④$\Delta L$不同，同样表示力的作用效果不等效，F不能作为合力；综上所述力$F$可以作为$F_{1}$、$F_{2}$合力的只有①②可以，故B符合题意，ACD不符合题意。故选B。</x:v>
      </x:c>
      <x:c r="N142" s="63" t="str">
        <x:v>https://k12static.xdf.cn/k12/image/externalized/128f3772-bd0a-419a-8ec0-26c16b005a12.png</x:v>
      </x:c>
      <x:c r="O142" s="63" t="str">
        <x:v>https://k12static.xdf.cn/k12/image/externalized/31ce2ee4-88c2-407b-9036-0b2fc2110199.png</x:v>
      </x:c>
      <x:c r="P142" s="63" t="str">
        <x:v>1-2步</x:v>
      </x:c>
      <x:c r="Q142" s="63" t="str">
        <x:v>概念判断</x:v>
      </x:c>
      <x:c r="R142" s="63" t="str">
        <x:v>单状态</x:v>
      </x:c>
      <x:c r="S142" s="63" t="str">
        <x:v>无约束</x:v>
      </x:c>
      <x:c r="T142" s="63" t="str">
        <x:v>控制变量或故障分析</x:v>
      </x:c>
      <x:c r="U142" s="63" t="str">
        <x:v>无</x:v>
      </x:c>
      <x:c r="V142" s="63" t="str">
        <x:v>简单因果推理</x:v>
      </x:c>
    </x:row>
    <x:row r="143">
      <x:c r="A143" s="64" t="str">
        <x:v>​3280538152034914304</x:v>
      </x:c>
      <x:c r="B143" s="65" t="str">
        <x:v>基础题</x:v>
      </x:c>
      <x:c r="C143" s="65" t="str">
        <x:v>基础题</x:v>
      </x:c>
      <x:c r="D143" s="65" t="str">
        <x:v>送分题|基础题</x:v>
      </x:c>
      <x:c r="E143" s="65" t="str">
        <x:v>保留主标签；相邻双档均可</x:v>
      </x:c>
      <x:c r="F143" s="65" t="str">
        <x:v>中</x:v>
      </x:c>
      <x:c r="G143" s="65" t="str">
        <x:v>中等题</x:v>
      </x:c>
      <x:c r="H143" s="65" t="str">
        <x:v>基础题</x:v>
      </x:c>
      <x:c r="I143" s="65" t="str">
        <x:v>最高难任务为1—2步显性应用、规范操作或简单因果，没有连续模型转换。 题目证据：最高难小问实际有效推理不超过1-2步，五维锚定结果：知识量为多个独立基础概念，过程/对象均为单状态静态识别，无需数学计算，情境为常见生活产品不增负担，思维层次为直接识别加简单应用。各小问彼此独立，均为单个知识点直接检索或简单因果映射，无连续综合任务。</x:v>
      </x:c>
      <x:c r="J143" s="65" t="str">
        <x:v>三次运行错题并集逐题复核</x:v>
      </x:c>
      <x:c r="K143" s="63" t="str">
        <x:v>如图甲所示，是一款多孔智能插排。连接上网络时，插排的指示灯发光，通过手机能远程控制插座上所接入用电器的通电情况，但无论是否连接上网络，USB接口都可以正常工作。 （1）将台灯连入插排的插座上使用时，台灯和USB接口的连接方式是 。如果再接入一台电脑，电路的总电流大小会 。 （2）在插排南部的电路板上安有多个如图乙所示的电路元件，该电路元件的名称是 。该元件能用来调节电路中的电流，电流的国际基本单位是 （填写中文名称）。 （3）以上分析利用了《了解电路》单元中的相关内容，请将该单元思维导图丙中①、②缺失的内容依次写在指定位置① 、② 。 （4）若插排中某连接处断开，维修时可以用电烙铁焊接断点，如图丁所示。焊接时，先用电烙铁接触固态的焊锡，电烙铁的温度应 （选填“高于”“等于”或“低于”）固态焊锡的熔点，使焊锡 （填物态变化名称）变成液态，然后再把获得的液态焊锡液滴放至焊点处，等到冷却后电路的两个金属接头就牢牢地连接在一起了。</x:v>
      </x:c>
      <x:c r="L143" s="63" t="str"/>
      <x:c r="M143" s="63" t="str">
        <x:v>解：（1）将台灯连入插排的插座上使用时，台灯和USB接口的连接方式是并联。如果再接入一台电脑，因为并联电路的总电流等于各支路电流之和，故电路的总电流大小会变大。 （2）在插排南部的电路板上安有多个如图乙所示的电路元件，该电路元件的名称是电阻。该元件能用来调节电路中的电流，电流的国际基本单位是安培。 （3）以上分析利用了《了解电路》单元中的相关内容，该单元思维导图丙中①、②缺失的内容依次写在指定位置为：①电源、②电压。 （4）若插排中某连接处断开，维修时可以用电烙铁焊接断点，如图丁所示。焊接时，先用电烙铁接触固态的焊锡，电烙铁的温度应高于（便与热传递）固态焊锡的熔点，使焊锡熔化（从固态变成液态）变成液态，然后再把获得的液态焊锡液滴放至焊点处，等到冷却后电路的两个金属接头就牢牢地连接在一起了。 故答案为：（1）并联；变大；（2）电阻；安培；（3）①电源；②电压；（4）高于；熔化。</x:v>
      </x:c>
      <x:c r="N143" s="63" t="str">
        <x:v>https://k12static.xdf.cn/k12/image/externalized/369ef3dc-31c7-4d09-b4e3-2e991b3cc11f.png</x:v>
      </x:c>
      <x:c r="O143" s="63" t="str">
        <x:v>https://k12static.xdf.cn/k12/image/externalized/ae081146-9672-474f-9bc9-c6221f9b8f8d.png</x:v>
      </x:c>
      <x:c r="P143" s="63" t="str">
        <x:v>1-2步</x:v>
      </x:c>
      <x:c r="Q143" s="63" t="str">
        <x:v>概念判断</x:v>
      </x:c>
      <x:c r="R143" s="63" t="str">
        <x:v>单状态</x:v>
      </x:c>
      <x:c r="S143" s="63" t="str">
        <x:v>无约束</x:v>
      </x:c>
      <x:c r="T143" s="63" t="str">
        <x:v>无</x:v>
      </x:c>
      <x:c r="U143" s="63" t="str">
        <x:v>无</x:v>
      </x:c>
      <x:c r="V143" s="63" t="str">
        <x:v>直接套用</x:v>
      </x:c>
    </x:row>
    <x:row r="144">
      <x:c r="A144" s="64" t="str">
        <x:v>​3417933977256566784</x:v>
      </x:c>
      <x:c r="B144" s="65" t="str">
        <x:v>送分题</x:v>
      </x:c>
      <x:c r="C144" s="65" t="str">
        <x:v>送分题</x:v>
      </x:c>
      <x:c r="D144" s="65" t="str">
        <x:v>送分题|基础题</x:v>
      </x:c>
      <x:c r="E144" s="65" t="str">
        <x:v>保留主标签；相邻双档均可</x:v>
      </x:c>
      <x:c r="F144" s="65" t="str">
        <x:v>中</x:v>
      </x:c>
      <x:c r="G144" s="65" t="str">
        <x:v>送分题</x:v>
      </x:c>
      <x:c r="H144" s="65" t="str">
        <x:v>基础题</x:v>
      </x:c>
      <x:c r="I144" s="65" t="str">
        <x:v>多个空/选项彼此独立，不形成连续链；最高难任务属于标准实验流程、读数与数据归纳中的1—2步直接应用、规范操作或简单因果判断。需要理解/应用而非纯识记，但没有共享中间结论、完整连续过程或隐含转换。</x:v>
      </x:c>
      <x:c r="J144" s="65" t="str">
        <x:v>三次运行错题并集逐题复核</x:v>
      </x:c>
      <x:c r="K144" s="63" t="str">
        <x:v>在科学发展的历程中，许多学者、科学家做出了杰出的贡献，下列叙述正确的是（ ）①沈括最早记述了“地理的两极和地磁两极不重合”的现象；②焦耳最先精确地确定了电流产生的热量与电流、电压、通电时间之间的关系，我们据此可以解释使用大功率电器时导线发热的原因；③奥斯特首先发现了电磁感应现象；④伽利略通过实验分析得出，物体的运动不需要力来维持；⑤牛顿发现了万有引力定律，才有了今天的通信卫星；⑥托里拆利通过实验测出了大气压强的数值，大气压的数值总是等于$1.013\times 10^{5}$Pa。</x:v>
      </x:c>
      <x:c r="L144" s="63" t="str">
        <x:v>A. 只有①、②、⑤正确 B. 只有①、④、⑤正确 C. 只有②、③、⑥正确 D. 只有①、③、④正确</x:v>
      </x:c>
      <x:c r="M144" s="63" t="str">
        <x:v>①沈括在《梦溪笔谈》中最早记述了磁偏角现象，即地理的两极和地磁两极不重合，故①正确；②焦耳最先精确地确定了电流产生的热量与电流、电阻、通电时间之间的关系，即焦耳定律$Q=I^{2}Rt$，而非与电压的关系，故②错误；③奥斯特首先发现了电流的磁效应，即通电导体周围存在磁场；电磁感应现象是法拉第首先发现的，故③错误；④伽利略通过理想斜面实验分析得出，物体的运动不需要力来维持，力是改变物体运动状态的原因，故④正确；⑤牛顿发现了万有引力定律，人们根据万有引力定律可以计算天体的运动轨道等，为通信卫星等航天器的轨道设计等提供了理论基础，才有了今天的通信卫星，故⑤正确；⑥托里拆利通过实验测出了大气压强的数值，标准大气压的数值约为$1.013\times 10^{5}\mathrm{Pa}$，但大气压会随高度、天气等因素变化，不是总是等于$1.013\times 10^{5}\mathrm{Pa}$，故⑥错误。综上所述，只有①、④、⑤正确，故B符合题意，ACD不符合题意。故选B。</x:v>
      </x:c>
      <x:c r="N144" s="63" t="str">
        <x:v>https://k12static.xdf.cn/k12/image/externalized/88dd7e1f-9071-4633-b87d-c38c1b1bdb13.png</x:v>
      </x:c>
      <x:c r="O144" s="63" t="str">
        <x:v>https://k12static.xdf.cn/k12/image/externalized/d79c4384-ac85-4655-913a-7cab5d292871.png</x:v>
      </x:c>
      <x:c r="P144" s="63" t="str">
        <x:v>1-2步</x:v>
      </x:c>
      <x:c r="Q144" s="63" t="str">
        <x:v>概念判断</x:v>
      </x:c>
      <x:c r="R144" s="63" t="str">
        <x:v>单状态</x:v>
      </x:c>
      <x:c r="S144" s="63" t="str">
        <x:v>无约束</x:v>
      </x:c>
      <x:c r="T144" s="63" t="str">
        <x:v>无</x:v>
      </x:c>
      <x:c r="U144" s="63" t="str">
        <x:v>无</x:v>
      </x:c>
      <x:c r="V144" s="63" t="str">
        <x:v>直接套用</x:v>
      </x:c>
    </x:row>
    <x:row r="145">
      <x:c r="A145" s="64" t="str">
        <x:v>​3500965504629080064</x:v>
      </x:c>
      <x:c r="B145" s="65" t="str">
        <x:v>送分题</x:v>
      </x:c>
      <x:c r="C145" s="65" t="str">
        <x:v>送分题</x:v>
      </x:c>
      <x:c r="D145" s="65" t="str">
        <x:v>送分题|基础题</x:v>
      </x:c>
      <x:c r="E145" s="65" t="str">
        <x:v>保留主标签；相邻双档均可</x:v>
      </x:c>
      <x:c r="F145" s="65" t="str">
        <x:v>中</x:v>
      </x:c>
      <x:c r="G145" s="65" t="str">
        <x:v>送分题</x:v>
      </x:c>
      <x:c r="H145" s="65" t="str">
        <x:v>基础题</x:v>
      </x:c>
      <x:c r="I145" s="65" t="str">
        <x:v>只需识别一个熟悉教材模板，没有第二次物理决策。 题目证据：最长连续链仅1步有效判断，每个选项均为电磁波基础概念的直接检索，五维锚定送分档，属于单一章节内电磁波基础概念的直接检索束，无连续推理、模型转换或公式变形。</x:v>
      </x:c>
      <x:c r="J145" s="65" t="str">
        <x:v>三次运行错题并集逐题复核</x:v>
      </x:c>
      <x:c r="K145" s="63" t="str">
        <x:v>关于电磁波，下列说法正确的是（ ）</x:v>
      </x:c>
      <x:c r="L145" s="63" t="str">
        <x:v>A. 电磁波在真空中的传播速度是340m/s B. 电磁波的频率越高，波长越长 C. 光不是电磁波 D. 无线电波、红外线、紫外线都是电磁波</x:v>
      </x:c>
      <x:c r="M145" s="63" t="str">
        <x:v>A．电磁波在真空中的传播速度为$3\times 10^{8}\mathrm{m}/\mathrm{s}$，故A错误。B．电磁波的波速$c$为定值，满足公式$c=\lambda f$，频率$f$越高，波长$\lambda$越短，故B错误。C．光属于电磁波，故C错误D．无线电波、红外线、紫外线都属于电磁波，故D正确。故选D 。</x:v>
      </x:c>
      <x:c r="N145" s="63" t="str">
        <x:v>https://k12static.xdf.cn/k12/image/externalized/625c99ab-6176-4fec-9217-23cac968e747.png</x:v>
      </x:c>
      <x:c r="O145" s="63" t="str">
        <x:v>https://k12static.xdf.cn/k12/image/externalized/90fb7be7-8e8d-4290-a21c-cb68f0cb6775.png</x:v>
      </x:c>
      <x:c r="P145" s="63" t="str">
        <x:v>1-2步</x:v>
      </x:c>
      <x:c r="Q145" s="63" t="str">
        <x:v>概念判断</x:v>
      </x:c>
      <x:c r="R145" s="63" t="str">
        <x:v>单状态</x:v>
      </x:c>
      <x:c r="S145" s="63" t="str">
        <x:v>无约束</x:v>
      </x:c>
      <x:c r="T145" s="63" t="str">
        <x:v>无</x:v>
      </x:c>
      <x:c r="U145" s="63" t="str">
        <x:v>无</x:v>
      </x:c>
      <x:c r="V145" s="63" t="str">
        <x:v>简单因果推理</x:v>
      </x:c>
    </x:row>
    <x:row r="146">
      <x:c r="A146" s="64" t="str">
        <x:v>​3650594412187418624</x:v>
      </x:c>
      <x:c r="B146" s="65" t="str">
        <x:v>拔高题</x:v>
      </x:c>
      <x:c r="C146" s="65" t="str">
        <x:v>拔高题</x:v>
      </x:c>
      <x:c r="D146" s="65" t="str">
        <x:v>中等题|拔高题</x:v>
      </x:c>
      <x:c r="E146" s="65" t="str">
        <x:v>保留主标签；相邻双档均可</x:v>
      </x:c>
      <x:c r="F146" s="65" t="str">
        <x:v>中</x:v>
      </x:c>
      <x:c r="G146" s="65" t="str">
        <x:v>中等题</x:v>
      </x:c>
      <x:c r="H146" s="65" t="str">
        <x:v>拔高题</x:v>
      </x:c>
      <x:c r="I146" s="65" t="str">
        <x:v>最高难任务在标准实验流程、读数与数据归纳中包含图线反推、状态转换、误差评价、几何/等效转换、方程联立或参数反求等决定性卡点，整体约5—6个有效决策；尚未形成压轴所需的完整复杂约束网络。</x:v>
      </x:c>
      <x:c r="J146" s="65" t="str">
        <x:v>三次运行错题并集逐题复核</x:v>
      </x:c>
      <x:c r="K146" s="63" t="str">
        <x:v>实践活动中，某小组进行了测量海螺壳密度的实验。 过程·方法交流·评估</x:v>
      </x:c>
      <x:c r="L146" s="63" t="str"/>
      <x:c r="M146" s="63" t="str"/>
      <x:c r="N146" s="63" t="str">
        <x:v>https://k12static.xdf.cn/k12/image/externalized/1e6e57ec-898a-43f6-b2b0-a9507d3e92f2.png</x:v>
      </x:c>
      <x:c r="O146" s="63" t="str">
        <x:v>https://k12static.xdf.cn/k12/image/externalized/c5d10e73-2bf9-4543-873f-bd9f90e3e44e.png</x:v>
      </x:c>
      <x:c r="P146" s="63" t="str">
        <x:v>3-5步</x:v>
      </x:c>
      <x:c r="Q146" s="63" t="str">
        <x:v>实验探究</x:v>
      </x:c>
      <x:c r="R146" s="63" t="str">
        <x:v>单状态</x:v>
      </x:c>
      <x:c r="S146" s="63" t="str">
        <x:v>单一约束</x:v>
      </x:c>
      <x:c r="T146" s="63" t="str">
        <x:v>方案设计或误差评价</x:v>
      </x:c>
      <x:c r="U146" s="63" t="str">
        <x:v>无</x:v>
      </x:c>
      <x:c r="V146" s="63" t="str">
        <x:v>多层因果推理</x:v>
      </x:c>
    </x:row>
    <x:row r="147">
      <x:c r="A147" s="64" t="str">
        <x:v>​3659087277290700800</x:v>
      </x:c>
      <x:c r="B147" s="65" t="str">
        <x:v>中等题</x:v>
      </x:c>
      <x:c r="C147" s="65" t="str">
        <x:v>中等题</x:v>
      </x:c>
      <x:c r="D147" s="65" t="str">
        <x:v>基础题|中等题</x:v>
      </x:c>
      <x:c r="E147" s="65" t="str">
        <x:v>保留主标签；相邻双档均可</x:v>
      </x:c>
      <x:c r="F147" s="65" t="str">
        <x:v>中</x:v>
      </x:c>
      <x:c r="G147" s="65" t="str">
        <x:v>中等题</x:v>
      </x:c>
      <x:c r="H147" s="65" t="str">
        <x:v>基础题</x:v>
      </x:c>
      <x:c r="I147" s="65" t="str">
        <x:v>存在约3—4步常规连续分析、共享过程或完整标准实验任务，关系仍显性。 题目证据：最长连续链实际有3个有效物理决策：先区分有用功和总功的对应对象与做功，再分别代入功的公式计算，最后代入机械效率公式求解。五维锚定：知识量为同模块2个关联知识点，过程为单状态常规机械效率模型，数学工具为多步简单笔算，情境为常见健身器械不额外增难，思维层次为常规应用分析。</x:v>
      </x:c>
      <x:c r="J147" s="65" t="str">
        <x:v>三次运行错题并集逐题复核</x:v>
      </x:c>
      <x:c r="K147" s="63" t="str">
        <x:v>如图所示的健身器械，横梁的A点上连接300N的配重，小闽在横梁B点施加竖直向下、大小为200N的力，使B点高度下降0.5m,配重竖直向上提升0.3m,此过程小闽做的有用功为 J，器械的机械效率为 。</x:v>
      </x:c>
      <x:c r="L147" s="63" t="str"/>
      <x:c r="M147" s="63" t="str">
        <x:v>解：提升物体做的有用功为W有用=Gh=300N×0.3m=90J； 总功W总=Fs=200N×0.5m=100J； 机械效率η=$\frac{{W}_{有用}}{{W}_{总}}$=$\frac{90J}{100J}$×100%=90%。 故答案为：90；90%。</x:v>
      </x:c>
      <x:c r="N147" s="63" t="str">
        <x:v>https://k12static.xdf.cn/k12/image/externalized/ccb5ee64-a714-4c56-91f3-4fea5e07effa.png</x:v>
      </x:c>
      <x:c r="O147" s="63" t="str">
        <x:v>https://k12static.xdf.cn/k12/image/externalized/764cd9e8-22be-439f-bb9a-00c9791573f7.png</x:v>
      </x:c>
      <x:c r="P147" s="63" t="str">
        <x:v>3-5步</x:v>
      </x:c>
      <x:c r="Q147" s="63" t="str">
        <x:v>力学综合</x:v>
      </x:c>
      <x:c r="R147" s="63" t="str">
        <x:v>单状态</x:v>
      </x:c>
      <x:c r="S147" s="63" t="str">
        <x:v>无约束</x:v>
      </x:c>
      <x:c r="T147" s="63" t="str">
        <x:v>无</x:v>
      </x:c>
      <x:c r="U147" s="63" t="str">
        <x:v>无</x:v>
      </x:c>
      <x:c r="V147" s="63" t="str">
        <x:v>多层因果推理</x:v>
      </x:c>
    </x:row>
    <x:row r="148">
      <x:c r="A148" s="64" t="str">
        <x:v>​3659088702582308864</x:v>
      </x:c>
      <x:c r="B148" s="65" t="str">
        <x:v>中等题</x:v>
      </x:c>
      <x:c r="C148" s="65" t="str">
        <x:v>中等题</x:v>
      </x:c>
      <x:c r="D148" s="65" t="str">
        <x:v>中等题|拔高题</x:v>
      </x:c>
      <x:c r="E148" s="65" t="str">
        <x:v>保留主标签；相邻双档均可</x:v>
      </x:c>
      <x:c r="F148" s="65" t="str">
        <x:v>中</x:v>
      </x:c>
      <x:c r="G148" s="65" t="str">
        <x:v>拔高题</x:v>
      </x:c>
      <x:c r="H148" s="65" t="str">
        <x:v>中等题</x:v>
      </x:c>
      <x:c r="I148" s="65" t="str">
        <x:v>最高难任务在光路、成像条件与几何关系中包含图线反推、状态转换、误差评价、几何/等效转换、方程联立或参数反求等决定性卡点，整体约5—6个有效决策；尚未形成压轴所需的完整复杂约束网络。</x:v>
      </x:c>
      <x:c r="J148" s="65" t="str">
        <x:v>三次运行错题并集逐题复核</x:v>
      </x:c>
      <x:c r="K148" s="63" t="str">
        <x:v>北京天坛是著名的声学建筑奇观，天坛回音壁是一堵圆形高墙，在其内部，东西配殿对称分布在黄穹宇中轴线的两侧，三音石位于回音壁的圆心位置，图甲为其俯视图。当人在三音石中心P点处击掌，可以听到三个或更多清晰的回声，故名“三音石”。 某研究团队在一安静时段，于P点处击掌，通过仪器记录P点处接收到的声音信息，如图乙所示。请回答下列问题：</x:v>
      </x:c>
      <x:c r="L148" s="63" t="str"/>
      <x:c r="M148" s="63" t="str"/>
      <x:c r="N148" s="63" t="str">
        <x:v>https://k12static.xdf.cn/k12/image/externalized/da39883d-b66f-4889-b90d-e63ac6437ff6.png</x:v>
      </x:c>
      <x:c r="O148" s="63" t="str">
        <x:v>https://k12static.xdf.cn/k12/image/externalized/07d9dc14-fd8e-4b04-b789-ca964d481446.png</x:v>
      </x:c>
      <x:c r="P148" s="63" t="str">
        <x:v>1-2步</x:v>
      </x:c>
      <x:c r="Q148" s="63" t="str">
        <x:v>光学声学综合</x:v>
      </x:c>
      <x:c r="R148" s="63" t="str">
        <x:v>单状态</x:v>
      </x:c>
      <x:c r="S148" s="63" t="str">
        <x:v>无约束</x:v>
      </x:c>
      <x:c r="T148" s="63" t="str">
        <x:v>无</x:v>
      </x:c>
      <x:c r="U148" s="63" t="str">
        <x:v>无</x:v>
      </x:c>
      <x:c r="V148" s="63" t="str">
        <x:v>简单因果推理</x:v>
      </x:c>
    </x:row>
    <x:row r="149">
      <x:c r="A149" s="64" t="str">
        <x:v>​3661879842635517952</x:v>
      </x:c>
      <x:c r="B149" s="65" t="str">
        <x:v>送分题</x:v>
      </x:c>
      <x:c r="C149" s="65" t="str">
        <x:v>送分题</x:v>
      </x:c>
      <x:c r="D149" s="65" t="str">
        <x:v>送分题|基础题</x:v>
      </x:c>
      <x:c r="E149" s="65" t="str">
        <x:v>保留主标签；相邻双档均可</x:v>
      </x:c>
      <x:c r="F149" s="65" t="str">
        <x:v>中</x:v>
      </x:c>
      <x:c r="G149" s="65" t="str">
        <x:v>送分题</x:v>
      </x:c>
      <x:c r="H149" s="65" t="str">
        <x:v>基础题</x:v>
      </x:c>
      <x:c r="I149" s="65" t="str">
        <x:v>最高难任务属于教材概念与常规物理关系中的1—2步直接应用、规范操作或简单因果判断。需要理解/应用而非纯识记，但没有共享中间结论、完整连续过程或隐含转换。</x:v>
      </x:c>
      <x:c r="J149" s="65" t="str">
        <x:v>三次运行错题并集逐题复核</x:v>
      </x:c>
      <x:c r="K149" s="63" t="str">
        <x:v>如图所示为非物质文化遗产“茶百戏”,又称“水丹青”,是一种用清水在茶汤悬浮液的表面绘制图案的技艺。茶水烧开后,艺人关小火继续加热,锅内水沸腾的程度变小了,燃气燃烧释放的热量减少，此时燃气的热值 (选填“变大”“变小”或“不变”)。关火后绘制图案时，满屋飘香，表明分子在 。</x:v>
      </x:c>
      <x:c r="L149" s="63" t="str"/>
      <x:c r="M149" s="63" t="str">
        <x:v>热值是燃料的特性，其大小只与燃料的种类有关，与燃烧是否充分、释放热量多少无关，关小火加热时，燃气燃烧释放的热量减少，但燃气的热值不变； 绘制图案时满屋飘香是因为分子在不停地做无规则运动。</x:v>
      </x:c>
      <x:c r="N149" s="63" t="str">
        <x:v>https://k12static.xdf.cn/k12/image/externalized/8f839f4e-9834-4f70-a21b-bcfba7f578a1.png</x:v>
      </x:c>
      <x:c r="O149" s="63" t="str">
        <x:v>https://k12static.xdf.cn/k12/image/externalized/5826244a-0124-4bbd-a2c3-5e162406579e.png</x:v>
      </x:c>
      <x:c r="P149" s="63" t="str">
        <x:v>1-2步</x:v>
      </x:c>
      <x:c r="Q149" s="63" t="str">
        <x:v>概念判断</x:v>
      </x:c>
      <x:c r="R149" s="63" t="str">
        <x:v>单状态</x:v>
      </x:c>
      <x:c r="S149" s="63" t="str">
        <x:v>无约束</x:v>
      </x:c>
      <x:c r="T149" s="63" t="str">
        <x:v>无</x:v>
      </x:c>
      <x:c r="U149" s="63" t="str">
        <x:v>无</x:v>
      </x:c>
      <x:c r="V149" s="63" t="str">
        <x:v>直接套用</x:v>
      </x:c>
    </x:row>
    <x:row r="150">
      <x:c r="A150" s="64" t="str">
        <x:v>​3665218973699756032</x:v>
      </x:c>
      <x:c r="B150" s="65" t="str">
        <x:v>基础题</x:v>
      </x:c>
      <x:c r="C150" s="65" t="str">
        <x:v>基础题</x:v>
      </x:c>
      <x:c r="D150" s="65" t="str">
        <x:v>送分题|基础题</x:v>
      </x:c>
      <x:c r="E150" s="65" t="str">
        <x:v>保留主标签；相邻双档均可</x:v>
      </x:c>
      <x:c r="F150" s="65" t="str">
        <x:v>中</x:v>
      </x:c>
      <x:c r="G150" s="65" t="str">
        <x:v>基础题</x:v>
      </x:c>
      <x:c r="H150" s="65" t="str">
        <x:v>送分题</x:v>
      </x:c>
      <x:c r="I150" s="65" t="str">
        <x:v>最高难任务为1—2步显性应用、规范操作或简单因果，没有连续模型转换。 题目证据：最长连续链为1个有效物理决策，五维锚定结果为基础档。核心任务是直接调用流体压强与流速的关系，将给定的流速大小关系对应到压强大小关系，模型完全显性，无多过程或多约束分析。</x:v>
      </x:c>
      <x:c r="J150" s="65" t="str">
        <x:v>三次运行错题并集逐题复核</x:v>
      </x:c>
      <x:c r="K150" s="63" t="str">
        <x:v>如图是某新型电吹风的风路示意图，空气被吸进内部风道，由出气口高速喷出。图中各点风速大小满足$v_{a}&gt; v_{b}&gt; v_{c}&gt; v_{d}$，其中气体压强最大的是（ ）</x:v>
      </x:c>
      <x:c r="L150" s="63" t="str">
        <x:v>A. a点 B. b点 C. c点 D. d点</x:v>
      </x:c>
      <x:c r="M150" s="63" t="str">
        <x:v>在流体中，流速越小的位置，压强越大；流速越大的位置，压强越小；图中各点风速大小满足$v_{a}&gt; v_{b}&gt; v_{c}&gt; v_{d}$，即d点流速最小，因此压强最大，故选D。</x:v>
      </x:c>
      <x:c r="N150" s="63" t="str">
        <x:v>https://k12static.xdf.cn/k12/image/externalized/d60f1afd-0fd6-4063-a795-1638b1b70b4e.png</x:v>
      </x:c>
      <x:c r="O150" s="63" t="str">
        <x:v>https://k12static.xdf.cn/k12/image/externalized/3e129b0b-ebf5-4e14-8b31-7e54d40cc612.png</x:v>
      </x:c>
      <x:c r="P150" s="63" t="str">
        <x:v>1-2步</x:v>
      </x:c>
      <x:c r="Q150" s="63" t="str">
        <x:v>概念判断</x:v>
      </x:c>
      <x:c r="R150" s="63" t="str">
        <x:v>单状态</x:v>
      </x:c>
      <x:c r="S150" s="63" t="str">
        <x:v>无约束</x:v>
      </x:c>
      <x:c r="T150" s="63" t="str">
        <x:v>无</x:v>
      </x:c>
      <x:c r="U150" s="63" t="str">
        <x:v>无</x:v>
      </x:c>
      <x:c r="V150" s="63" t="str">
        <x:v>简单因果推理</x:v>
      </x:c>
    </x:row>
    <x:row r="151">
      <x:c r="A151" s="64" t="str">
        <x:v>​3665219145129349120</x:v>
      </x:c>
      <x:c r="B151" s="65" t="str">
        <x:v>中等题</x:v>
      </x:c>
      <x:c r="C151" s="65" t="str">
        <x:v>中等题</x:v>
      </x:c>
      <x:c r="D151" s="65" t="str">
        <x:v>中等题|拔高题</x:v>
      </x:c>
      <x:c r="E151" s="65" t="str">
        <x:v>保留主标签；相邻双档均可</x:v>
      </x:c>
      <x:c r="F151" s="65" t="str">
        <x:v>中</x:v>
      </x:c>
      <x:c r="G151" s="65" t="str">
        <x:v>中等题</x:v>
      </x:c>
      <x:c r="H151" s="65" t="str">
        <x:v>拔高题</x:v>
      </x:c>
      <x:c r="I151" s="65" t="str">
        <x:v>最高问通过三次称量和体积变化分别推导二氧化碳与空气密度表达式，需识别排开空气质量这一隐含关系，属于实验设计与等效反推的拔高任务。</x:v>
      </x:c>
      <x:c r="J151" s="65" t="str">
        <x:v>三次运行错题并集逐题复核</x:v>
      </x:c>
      <x:c r="K151" s="63" t="str">
        <x:v>冷链物流公司常用干冰（固态二氧化碳）保存冷冻食品，某同学利用干冰开展了以下研究。</x:v>
      </x:c>
      <x:c r="L151" s="63" t="str"/>
      <x:c r="M151" s="63" t="str"/>
      <x:c r="N151" s="63" t="str">
        <x:v>https://k12static.xdf.cn/k12/image/externalized/e2012dfc-bfc2-46b9-a6d6-93e12fbb7070.png</x:v>
      </x:c>
      <x:c r="O151" s="63" t="str">
        <x:v>https://k12static.xdf.cn/k12/image/externalized/daa9cfc3-559b-4989-b077-fb4a79c4807d.png</x:v>
      </x:c>
      <x:c r="P151" s="63" t="str">
        <x:v>3-5步</x:v>
      </x:c>
      <x:c r="Q151" s="63" t="str">
        <x:v>实验探究</x:v>
      </x:c>
      <x:c r="R151" s="63" t="str">
        <x:v>单状态</x:v>
      </x:c>
      <x:c r="S151" s="63" t="str">
        <x:v>单一约束</x:v>
      </x:c>
      <x:c r="T151" s="63" t="str">
        <x:v>无</x:v>
      </x:c>
      <x:c r="U151" s="63" t="str">
        <x:v>直接读数</x:v>
      </x:c>
      <x:c r="V151" s="63" t="str">
        <x:v>多层因果推理</x:v>
      </x:c>
    </x:row>
    <x:row r="152">
      <x:c r="A152" s="64" t="str">
        <x:v>​3672832361842675712</x:v>
      </x:c>
      <x:c r="B152" s="65" t="str">
        <x:v>中等题</x:v>
      </x:c>
      <x:c r="C152" s="65" t="str">
        <x:v>中等题</x:v>
      </x:c>
      <x:c r="D152" s="65" t="str">
        <x:v>中等题|拔高题</x:v>
      </x:c>
      <x:c r="E152" s="65" t="str">
        <x:v>保留主标签；相邻双档均可</x:v>
      </x:c>
      <x:c r="F152" s="65" t="str">
        <x:v>中</x:v>
      </x:c>
      <x:c r="G152" s="65" t="str">
        <x:v>中等题</x:v>
      </x:c>
      <x:c r="H152" s="65" t="str">
        <x:v>中等题</x:v>
      </x:c>
      <x:c r="I152" s="65" t="str">
        <x:v>存在约3—4步常规连续分析、共享过程或完整标准实验任务，关系仍显性。 题目证据：最高难小问（第三问）实际有效物理决策约3步，五维锚定在基础/中等区间；整题多问层层递进，前两问为基础计算，第三问涉及浸入深度、重力变化与警戒水位的关联分析，无决定性转换或全链耦合。任务台账：1. 研究对象B，调用结论F压=F浮-GB；2. 分析B高度变化引起的重力、所需浮力、浸入深度的变化关系；3. 比较高度增加量与浸入深度增加量的大小，得出警戒水位变化结论。</x:v>
      </x:c>
      <x:c r="J152" s="65" t="str">
        <x:v>三次运行错题并集逐题复核</x:v>
      </x:c>
      <x:c r="K152" s="63" t="str">
        <x:v>科创小组设计了水库自动泄洪控制装置，其简易模型如图所示：$\mathrm{A}$为压力传感器，$\mathrm{B}$为密度小于水且不吸水的实心均匀圆柱体，并可在管径稍大的竖直管道内自由地上下移动，其质量为2.5kg，高度为0.4m，底面积为$0.01\mathrm{m}^{2}$。圆柱体$\mathrm{B}$放置在模型底板上，此时水位恰与圆柱体$\mathrm{B}$底面平齐，水位离压力传感器$\mathrm{A}$底端的距离为1m。当压力传感器受到的压力达到设定值时触发预警，原设计中触发时圆柱体B刚好全部浸没，压力传感器触发预警并自动打开出水口进行泄洪。（$g$取$10\mathrm{N}/\mathrm{kg}$）</x:v>
      </x:c>
      <x:c r="L152" s="63" t="str"/>
      <x:c r="M152" s="63" t="str"/>
      <x:c r="N152" s="63" t="str">
        <x:v>https://k12static.xdf.cn/k12/image/externalized/91199e8a-708e-4138-b0f2-4eb04563f2b7.png</x:v>
      </x:c>
      <x:c r="O152" s="63" t="str">
        <x:v>https://k12static.xdf.cn/k12/image/externalized/0c38f4ce-891b-4da0-9af6-af8e01976af8.png</x:v>
      </x:c>
      <x:c r="P152" s="63" t="str">
        <x:v>3-5步</x:v>
      </x:c>
      <x:c r="Q152" s="63" t="str">
        <x:v>力学综合</x:v>
      </x:c>
      <x:c r="R152" s="63" t="str">
        <x:v>双状态</x:v>
      </x:c>
      <x:c r="S152" s="63" t="str">
        <x:v>单一约束</x:v>
      </x:c>
      <x:c r="T152" s="63" t="str">
        <x:v>无</x:v>
      </x:c>
      <x:c r="U152" s="63" t="str">
        <x:v>无</x:v>
      </x:c>
      <x:c r="V152" s="63" t="str">
        <x:v>多层因果推理</x:v>
      </x:c>
    </x:row>
    <x:row r="153">
      <x:c r="A153" s="64" t="str">
        <x:v>​3673088780818554880</x:v>
      </x:c>
      <x:c r="B153" s="65" t="str">
        <x:v>送分题</x:v>
      </x:c>
      <x:c r="C153" s="65" t="str">
        <x:v>送分题</x:v>
      </x:c>
      <x:c r="D153" s="65" t="str">
        <x:v>送分题|基础题</x:v>
      </x:c>
      <x:c r="E153" s="65" t="str">
        <x:v>保留主标签；相邻双档均可</x:v>
      </x:c>
      <x:c r="F153" s="65" t="str">
        <x:v>中</x:v>
      </x:c>
      <x:c r="G153" s="65" t="str">
        <x:v>基础题</x:v>
      </x:c>
      <x:c r="H153" s="65" t="str">
        <x:v>送分题</x:v>
      </x:c>
      <x:c r="I153" s="65" t="str">
        <x:v>两个空分别考查分子间隔变化和分子间作用力，调用两条不同教材结论；局部简单但不再是唯一模板，基础题更合适。</x:v>
      </x:c>
      <x:c r="J153" s="65" t="str">
        <x:v>三次运行错题并集逐题复核</x:v>
      </x:c>
      <x:c r="K153" s="63" t="str">
        <x:v>用肥皂膜套在空瓶口上(瓶中为空气)，然后把瓶子放在盛有热水的容器中，其变化如图所示。将瓶子放入热水后，瓶内气体分子的 （选填“体积”或“间隔”）变大。肥皂膜没有破裂，说明了分子之间存在 。</x:v>
      </x:c>
      <x:c r="L153" s="63" t="str"/>
      <x:c r="M153" s="63" t="str">
        <x:v>将瓶子放入热水后，瓶内气体温度升高，分子热运动加剧，分子间的间隔变大，而分子本身的体积不变。 肥皂膜受热膨胀拉伸但没有破裂，说明肥皂膜分子之间存在相互作用的引力。</x:v>
      </x:c>
      <x:c r="N153" s="63" t="str">
        <x:v>https://k12static.xdf.cn/k12/image/externalized/17924127-9567-4a4f-b5cc-713590153a84.png</x:v>
      </x:c>
      <x:c r="O153" s="63" t="str">
        <x:v>https://k12static.xdf.cn/k12/image/externalized/9d0f16dd-94ae-4902-9ae6-6c4de1eee6a2.png</x:v>
      </x:c>
      <x:c r="P153" s="63" t="str">
        <x:v>1-2步</x:v>
      </x:c>
      <x:c r="Q153" s="63" t="str">
        <x:v>概念判断</x:v>
      </x:c>
      <x:c r="R153" s="63" t="str">
        <x:v>单状态</x:v>
      </x:c>
      <x:c r="S153" s="63" t="str">
        <x:v>无约束</x:v>
      </x:c>
      <x:c r="T153" s="63" t="str">
        <x:v>无</x:v>
      </x:c>
      <x:c r="U153" s="63" t="str">
        <x:v>无</x:v>
      </x:c>
      <x:c r="V153" s="63" t="str">
        <x:v>直接套用</x:v>
      </x:c>
    </x:row>
    <x:row r="154">
      <x:c r="A154" s="64" t="str">
        <x:v>​3673096986324992000</x:v>
      </x:c>
      <x:c r="B154" s="65" t="str">
        <x:v>基础题</x:v>
      </x:c>
      <x:c r="C154" s="65" t="str">
        <x:v>基础题</x:v>
      </x:c>
      <x:c r="D154" s="65" t="str">
        <x:v>基础题|中等题</x:v>
      </x:c>
      <x:c r="E154" s="65" t="str">
        <x:v>保留主标签；相邻双档均可</x:v>
      </x:c>
      <x:c r="F154" s="65" t="str">
        <x:v>中</x:v>
      </x:c>
      <x:c r="G154" s="65" t="str">
        <x:v>中等题</x:v>
      </x:c>
      <x:c r="H154" s="65" t="str">
        <x:v>基础题</x:v>
      </x:c>
      <x:c r="I154" s="65" t="str">
        <x:v>最高难任务为1—2步显性应用、规范操作或简单因果，没有连续模型转换。 题目证据：四个独立小题均为单个实验知识点的直接识别，最长连续链仅1步有效决策；五维中知识量虽然覆盖四个不同实验，但每个小题均为单一基础概念，过程/对象均为单状态，无计算，情境为教材标准实验原型，思维层次为识记再现；各小题相互独立，均为教材实验基础事实的直接检索。</x:v>
      </x:c>
      <x:c r="J154" s="65" t="str">
        <x:v>三次运行错题并集逐题复核</x:v>
      </x:c>
      <x:c r="K154" s="63" t="str">
        <x:v>亲爱的同学，请你运用所学的物理知识解答下列问题。</x:v>
      </x:c>
      <x:c r="L154" s="63" t="str"/>
      <x:c r="M154" s="63" t="str"/>
      <x:c r="N154" s="63" t="str">
        <x:v>https://k12static.xdf.cn/k12/image/externalized/dc96d932-6ac7-4095-ac1a-1638bd1a2052.png</x:v>
      </x:c>
      <x:c r="O154" s="63" t="str">
        <x:v>https://k12static.xdf.cn/k12/image/externalized/bfbb62d3-bc25-4faa-b6a9-fba1aa5d904e.png</x:v>
      </x:c>
      <x:c r="P154" s="63" t="str">
        <x:v>1-2步</x:v>
      </x:c>
      <x:c r="Q154" s="63" t="str">
        <x:v>实验探究</x:v>
      </x:c>
      <x:c r="R154" s="63" t="str">
        <x:v>单状态</x:v>
      </x:c>
      <x:c r="S154" s="63" t="str">
        <x:v>无约束</x:v>
      </x:c>
      <x:c r="T154" s="63" t="str">
        <x:v>基础操作或读数</x:v>
      </x:c>
      <x:c r="U154" s="63" t="str">
        <x:v>直接读数</x:v>
      </x:c>
      <x:c r="V154" s="63" t="str">
        <x:v>直接套用</x:v>
      </x:c>
    </x:row>
    <x:row r="155">
      <x:c r="A155" s="64" t="str">
        <x:v>​3673861217903460352</x:v>
      </x:c>
      <x:c r="B155" s="65" t="str">
        <x:v>拔高题</x:v>
      </x:c>
      <x:c r="C155" s="65" t="str">
        <x:v>拔高题</x:v>
      </x:c>
      <x:c r="D155" s="65" t="str">
        <x:v>中等题|拔高题</x:v>
      </x:c>
      <x:c r="E155" s="65" t="str">
        <x:v>保留主标签；相邻双档均可</x:v>
      </x:c>
      <x:c r="F155" s="65" t="str">
        <x:v>中</x:v>
      </x:c>
      <x:c r="G155" s="65" t="str">
        <x:v>压轴题</x:v>
      </x:c>
      <x:c r="H155" s="65" t="str">
        <x:v>拔高题</x:v>
      </x:c>
      <x:c r="I155" s="65" t="str">
        <x:v>存在决定性反推/等效/误差/几何转换，或同一装置中的5—6步高密度综合链。 题目证据：最高难小问实际有效物理决策约5步。五维中知识量为2-3个关联力学知识点，过程/对象为两个连续状态，数学工具为多公式串联计算，情境为经典打捞模型无额外理解难度，思维层次为综合分析，初判进入拔高区间。整题三个小问层层递进，后两问均依赖前一问的结果，最长连续链需要先完成漂浮水杯浮力计算、正方体边长与上表面压力计算，再对取出铁砂后的受力平衡进行分析，推导正方体重力和密度，核心存在一个关键的受力平衡转换，即明确取出铁砂后水杯排开体积不变浮力不变，结合平衡条件得到细线拉力，再对正方体受力平衡分析得到重力。</x:v>
      </x:c>
      <x:c r="J155" s="65" t="str">
        <x:v>三次运行错题并集逐题复核</x:v>
      </x:c>
      <x:c r="K155" s="63" t="str">
        <x:v>学习小组模拟怀丙和尚利用浮力打捞铁牛，把正方体M放在架空水槽底部的方孔处（忽略M与水槽的接触面积），往水槽内装入适量的水，水上漂浮着底面积为$2\times 10^{-2}\mathrm{m}^{2}$的水杯，水杯的质量为100 g，水杯中装入质量适中的铁砂时，杯底到M上表面的距离等于M的边长，用细线连接水杯和M，使细线拉直且无拉力，再将铁砂从杯中取出，当铁砂取完后，M恰好可被拉起，完成打捞（$\rho _{\mathrm{水}}=1.0\times 10^{3}\mathrm{kg}/\mathrm{m}^{3}$）</x:v>
      </x:c>
      <x:c r="L155" s="63" t="str"/>
      <x:c r="M155" s="63" t="str"/>
      <x:c r="N155" s="63" t="str">
        <x:v>https://k12static.xdf.cn/k12/image/externalized/be3c3c77-38d1-402f-9e8f-5c31a2093a37.png</x:v>
      </x:c>
      <x:c r="O155" s="63" t="str">
        <x:v>https://k12static.xdf.cn/k12/image/externalized/dbaef1b3-703d-4540-8d31-24edde596231.png</x:v>
      </x:c>
      <x:c r="P155" s="63" t="str">
        <x:v>6-8步</x:v>
      </x:c>
      <x:c r="Q155" s="63" t="str">
        <x:v>力学综合</x:v>
      </x:c>
      <x:c r="R155" s="63" t="str">
        <x:v>双状态</x:v>
      </x:c>
      <x:c r="S155" s="63" t="str">
        <x:v>多约束</x:v>
      </x:c>
      <x:c r="T155" s="63" t="str">
        <x:v>无</x:v>
      </x:c>
      <x:c r="U155" s="63" t="str">
        <x:v>无</x:v>
      </x:c>
      <x:c r="V155" s="63" t="str">
        <x:v>逆向推理或临界分析</x:v>
      </x:c>
    </x:row>
    <x:row r="156">
      <x:c r="A156" s="64" t="str">
        <x:v>​3675930584471379968</x:v>
      </x:c>
      <x:c r="B156" s="65" t="str">
        <x:v>中等题</x:v>
      </x:c>
      <x:c r="C156" s="65" t="str">
        <x:v>中等题</x:v>
      </x:c>
      <x:c r="D156" s="65" t="str">
        <x:v>中等题|拔高题</x:v>
      </x:c>
      <x:c r="E156" s="65" t="str">
        <x:v>保留主标签；相邻双档均可</x:v>
      </x:c>
      <x:c r="F156" s="65" t="str">
        <x:v>中</x:v>
      </x:c>
      <x:c r="G156" s="65" t="str">
        <x:v>中等题</x:v>
      </x:c>
      <x:c r="H156" s="65" t="str">
        <x:v>拔高题</x:v>
      </x:c>
      <x:c r="I156" s="65" t="str">
        <x:v>需要围绕受力、浮力/压强与状态变化完成常规的3—4个有效决策，或完成一套完整标准实验/共享过程分析。关系仍显性、方法常规，没有决定性隐含转换、复杂边界筛选或多状态强耦合。</x:v>
      </x:c>
      <x:c r="J156" s="65" t="str">
        <x:v>三次运行错题并集逐题复核</x:v>
      </x:c>
      <x:c r="K156" s="63" t="str">
        <x:v>“奋斗者”号是中国研发的万米载人潜水器。如图甲所示，是“奋斗者”号完成任务出水后，用起重机将重$2.25\times 10^{5}\mathrm{N}$的潜水器吊起，回收到母船上的情形，我们将起吊装置简化为图乙所示的滑轮组。若“奋斗者”号的体积约为$10\mathrm{m}^{3}$，离开水面后吊起时，电动机对钢绳自由端的拉力F为$7.5\times 10^{4}\mathrm{N}$，用时200秒，“奋斗者”号匀速上升了10m。不计绳重及摩擦，$\rho _{\mathrm{水}}=1.0\times 10^{3}\mathrm{kg}/\mathrm{m}^{3}$，$g=10\mathrm{N}/\mathrm{kg}$，求此次回收“奋斗者”号的过程中：</x:v>
      </x:c>
      <x:c r="L156" s="63" t="str"/>
      <x:c r="M156" s="63" t="str"/>
      <x:c r="N156" s="63" t="str">
        <x:v>https://k12static.xdf.cn/k12/image/externalized/ae7250b5-86ca-4b54-acfc-0ba9664978a0.png</x:v>
      </x:c>
      <x:c r="O156" s="63" t="str">
        <x:v>https://k12static.xdf.cn/k12/image/externalized/2e3102db-f046-433f-be20-067ccfcb3c8b.png</x:v>
      </x:c>
      <x:c r="P156" s="63" t="str">
        <x:v>3-5步</x:v>
      </x:c>
      <x:c r="Q156" s="63" t="str">
        <x:v>力学综合</x:v>
      </x:c>
      <x:c r="R156" s="63" t="str">
        <x:v>双状态</x:v>
      </x:c>
      <x:c r="S156" s="63" t="str">
        <x:v>单一约束</x:v>
      </x:c>
      <x:c r="T156" s="63" t="str">
        <x:v>无</x:v>
      </x:c>
      <x:c r="U156" s="63" t="str">
        <x:v>无</x:v>
      </x:c>
      <x:c r="V156" s="63" t="str">
        <x:v>多层因果推理</x:v>
      </x:c>
    </x:row>
    <x:row r="157">
      <x:c r="A157" s="64" t="str">
        <x:v>​3677156677559853056</x:v>
      </x:c>
      <x:c r="B157" s="65" t="str">
        <x:v>拔高题</x:v>
      </x:c>
      <x:c r="C157" s="65" t="str">
        <x:v>拔高题</x:v>
      </x:c>
      <x:c r="D157" s="65" t="str">
        <x:v>中等题|拔高题</x:v>
      </x:c>
      <x:c r="E157" s="65" t="str">
        <x:v>保留主标签；相邻双档均可</x:v>
      </x:c>
      <x:c r="F157" s="65" t="str">
        <x:v>中</x:v>
      </x:c>
      <x:c r="G157" s="65" t="str">
        <x:v>压轴题</x:v>
      </x:c>
      <x:c r="H157" s="65" t="str">
        <x:v>拔高题</x:v>
      </x:c>
      <x:c r="I157" s="65" t="str">
        <x:v>最高难任务在实验方案、误差/评价或改进任务中包含图线反推、状态转换、误差评价、几何/等效转换、方程联立或参数反求等决定性卡点，整体约5—6个有效决策；尚未形成压轴所需的完整复杂约束网络。</x:v>
      </x:c>
      <x:c r="J157" s="65" t="str">
        <x:v>三次运行错题并集逐题复核</x:v>
      </x:c>
      <x:c r="K157" s="63" t="str">
        <x:v>考古学家在黄海海域发现甲午海战沉船“致远舰”的消息轰动了整个考古界，随着水下考古工作的进行，一些重要文物近日陆续出水重见天日，关于这艘在海水中沉睡了120余年的战舰是如何被打捞起的谜题也逐步解开。现某课外活动小组，照此设计了如图所示的简单机械，模拟打捞沉船，实验中用实心立方体A代替沉船，已知A的体积为0.1m3，质量为280kg，每个滑轮重600N（设整个过程A均为匀速直线运动状态，忽略钢缆绳重及滑轮摩擦，不考虑风浪、水流等因素的影响，（g取10N/kg，$\rho _{\mathrm{水}}$=1.0×103kg/m3）求：</x:v>
      </x:c>
      <x:c r="L157" s="63" t="str"/>
      <x:c r="M157" s="63" t="str"/>
      <x:c r="N157" s="63" t="str">
        <x:v>https://k12static.xdf.cn/k12/image/externalized/78415d20-bd94-4470-9686-60f45062739b.png</x:v>
      </x:c>
      <x:c r="O157" s="63" t="str">
        <x:v>https://k12static.xdf.cn/k12/image/externalized/af67c3ad-d844-4477-8ec4-b96460bf1590.png</x:v>
      </x:c>
      <x:c r="P157" s="63" t="str">
        <x:v>3-5步</x:v>
      </x:c>
      <x:c r="Q157" s="63" t="str">
        <x:v>力学综合</x:v>
      </x:c>
      <x:c r="R157" s="63" t="str">
        <x:v>双状态</x:v>
      </x:c>
      <x:c r="S157" s="63" t="str">
        <x:v>单一约束</x:v>
      </x:c>
      <x:c r="T157" s="63" t="str">
        <x:v>无</x:v>
      </x:c>
      <x:c r="U157" s="63" t="str">
        <x:v>无</x:v>
      </x:c>
      <x:c r="V157" s="63" t="str">
        <x:v>多层因果推理</x:v>
      </x:c>
    </x:row>
    <x:row r="158">
      <x:c r="A158" s="64" t="str">
        <x:v>​3678675453759729664</x:v>
      </x:c>
      <x:c r="B158" s="65" t="str">
        <x:v>中等题</x:v>
      </x:c>
      <x:c r="C158" s="65" t="str">
        <x:v>中等题</x:v>
      </x:c>
      <x:c r="D158" s="65" t="str">
        <x:v>中等题|拔高题</x:v>
      </x:c>
      <x:c r="E158" s="65" t="str">
        <x:v>保留主标签；相邻双档均可</x:v>
      </x:c>
      <x:c r="F158" s="65" t="str">
        <x:v>中</x:v>
      </x:c>
      <x:c r="G158" s="65" t="str">
        <x:v>中等题</x:v>
      </x:c>
      <x:c r="H158" s="65" t="str">
        <x:v>拔高题</x:v>
      </x:c>
      <x:c r="I158" s="65" t="str">
        <x:v>最高难任务在图表信息提取与关系反推中包含图线反推、状态转换、误差评价、几何/等效转换、方程联立或参数反求等决定性卡点，整体约5—6个有效决策；尚未形成压轴所需的完整复杂约束网络。</x:v>
      </x:c>
      <x:c r="J158" s="65" t="str">
        <x:v>三次运行错题并集逐题复核</x:v>
      </x:c>
      <x:c r="K158" s="63" t="str">
        <x:v>如图甲中，固定在铁架台横梁上的弹簧测力计下方悬挂圆柱体，盛有适量水的圆柱形容器放在升降台上。升降台缓慢上升，圆柱体逐渐浸入水中，整个过程中弹簧测力计示数F与升降台上升高度h变化关系的图像如图乙所示。已知$\rho _{\mathrm{水}}=1\times 10^{3}\mathrm{kg}/\mathrm{m}^{3}$，g取10N/kg。下列说法正确的是（ ）</x:v>
      </x:c>
      <x:c r="L158" s="63" t="str">
        <x:v>A. 圆柱体受到的重力是8N B. 圆柱体受到的最大浮力是4N C. 圆柱体的密度是$1.5\times 10^{3}\mathrm{kg}/\mathrm{m}^{3}$ D. 当圆柱体刚好全部浸没时、下表面受到水的压强为400Pa</x:v>
      </x:c>
      <x:c r="M158" s="63" t="str">
        <x:v>AB．由图乙可知，$h 时，$F=12\mathrm{N}$，则$G=12\mathrm{N}$，$h&gt; 7\mathrm{cm}$时，$F=4\mathrm{N}$，最大浮力$F_{\mathrm{浮}}=G-F=12\mathrm{N}-4\mathrm{N}=8\mathrm{N}$，故AB错误； C．圆柱体质量$m=\dfrac{G}{g}=\dfrac{12\mathrm{N}}{10\mathrm{N}/\mathrm{kg}}=1.2\mathrm{kg}$ 体积$V=V_{\mathrm{排}}=\dfrac{F_{\mathrm{浮}}}{\rho _{\mathrm{水}}g}=\dfrac{8\mathrm{N}}{1\times 10^{3}\mathrm{kg}/\mathrm{m}^{3}\times 10\mathrm{N}/\mathrm{kg}}=8\times 10^{-4}\mathrm{m}^{3}$ 密度$\rho =\dfrac{m}{V}=\dfrac{1.2\mathrm{kg}}{8\times 10^{-4}\mathrm{m}^{3}}=1.5\times 10^{3}\mathrm{kg}/\mathrm{m}^{3}$ ，故C正确； D．升降台上升 $\Delta h=7\mathrm{cm}-3\mathrm{cm}=4\mathrm{cm}=0.04\mathrm{m}$过程中圆柱体完全浸没，因圆柱体排开水使容器内液面升高，圆柱体高度 $H&gt; \Delta h=0.04\mathrm{m}$，刚好浸没时下表面深度 $h_{\mathrm{深}}=H&gt; 0.04\mathrm{m}$压强 $p=\rho _{\mathrm{水}}gh_{\mathrm{深}}&gt; 1\times 10^{3}\mathrm{kg}/\mathrm{m}^{3}\times 10\mathrm{N}/\mathrm{kg}\times 0.04\mathrm{m}=400\mathrm{Pa}$故D错误。 故选 C。</x:v>
      </x:c>
      <x:c r="N158" s="63" t="str">
        <x:v>https://k12static.xdf.cn/k12/image/externalized/0f8c661c-7446-4768-99d8-202fee1219db.png</x:v>
      </x:c>
      <x:c r="O158" s="63" t="str">
        <x:v>https://k12static.xdf.cn/k12/image/externalized/883586db-635f-4d92-be48-2bb25cf45f8e.png</x:v>
      </x:c>
      <x:c r="P158" s="63" t="str">
        <x:v>3-5步</x:v>
      </x:c>
      <x:c r="Q158" s="63" t="str">
        <x:v>力学综合</x:v>
      </x:c>
      <x:c r="R158" s="63" t="str">
        <x:v>双状态</x:v>
      </x:c>
      <x:c r="S158" s="63" t="str">
        <x:v>单一约束</x:v>
      </x:c>
      <x:c r="T158" s="63" t="str">
        <x:v>无</x:v>
      </x:c>
      <x:c r="U158" s="63" t="str">
        <x:v>直接读数</x:v>
      </x:c>
      <x:c r="V158" s="63" t="str">
        <x:v>多层因果推理</x:v>
      </x:c>
    </x:row>
    <x:row r="159">
      <x:c r="A159" s="64" t="str">
        <x:v>​3678692290750074880</x:v>
      </x:c>
      <x:c r="B159" s="65" t="str">
        <x:v>拔高题</x:v>
      </x:c>
      <x:c r="C159" s="65" t="str">
        <x:v>拔高题</x:v>
      </x:c>
      <x:c r="D159" s="65" t="str">
        <x:v>中等题|拔高题</x:v>
      </x:c>
      <x:c r="E159" s="65" t="str">
        <x:v>保留主标签；相邻双档均可</x:v>
      </x:c>
      <x:c r="F159" s="65" t="str">
        <x:v>中</x:v>
      </x:c>
      <x:c r="G159" s="65" t="str">
        <x:v>压轴题</x:v>
      </x:c>
      <x:c r="H159" s="65" t="str">
        <x:v>拔高题</x:v>
      </x:c>
      <x:c r="I159" s="65" t="str">
        <x:v>最高难任务在电路状态、图线/参数与安全约束中包含图线反推、状态转换、误差评价、几何/等效转换、方程联立或参数反求等决定性卡点，整体约5—6个有效决策；尚未形成压轴所需的完整复杂约束网络。</x:v>
      </x:c>
      <x:c r="J159" s="65" t="str">
        <x:v>三次运行错题并集逐题复核</x:v>
      </x:c>
      <x:c r="K159" s="63" t="str">
        <x:v>某小组设计了潜水器模型来模拟“掉深”（进入密度骤降水层急速下沉）及自救过程。模型壳体（含压载铁）质量为6.6kg，总体积为$8.0\times 10^{-3}\mathrm{m}^{3}$，底部压敏传感器$R_{0}$的底面积为$2.0\times 10^{-3}\mathrm{m}^{2}$。当遭遇“掉深”，压力达到压敏电阻的临界值时，系统自动抛弃压载铁紧急上浮。初始测试时，模型漂浮于水面，通过注水调整至恰好悬浮；随后将其放入密度为$0.8\times 10^{3}\mathrm{kg}/\mathrm{m}^{3}$的测试液中进行自救效果检测。（$g\mathrm{取}10\mathrm{N}/\mathrm{kg}$，$\rho _{\mathrm{水}}=1\times 10^{3}\mathrm{kg}/\mathrm{m}^{3}$）求：</x:v>
      </x:c>
      <x:c r="L159" s="63" t="str"/>
      <x:c r="M159" s="63" t="str"/>
      <x:c r="N159" s="63" t="str">
        <x:v>https://k12static.xdf.cn/k12/image/externalized/76990744-c749-44d6-88d6-5fc4c779638d.png</x:v>
      </x:c>
      <x:c r="O159" s="63" t="str">
        <x:v>https://k12static.xdf.cn/k12/image/externalized/af33cb0b-be07-4b4e-9df3-a9851888da4f.png</x:v>
      </x:c>
      <x:c r="P159" s="63" t="str">
        <x:v>3-5步</x:v>
      </x:c>
      <x:c r="Q159" s="63" t="str">
        <x:v>力学综合</x:v>
      </x:c>
      <x:c r="R159" s="63" t="str">
        <x:v>单状态</x:v>
      </x:c>
      <x:c r="S159" s="63" t="str">
        <x:v>单一约束</x:v>
      </x:c>
      <x:c r="T159" s="63" t="str">
        <x:v>无</x:v>
      </x:c>
      <x:c r="U159" s="63" t="str">
        <x:v>无</x:v>
      </x:c>
      <x:c r="V159" s="63" t="str">
        <x:v>多层因果推理</x:v>
      </x:c>
    </x:row>
    <x:row r="160">
      <x:c r="A160" s="64" t="str">
        <x:v>​2139835288467529729</x:v>
      </x:c>
      <x:c r="B160" s="65" t="str">
        <x:v>基础题</x:v>
      </x:c>
      <x:c r="C160" s="65" t="str">
        <x:v>基础题</x:v>
      </x:c>
      <x:c r="D160" s="65" t="str">
        <x:v>基础题</x:v>
      </x:c>
      <x:c r="E160" s="65" t="str">
        <x:v>保留原GPT裁定</x:v>
      </x:c>
      <x:c r="F160" s="65" t="str">
        <x:v>高</x:v>
      </x:c>
      <x:c r="G160" s="65" t="str">
        <x:v>送分题</x:v>
      </x:c>
      <x:c r="H160" s="65" t="str">
        <x:v>基础题</x:v>
      </x:c>
      <x:c r="I160" s="65" t="str">
        <x:v>题干、解析与结构证据支持基础题：step=1-2步，题型=概念判断，状态=单状态，约束=无约束，推理=简单因果推理。教师、盲评和多次模型证据中未形成足以推翻原裁定的同向结构证据。</x:v>
      </x:c>
      <x:c r="J160" s="65" t="str">
        <x:v>未进入三次错题并集；逐题结构一致性复核</x:v>
      </x:c>
      <x:c r="K160" s="63" t="str">
        <x:v>关于功和能的关系下列叙述正确的是 $(\qquad)$</x:v>
      </x:c>
      <x:c r="L160" s="63" t="str">
        <x:v>A. 具有能量的物体一定在做功 B. 力对物体做了多少功，就一定有多少能量发生了转化 C. 力对物体做功不是能量转化的量度 D. 物体没有对外做功就没有能量转化</x:v>
      </x:c>
      <x:c r="M160" s="63" t="str">
        <x:v>A．能量是可以储存的，具有能量的物体不一定在做功，故A错；B．做功的过程就是能量转化的过程，物体做了多少功，就发生了多少能量转换，故B对；C．功是能量转化的量度，故C错；D．可能有其他物体对该物体做功，发生了能量的转化，故D错．故选B． A．能量是可以储存的，具有能量的物体不一定在做功，故A错；B．做功的过程就是能量转化的过程，物体做了多少功，就发生了多少能量转换，故B对；C．功是能量转化的量度，故C错；D．可能有其他物体对该物体做功，发生了能量的转化，故D错．故选B．</x:v>
      </x:c>
      <x:c r="N160" s="63" t="str">
        <x:v>https://k12static.xdf.cn/k12/image/externalized/dcbee477-11f8-4619-94f1-380c969b800c.png</x:v>
      </x:c>
      <x:c r="O160" s="63" t="str">
        <x:v>https://k12static.xdf.cn/k12/image/externalized/a0ac06c3-93f0-4f3d-bb60-69809bc562ec.png</x:v>
      </x:c>
      <x:c r="P160" s="63" t="str">
        <x:v>1-2步</x:v>
      </x:c>
      <x:c r="Q160" s="63" t="str">
        <x:v>概念判断</x:v>
      </x:c>
      <x:c r="R160" s="63" t="str">
        <x:v>单状态</x:v>
      </x:c>
      <x:c r="S160" s="63" t="str">
        <x:v>无约束</x:v>
      </x:c>
      <x:c r="T160" s="63" t="str">
        <x:v>无</x:v>
      </x:c>
      <x:c r="U160" s="63" t="str">
        <x:v>无</x:v>
      </x:c>
      <x:c r="V160" s="63" t="str">
        <x:v>简单因果推理</x:v>
      </x:c>
    </x:row>
    <x:row r="161">
      <x:c r="A161" s="64" t="str">
        <x:v>​2139836394277801984</x:v>
      </x:c>
      <x:c r="B161" s="65" t="str">
        <x:v>中等题</x:v>
      </x:c>
      <x:c r="C161" s="65" t="str">
        <x:v>中等题</x:v>
      </x:c>
      <x:c r="D161" s="65" t="str">
        <x:v>中等题</x:v>
      </x:c>
      <x:c r="E161" s="65" t="str">
        <x:v>逐题复核后保留GPT裁定</x:v>
      </x:c>
      <x:c r="F161" s="65" t="str">
        <x:v>高</x:v>
      </x:c>
      <x:c r="G161" s="65" t="str">
        <x:v>送分题</x:v>
      </x:c>
      <x:c r="H161" s="65" t="str">
        <x:v>中等题</x:v>
      </x:c>
      <x:c r="I161" s="65" t="str">
        <x:v>需要围绕力学模型、运动/受力与能量关系完成常规的3—4个有效决策，或完成一套完整标准实验/共享过程分析。关系仍显性、方法常规，没有决定性隐含转换、复杂边界筛选或多状态强耦合。</x:v>
      </x:c>
      <x:c r="J161" s="65" t="str">
        <x:v>三次运行错题并集逐题复核</x:v>
      </x:c>
      <x:c r="K161" s="63" t="str">
        <x:v>【优能中学原创】（多选）关于静摩擦力，下列说法正确的是$(\qquad)$</x:v>
      </x:c>
      <x:c r="L161" s="63" t="str">
        <x:v>A. 运动的物体也可能产生静摩擦力 B. 有相对运动趋势的物体间有可能产生静摩擦力 C. 产生静摩擦力的两个物体间一定相对静止 D. 两个相对静止的物体间一定有静摩擦力产生</x:v>
      </x:c>
      <x:c r="M161" s="63" t="str">
        <x:v>本道题侧重对静摩擦力产生条件的考察，首先静摩擦力要求的是相对静止，不是绝对静止，另外静摩擦力产生的条件三者缺一不可，仅仅满足其一是无法产生静摩擦力的．</x:v>
      </x:c>
      <x:c r="N161" s="63" t="str">
        <x:v>https://k12static.xdf.cn/k12/image/externalized/cc79c63d-ae88-48c4-a599-21cb38abf9bd.png</x:v>
      </x:c>
      <x:c r="O161" s="63" t="str">
        <x:v>https://k12static.xdf.cn/k12/image/externalized/cbfcd918-4deb-4404-8a1b-863aafba3130.png</x:v>
      </x:c>
      <x:c r="P161" s="63" t="str">
        <x:v>1-2步</x:v>
      </x:c>
      <x:c r="Q161" s="63" t="str">
        <x:v>概念判断</x:v>
      </x:c>
      <x:c r="R161" s="63" t="str">
        <x:v>单状态</x:v>
      </x:c>
      <x:c r="S161" s="63" t="str">
        <x:v>无约束</x:v>
      </x:c>
      <x:c r="T161" s="63" t="str">
        <x:v>无</x:v>
      </x:c>
      <x:c r="U161" s="63" t="str">
        <x:v>无</x:v>
      </x:c>
      <x:c r="V161" s="63" t="str">
        <x:v>简单因果推理</x:v>
      </x:c>
    </x:row>
    <x:row r="162">
      <x:c r="A162" s="64" t="str">
        <x:v>​2139846582388686848</x:v>
      </x:c>
      <x:c r="B162" s="65" t="str">
        <x:v>基础题</x:v>
      </x:c>
      <x:c r="C162" s="65" t="str">
        <x:v>基础题</x:v>
      </x:c>
      <x:c r="D162" s="65" t="str">
        <x:v>基础题</x:v>
      </x:c>
      <x:c r="E162" s="65" t="str">
        <x:v>保留原GPT裁定</x:v>
      </x:c>
      <x:c r="F162" s="65" t="str">
        <x:v>高</x:v>
      </x:c>
      <x:c r="G162" s="65" t="str">
        <x:v>送分题</x:v>
      </x:c>
      <x:c r="H162" s="65" t="str">
        <x:v>中等题</x:v>
      </x:c>
      <x:c r="I162" s="65" t="str">
        <x:v>题干、解析与结构证据支持基础题：step=1-2步，题型=电路综合，状态=单状态，约束=单一约束，推理=简单因果推理。教师、盲评和多次模型证据中未形成足以推翻原裁定的同向结构证据。</x:v>
      </x:c>
      <x:c r="J162" s="65" t="str">
        <x:v>未进入三次错题并集；逐题结构一致性复核</x:v>
      </x:c>
      <x:c r="K162" s="63" t="str">
        <x:v>如图，请按要求连接实物图．要求：电灯 $\rm L_{1}$、$\rm L_{2}$ 串联，电压表 $\rm V_{1}$ 测量灯 $\rm L_{1}$ 两端的电压，电压表 $\rm V_{2}$ 测量电源两端的电压．并按连接好的实物图在虚线框中画出电路图．</x:v>
      </x:c>
      <x:c r="L162" s="63" t="str"/>
      <x:c r="M162" s="63" t="str">
        <x:v>电压表 $\rm V_{1}$ 测量灯 $\rm L_{1}$ 两端的电压，则电压表 $\rm V_{1}$ 与灯 $\rm L_{1}$ 并联；电压表 $\rm V_{2}$ 测量电源两端的电压，电压表 $\rm V_{2}$ 接在电源两端；由图可知，电源有三节干电池组成，电源电源为 $4.5\ \rm V$，故电压表需要选用大量程；根据电流的路径连接实物图，最后把电压表并联在电路中，电流应从电压表的正接线柱流入，从负接线柱流出；实物图如图所示： 根据实物图画出电路图，如图：</x:v>
      </x:c>
      <x:c r="N162" s="63" t="str">
        <x:v>https://k12static.xdf.cn/k12/image/externalized/c46ff4f1-149a-494a-8e00-8d720445c00e.png</x:v>
      </x:c>
      <x:c r="O162" s="63" t="str">
        <x:v>https://k12static.xdf.cn/k12/image/externalized/6c6f435c-a604-4007-94a1-5054b736e8de.png</x:v>
      </x:c>
      <x:c r="P162" s="63" t="str">
        <x:v>1-2步</x:v>
      </x:c>
      <x:c r="Q162" s="63" t="str">
        <x:v>电路综合</x:v>
      </x:c>
      <x:c r="R162" s="63" t="str">
        <x:v>单状态</x:v>
      </x:c>
      <x:c r="S162" s="63" t="str">
        <x:v>单一约束</x:v>
      </x:c>
      <x:c r="T162" s="63" t="str">
        <x:v>无</x:v>
      </x:c>
      <x:c r="U162" s="63" t="str">
        <x:v>无</x:v>
      </x:c>
      <x:c r="V162" s="63" t="str">
        <x:v>简单因果推理</x:v>
      </x:c>
    </x:row>
    <x:row r="163">
      <x:c r="A163" s="64" t="str">
        <x:v>​2139854195359092737</x:v>
      </x:c>
      <x:c r="B163" s="65" t="str">
        <x:v>基础题</x:v>
      </x:c>
      <x:c r="C163" s="65" t="str">
        <x:v>基础题</x:v>
      </x:c>
      <x:c r="D163" s="65" t="str">
        <x:v>基础题</x:v>
      </x:c>
      <x:c r="E163" s="65" t="str">
        <x:v>逐题复核后保留GPT裁定</x:v>
      </x:c>
      <x:c r="F163" s="65" t="str">
        <x:v>高</x:v>
      </x:c>
      <x:c r="G163" s="65" t="str">
        <x:v>基础题</x:v>
      </x:c>
      <x:c r="H163" s="65" t="str">
        <x:v>基础题</x:v>
      </x:c>
      <x:c r="I163" s="65" t="str">
        <x:v>多个空/选项彼此独立，不形成连续链；最高难任务属于教材概念与常规物理关系中的1—2步直接应用、规范操作或简单因果判断。需要理解/应用而非纯识记，但没有共享中间结论、完整连续过程或隐含转换。</x:v>
      </x:c>
      <x:c r="J163" s="65" t="str">
        <x:v>三次运行错题并集逐题复核</x:v>
      </x:c>
      <x:c r="K163" s="63" t="str">
        <x:v>关于双耳效应，下列说法正确的是$(\qquad)$</x:v>
      </x:c>
      <x:c r="L163" s="63" t="str">
        <x:v>A. 利用双耳效应，可以判断声音的大小 B. 利用双耳效应，可以判断声音的远近 C. 利用双耳效应，可以准确判定声音传来的方向 D. 声音从人的正前方或正后方传来时，人耳不易分辨清楚</x:v>
      </x:c>
      <x:c r="M163" s="63" t="str">
        <x:v>根据对双耳效应的理解，利用双耳效应可以辨别声源的方向，又因为声音从正前或正后方传来时，声音到达两只耳朵的特征差别几乎没有，所以不易判断清楚。 故AB错、CD正确。 故选：CD。</x:v>
      </x:c>
      <x:c r="N163" s="63" t="str">
        <x:v>https://k12static.xdf.cn/k12/image/externalized/3ebd6687-505f-4a2f-99cb-8b3e2615799d.png</x:v>
      </x:c>
      <x:c r="O163" s="63" t="str">
        <x:v>https://k12static.xdf.cn/k12/image/externalized/5311bcb5-5be4-4753-9634-1cfe5d0c295e.png</x:v>
      </x:c>
      <x:c r="P163" s="63" t="str">
        <x:v>1-2步</x:v>
      </x:c>
      <x:c r="Q163" s="63" t="str">
        <x:v>概念判断</x:v>
      </x:c>
      <x:c r="R163" s="63" t="str">
        <x:v>单状态</x:v>
      </x:c>
      <x:c r="S163" s="63" t="str">
        <x:v>无约束</x:v>
      </x:c>
      <x:c r="T163" s="63" t="str">
        <x:v>无</x:v>
      </x:c>
      <x:c r="U163" s="63" t="str">
        <x:v>无</x:v>
      </x:c>
      <x:c r="V163" s="63" t="str">
        <x:v>直接套用</x:v>
      </x:c>
    </x:row>
    <x:row r="164">
      <x:c r="A164" s="64" t="str">
        <x:v>​2139859697547743232</x:v>
      </x:c>
      <x:c r="B164" s="65" t="str">
        <x:v>中等题</x:v>
      </x:c>
      <x:c r="C164" s="65" t="str">
        <x:v>中等题</x:v>
      </x:c>
      <x:c r="D164" s="65" t="str">
        <x:v>中等题</x:v>
      </x:c>
      <x:c r="E164" s="65" t="str">
        <x:v>保留原GPT裁定</x:v>
      </x:c>
      <x:c r="F164" s="65" t="str">
        <x:v>中</x:v>
      </x:c>
      <x:c r="G164" s="65" t="str">
        <x:v>中等题</x:v>
      </x:c>
      <x:c r="H164" s="65" t="str">
        <x:v>拔高题</x:v>
      </x:c>
      <x:c r="I164" s="65" t="str">
        <x:v>题干、解析与结构证据支持中等题：step=3-5步，题型=跨模块综合，状态=单状态，约束=单一约束，推理=多层因果推理。教师、盲评和多次模型证据中未形成足以推翻原裁定的同向结构证据。</x:v>
      </x:c>
      <x:c r="J164" s="65" t="str">
        <x:v>未进入三次错题并集；逐题结构一致性复核</x:v>
      </x:c>
      <x:c r="K164" s="63" t="str">
        <x:v>阅读短文，回答文后的问题。热阻当物体或物体的不同部分之间存在温度差时，就会发生热传递。传导是热传递的一种方式，物体对热量的传导有阻碍作用，称为热阻，用 $ R $ 表示。物体的热阻与物体在热传导方向上的长度 $ l $ 成正比、与横截面积 $ S $ 成反比，还与物体的材料有关，关系式为 $ R=\dfrac{l}{λS} $ ，式中λ称为材料的导热系数，不同材料的导热系数一般不同。房屋的墙壁为了保温，往往使用导热系数较小的材料。如果墙壁一侧是高温环境，温度始终为 $ t_1 $ ；另一侧是低温环境，温度始终为 $ t_2 $ ，墙壁中形成稳定的热量流动，则单位时间内从高温环境传导到低温环境的热量 $ Q $ 与墙壁两侧的温度差成正比，与墙壁的热阻成反比。</x:v>
      </x:c>
      <x:c r="L164" s="63" t="str"/>
      <x:c r="M164" s="63" t="str"/>
      <x:c r="N164" s="63" t="str">
        <x:v>https://k12static.xdf.cn/k12/image/externalized/70388cd5-0ca2-4cf5-9331-7638573076c3.png</x:v>
      </x:c>
      <x:c r="O164" s="63" t="str">
        <x:v>https://k12static.xdf.cn/k12/image/externalized/12ff3d91-0c12-48f1-bdd3-b7ec18f4d4c2.png</x:v>
      </x:c>
      <x:c r="P164" s="63" t="str">
        <x:v>3-5步</x:v>
      </x:c>
      <x:c r="Q164" s="63" t="str">
        <x:v>跨模块综合</x:v>
      </x:c>
      <x:c r="R164" s="63" t="str">
        <x:v>单状态</x:v>
      </x:c>
      <x:c r="S164" s="63" t="str">
        <x:v>单一约束</x:v>
      </x:c>
      <x:c r="T164" s="63" t="str">
        <x:v>无</x:v>
      </x:c>
      <x:c r="U164" s="63" t="str">
        <x:v>无</x:v>
      </x:c>
      <x:c r="V164" s="63" t="str">
        <x:v>多层因果推理</x:v>
      </x:c>
    </x:row>
    <x:row r="165">
      <x:c r="A165" s="64" t="str">
        <x:v>​2139865472817008640</x:v>
      </x:c>
      <x:c r="B165" s="65" t="str">
        <x:v>中等题</x:v>
      </x:c>
      <x:c r="C165" s="65" t="str">
        <x:v>中等题</x:v>
      </x:c>
      <x:c r="D165" s="65" t="str">
        <x:v>中等题</x:v>
      </x:c>
      <x:c r="E165" s="65" t="str">
        <x:v>保留原GPT裁定</x:v>
      </x:c>
      <x:c r="F165" s="65" t="str">
        <x:v>高</x:v>
      </x:c>
      <x:c r="G165" s="65" t="str">
        <x:v>中等题</x:v>
      </x:c>
      <x:c r="H165" s="65" t="str">
        <x:v>拔高题</x:v>
      </x:c>
      <x:c r="I165" s="65" t="str">
        <x:v>题干、解析与结构证据支持中等题：step=3-5步，题型=实验探究，状态=双状态，约束=单一约束，推理=多层因果推理。教师、盲评和多次模型证据中未形成足以推翻原裁定的同向结构证据。</x:v>
      </x:c>
      <x:c r="J165" s="65" t="str">
        <x:v>未进入三次错题并集；逐题结构一致性复核</x:v>
      </x:c>
      <x:c r="K165" s="63" t="str">
        <x:v>受阿基米德辨别真假皇冠故事的启发，小明设计了一个测量碗的密度的探究实验，实验步骤及实验数据如图，则碗的密度为$(\qquad)$ ​​</x:v>
      </x:c>
      <x:c r="L165" s="63" t="str">
        <x:v>A. $ 1.8{\rm g/cm^3}$ B. $ 2{\rm g/cm^3}$ C. $ 3{\rm g/cm^3}$ D. $3.2{\rm g/cm^3}$</x:v>
      </x:c>
      <x:c r="M165" s="63" t="str">
        <x:v>由图甲知，水的体积 $V_1=500\ {\rm mL}$，由图丙知，碗和水的总体积 $V_3=530\ {\rm mL}$，碗的体积 $V=V_3-V_1=530\ {\rm mL}-500\ {\rm mL}=30\ {\rm mL}=30\ {\rm cm^3}$； 由图乙知，水与碗所排开水的总体积 $V_2=560\ {\rm mL}$，碗所排开水的体积 $ V_排=V_2-V_1=560\ {\rm mL}-500\ {\rm mL}=60\ {\rm mL}$，碗所排开水的质量 $ m_水=\rho_水V_排=1\ {\rm g/mL} \times 60\ {\rm mL}=60\ {\rm g} $； 碗漂浮在水面上时，碗受竖直向下的重力 $ G_碗=m_碗g $，竖直向上的浮力 $ F_浮═m_水g $，处于平衡状态，由平衡条件得：$ G_碗=F_浮 $，即：$ m_碗g=m_水g $，所以 $ m_碗=m_水=60\ {\rm g} $； 碗的密度 $ \rho_碗=\dfrac{m_碗}{V}=\dfrac{60\ {\rm g}}{30\ {\rm cm^3}}=2\ {\rm g/cm^3} $ 。</x:v>
      </x:c>
      <x:c r="N165" s="63" t="str">
        <x:v>https://k12static.xdf.cn/k12/image/externalized/4ee4f488-0c44-4f1f-9d07-502d61e59307.png</x:v>
      </x:c>
      <x:c r="O165" s="63" t="str">
        <x:v>https://k12static.xdf.cn/k12/image/externalized/d0fa2890-f389-4ba9-b9d3-bf904082a0cd.png</x:v>
      </x:c>
      <x:c r="P165" s="63" t="str">
        <x:v>3-5步</x:v>
      </x:c>
      <x:c r="Q165" s="63" t="str">
        <x:v>实验探究</x:v>
      </x:c>
      <x:c r="R165" s="63" t="str">
        <x:v>双状态</x:v>
      </x:c>
      <x:c r="S165" s="63" t="str">
        <x:v>单一约束</x:v>
      </x:c>
      <x:c r="T165" s="63" t="str">
        <x:v>无</x:v>
      </x:c>
      <x:c r="U165" s="63" t="str">
        <x:v>直接读数</x:v>
      </x:c>
      <x:c r="V165" s="63" t="str">
        <x:v>多层因果推理</x:v>
      </x:c>
    </x:row>
    <x:row r="166">
      <x:c r="A166" s="64" t="str">
        <x:v>​2139890064407236608</x:v>
      </x:c>
      <x:c r="B166" s="65" t="str">
        <x:v>送分题</x:v>
      </x:c>
      <x:c r="C166" s="65" t="str">
        <x:v>送分题</x:v>
      </x:c>
      <x:c r="D166" s="65" t="str">
        <x:v>送分题</x:v>
      </x:c>
      <x:c r="E166" s="65" t="str">
        <x:v>保留原GPT裁定</x:v>
      </x:c>
      <x:c r="F166" s="65" t="str">
        <x:v>高</x:v>
      </x:c>
      <x:c r="G166" s="65" t="str">
        <x:v>基础题</x:v>
      </x:c>
      <x:c r="H166" s="65" t="str">
        <x:v>送分题</x:v>
      </x:c>
      <x:c r="I166" s="65" t="str">
        <x:v>题干、解析与结构证据支持送分题：step=1-2步，题型=概念判断，状态=单状态，约束=无约束，推理=直接套用。教师、盲评和多次模型证据中未形成足以推翻原裁定的同向结构证据。</x:v>
      </x:c>
      <x:c r="J166" s="65" t="str">
        <x:v>未进入三次错题并集；逐题结构一致性复核</x:v>
      </x:c>
      <x:c r="K166" s="63" t="str">
        <x:v>如图所示是常见物质的微观结构，其中最小的是 （填 $ABCD$，下同），一定带正电的是 ，正常情况下不带电的是 ．</x:v>
      </x:c>
      <x:c r="L166" s="63" t="str"/>
      <x:c r="M166" s="63" t="str">
        <x:v>根据物质的组成、原子和原子核的结构，及其带电情况，解答此题． 物质由分子构成，分子由原子组成，原子又有带正电的原子核和带负电的电子构成，带正电的质子和不带电的中子组成原子核． 故答案为：$C$；$B$；${AD}$．</x:v>
      </x:c>
      <x:c r="N166" s="63" t="str">
        <x:v>https://k12static.xdf.cn/k12/image/externalized/c462ff31-774d-4b1e-ad78-a46d0be10dcc.png</x:v>
      </x:c>
      <x:c r="O166" s="63" t="str">
        <x:v>https://k12static.xdf.cn/k12/image/externalized/dded80ec-b062-400c-9a12-f5b8dfd6e899.png</x:v>
      </x:c>
      <x:c r="P166" s="63" t="str">
        <x:v>1-2步</x:v>
      </x:c>
      <x:c r="Q166" s="63" t="str">
        <x:v>概念判断</x:v>
      </x:c>
      <x:c r="R166" s="63" t="str">
        <x:v>单状态</x:v>
      </x:c>
      <x:c r="S166" s="63" t="str">
        <x:v>无约束</x:v>
      </x:c>
      <x:c r="T166" s="63" t="str">
        <x:v>无</x:v>
      </x:c>
      <x:c r="U166" s="63" t="str">
        <x:v>无</x:v>
      </x:c>
      <x:c r="V166" s="63" t="str">
        <x:v>直接套用</x:v>
      </x:c>
    </x:row>
    <x:row r="167">
      <x:c r="A167" s="64" t="str">
        <x:v>​2139906770521395200</x:v>
      </x:c>
      <x:c r="B167" s="65" t="str">
        <x:v>基础题</x:v>
      </x:c>
      <x:c r="C167" s="65" t="str">
        <x:v>基础题</x:v>
      </x:c>
      <x:c r="D167" s="65" t="str">
        <x:v>基础题</x:v>
      </x:c>
      <x:c r="E167" s="65" t="str">
        <x:v>保留原GPT裁定</x:v>
      </x:c>
      <x:c r="F167" s="65" t="str">
        <x:v>中</x:v>
      </x:c>
      <x:c r="G167" s="65" t="str">
        <x:v>基础题</x:v>
      </x:c>
      <x:c r="H167" s="65" t="str">
        <x:v>中等题</x:v>
      </x:c>
      <x:c r="I167" s="65" t="str">
        <x:v>题干、解析与结构证据支持基础题：step=1-2步，题型=概念判断，状态=单状态，约束=无约束，推理=简单因果推理。教师、盲评和多次模型证据中未形成足以推翻原裁定的同向结构证据。</x:v>
      </x:c>
      <x:c r="J167" s="65" t="str">
        <x:v>未进入三次错题并集；逐题结构一致性复核</x:v>
      </x:c>
      <x:c r="K167" s="63" t="str">
        <x:v>如图所示，条形磁铁甲的 ${\rm N}$ 极吸住铁钉，将另一根完全相同的条形磁铁乙的 $A$ 端平移接触磁铁甲的 ${\rm N}$ 极，以下说法正确的是$(\qquad)$</x:v>
      </x:c>
      <x:c r="L167" s="63" t="str">
        <x:v>A. 若 $A$ 是 ${\rm N}$ 极，则铁钉会掉下 B. 若 $A$ 是 ${\rm S}$ 极，则铁钉会掉下 C. 不论 $A$ 是 ${\rm N}$ 极或 ${\rm S}$ 极，铁钉都会掉下 D. 不论 $A$ 是 ${\rm N}$ 极或 ${\rm S}$ 极，铁钉都不会掉下</x:v>
      </x:c>
      <x:c r="M167" s="63" t="str">
        <x:v>如果 $A$ 是 ${\rm N}$ 极，则相互靠近的两个磁极相互排斥，铁钉不会掉下，选项 A 错误； 如果 $A$ 是 ${\rm S}$ 极，则相互靠近的两个磁极相互吸引，成为一个新磁体，磁体中间部分磁性最弱，吸引能力最弱，因此铁钉会掉下，选项 B 正确，CD 错误．</x:v>
      </x:c>
      <x:c r="N167" s="63" t="str">
        <x:v>https://k12static.xdf.cn/k12/image/externalized/40f3dfa9-e8c1-4f38-910b-ad37c0aa3508.png</x:v>
      </x:c>
      <x:c r="O167" s="63" t="str">
        <x:v>https://k12static.xdf.cn/k12/image/externalized/3f2866ee-cd97-42fd-83e8-525281979674.png</x:v>
      </x:c>
      <x:c r="P167" s="63" t="str">
        <x:v>1-2步</x:v>
      </x:c>
      <x:c r="Q167" s="63" t="str">
        <x:v>概念判断</x:v>
      </x:c>
      <x:c r="R167" s="63" t="str">
        <x:v>单状态</x:v>
      </x:c>
      <x:c r="S167" s="63" t="str">
        <x:v>无约束</x:v>
      </x:c>
      <x:c r="T167" s="63" t="str">
        <x:v>无</x:v>
      </x:c>
      <x:c r="U167" s="63" t="str">
        <x:v>无</x:v>
      </x:c>
      <x:c r="V167" s="63" t="str">
        <x:v>简单因果推理</x:v>
      </x:c>
    </x:row>
    <x:row r="168">
      <x:c r="A168" s="64" t="str">
        <x:v>​2141119270188036096</x:v>
      </x:c>
      <x:c r="B168" s="65" t="str">
        <x:v>中等题</x:v>
      </x:c>
      <x:c r="C168" s="65" t="str">
        <x:v>中等题</x:v>
      </x:c>
      <x:c r="D168" s="65" t="str">
        <x:v>中等题</x:v>
      </x:c>
      <x:c r="E168" s="65" t="str">
        <x:v>保留原GPT裁定</x:v>
      </x:c>
      <x:c r="F168" s="65" t="str">
        <x:v>高</x:v>
      </x:c>
      <x:c r="G168" s="65" t="str">
        <x:v>基础题</x:v>
      </x:c>
      <x:c r="H168" s="65" t="str">
        <x:v>中等题</x:v>
      </x:c>
      <x:c r="I168" s="65" t="str">
        <x:v>题干、解析与结构证据支持中等题：step=3-5步，题型=光学声学综合，状态=单状态，约束=无约束，推理=多层因果推理。教师、盲评和多次模型证据中未形成足以推翻原裁定的同向结构证据。</x:v>
      </x:c>
      <x:c r="J168" s="65" t="str">
        <x:v>未进入三次错题并集；逐题结构一致性复核</x:v>
      </x:c>
      <x:c r="K168" s="63" t="str">
        <x:v>如图所示，人眼在 $A$ 点看见河里 $B$ 点有一条小鱼，这是小鱼发生$(\qquad)$形成的像，若从 $A$ 点射出一束激光，要使激光能照射到小鱼，该激光应射向$(\qquad)$</x:v>
      </x:c>
      <x:c r="L168" s="63" t="str">
        <x:v>A. 折射$\quad$虚$\quad B$ 点 B. 反射$\quad$虚$\quad B$ 点上方 C. 折射$\quad$虚$\quad B$ 点下方 D. 折射$\quad$虚$\quad B$ 点左方或右方</x:v>
      </x:c>
      <x:c r="M168" s="63" t="str">
        <x:v>人眼在 $A$ 点看见河里 $B$ 点有一条小鱼，这是小鱼发生折射形成的虚像，连接 $AB$，过折射点做法线，根据光从空气斜射入水中，折射角小于入射角画出折射光线的位置，虽然人看到的 $B$ 点是鱼的虚像，鱼的实际位置在 $B$ 点的正下方，因为激光在进入水的时候也会发生折射，所以照着 $B$ 点，激光也就刚好落在鱼上了．如图所示： 故选 D</x:v>
      </x:c>
      <x:c r="N168" s="63" t="str">
        <x:v>https://k12static.xdf.cn/k12/image/externalized/48f97d77-211b-440a-81dc-b7820aaa1a56.png</x:v>
      </x:c>
      <x:c r="O168" s="63" t="str">
        <x:v>https://k12static.xdf.cn/k12/image/externalized/48eface0-6300-44fc-b627-c53e274731de.png</x:v>
      </x:c>
      <x:c r="P168" s="63" t="str">
        <x:v>3-5步</x:v>
      </x:c>
      <x:c r="Q168" s="63" t="str">
        <x:v>光学声学综合</x:v>
      </x:c>
      <x:c r="R168" s="63" t="str">
        <x:v>单状态</x:v>
      </x:c>
      <x:c r="S168" s="63" t="str">
        <x:v>无约束</x:v>
      </x:c>
      <x:c r="T168" s="63" t="str">
        <x:v>无</x:v>
      </x:c>
      <x:c r="U168" s="63" t="str">
        <x:v>无</x:v>
      </x:c>
      <x:c r="V168" s="63" t="str">
        <x:v>多层因果推理</x:v>
      </x:c>
    </x:row>
    <x:row r="169">
      <x:c r="A169" s="64" t="str">
        <x:v>​2141136026113748992</x:v>
      </x:c>
      <x:c r="B169" s="65" t="str">
        <x:v>基础题</x:v>
      </x:c>
      <x:c r="C169" s="65" t="str">
        <x:v>基础题</x:v>
      </x:c>
      <x:c r="D169" s="65" t="str">
        <x:v>基础题</x:v>
      </x:c>
      <x:c r="E169" s="65" t="str">
        <x:v>保留原GPT裁定</x:v>
      </x:c>
      <x:c r="F169" s="65" t="str">
        <x:v>高</x:v>
      </x:c>
      <x:c r="G169" s="65" t="str">
        <x:v>基础题</x:v>
      </x:c>
      <x:c r="H169" s="65" t="str">
        <x:v>送分题</x:v>
      </x:c>
      <x:c r="I169" s="65" t="str">
        <x:v>题干、解析与结构证据支持基础题：step=1-2步，题型=概念判断，状态=双状态，约束=无约束，推理=简单因果推理。教师、盲评和多次模型证据中未形成足以推翻原裁定的同向结构证据。</x:v>
      </x:c>
      <x:c r="J169" s="65" t="str">
        <x:v>未进入三次错题并集；逐题结构一致性复核</x:v>
      </x:c>
      <x:c r="K169" s="63" t="str">
        <x:v>将同一长方体分别水平与竖直放置在水中，如图所示，它所受到的$(\qquad)$</x:v>
      </x:c>
      <x:c r="L169" s="63" t="str">
        <x:v>A. 向上、向下压力差不等，浮力相等 B. 向上、向下压力差不等，浮力不等 C. 向上、向下压力差相等，浮力不等 D. 向上、向下压力差相等，浮力相等</x:v>
      </x:c>
      <x:c r="M169" s="63" t="str">
        <x:v>长方体物块悬浮在水中，说明受到水的浮力不变，而浮力等于物体上下表面受到水的压力差，所以长方体物块上下表面受到水的压力差相等． 故选 D</x:v>
      </x:c>
      <x:c r="N169" s="63" t="str">
        <x:v>https://k12static.xdf.cn/k12/image/externalized/06406bae-0ded-4bea-85f4-389f8c215172.png</x:v>
      </x:c>
      <x:c r="O169" s="63" t="str">
        <x:v>https://k12static.xdf.cn/k12/image/externalized/2dbfa102-8d6d-4b19-8836-2addfceb6234.png</x:v>
      </x:c>
      <x:c r="P169" s="63" t="str">
        <x:v>1-2步</x:v>
      </x:c>
      <x:c r="Q169" s="63" t="str">
        <x:v>概念判断</x:v>
      </x:c>
      <x:c r="R169" s="63" t="str">
        <x:v>双状态</x:v>
      </x:c>
      <x:c r="S169" s="63" t="str">
        <x:v>无约束</x:v>
      </x:c>
      <x:c r="T169" s="63" t="str">
        <x:v>无</x:v>
      </x:c>
      <x:c r="U169" s="63" t="str">
        <x:v>无</x:v>
      </x:c>
      <x:c r="V169" s="63" t="str">
        <x:v>简单因果推理</x:v>
      </x:c>
    </x:row>
    <x:row r="170">
      <x:c r="A170" s="64" t="str">
        <x:v>​2141164807562014720</x:v>
      </x:c>
      <x:c r="B170" s="65" t="str">
        <x:v>基础题</x:v>
      </x:c>
      <x:c r="C170" s="65" t="str">
        <x:v>基础题</x:v>
      </x:c>
      <x:c r="D170" s="65" t="str">
        <x:v>基础题</x:v>
      </x:c>
      <x:c r="E170" s="65" t="str">
        <x:v>保留原GPT裁定</x:v>
      </x:c>
      <x:c r="F170" s="65" t="str">
        <x:v>高</x:v>
      </x:c>
      <x:c r="G170" s="65" t="str">
        <x:v>基础题</x:v>
      </x:c>
      <x:c r="H170" s="65" t="str">
        <x:v>中等题</x:v>
      </x:c>
      <x:c r="I170" s="65" t="str">
        <x:v>题干、解析与结构证据支持基础题：step=1-2步，题型=概念判断，状态=单状态，约束=无约束，推理=简单因果推理。教师、盲评和多次模型证据中未形成足以推翻原裁定的同向结构证据。</x:v>
      </x:c>
      <x:c r="J170" s="65" t="str">
        <x:v>未进入三次错题并集；逐题结构一致性复核</x:v>
      </x:c>
      <x:c r="K170" s="63" t="str">
        <x:v>如图，两个同样的导线环同轴平行悬挂，相隔一小段距离，当同时给两导线环通以同向电流时，两导线环将$(\qquad)$ $ $</x:v>
      </x:c>
      <x:c r="L170" s="63" t="str">
        <x:v>A. 吸引 B. 排斥 C. 保持静止 D. 边吸引边转动</x:v>
      </x:c>
      <x:c r="M170" s="63" t="str">
        <x:v>$\color{red}{\large注意讲解的时候,利用右手螺旋定则,判断环形电流的磁场方向之后,将环形磁场想象成小磁针,则本题就变成了研究两个小磁针之间的方向.}$ $ $ $ $$2$个导线环通电后都会产生磁场．根据安培定则，两环均为左侧$\ce{N}$极，右侧$\ce{S}$极．异名磁极相互吸引．</x:v>
      </x:c>
      <x:c r="N170" s="63" t="str">
        <x:v>https://k12static.xdf.cn/k12/image/externalized/8807612e-79ef-46a5-b3dd-5fe89c8dcee1.png</x:v>
      </x:c>
      <x:c r="O170" s="63" t="str">
        <x:v>https://k12static.xdf.cn/k12/image/externalized/b32e2aa7-509e-48be-8f4c-29b19e0e7035.png</x:v>
      </x:c>
      <x:c r="P170" s="63" t="str">
        <x:v>1-2步</x:v>
      </x:c>
      <x:c r="Q170" s="63" t="str">
        <x:v>概念判断</x:v>
      </x:c>
      <x:c r="R170" s="63" t="str">
        <x:v>单状态</x:v>
      </x:c>
      <x:c r="S170" s="63" t="str">
        <x:v>无约束</x:v>
      </x:c>
      <x:c r="T170" s="63" t="str">
        <x:v>无</x:v>
      </x:c>
      <x:c r="U170" s="63" t="str">
        <x:v>无</x:v>
      </x:c>
      <x:c r="V170" s="63" t="str">
        <x:v>简单因果推理</x:v>
      </x:c>
    </x:row>
    <x:row r="171">
      <x:c r="A171" s="64" t="str">
        <x:v>​2141171782236581888</x:v>
      </x:c>
      <x:c r="B171" s="65" t="str">
        <x:v>中等题</x:v>
      </x:c>
      <x:c r="C171" s="65" t="str">
        <x:v>中等题</x:v>
      </x:c>
      <x:c r="D171" s="65" t="str">
        <x:v>中等题</x:v>
      </x:c>
      <x:c r="E171" s="65" t="str">
        <x:v>逐题复核后保留GPT裁定</x:v>
      </x:c>
      <x:c r="F171" s="65" t="str">
        <x:v>高</x:v>
      </x:c>
      <x:c r="G171" s="65" t="str">
        <x:v>送分题</x:v>
      </x:c>
      <x:c r="H171" s="65" t="str">
        <x:v>中等题</x:v>
      </x:c>
      <x:c r="I171" s="65" t="str">
        <x:v>需要围绕力学模型、运动/受力与能量关系完成常规的3—4个有效决策，或完成一套完整标准实验/共享过程分析。关系仍显性、方法常规，没有决定性隐含转换、复杂边界筛选或多状态强耦合。</x:v>
      </x:c>
      <x:c r="J171" s="65" t="str">
        <x:v>三次运行错题并集逐题复核</x:v>
      </x:c>
      <x:c r="K171" s="63" t="str">
        <x:v>关于摩擦力，下列说法中正确的是$(\qquad)$</x:v>
      </x:c>
      <x:c r="L171" s="63" t="str">
        <x:v>A. 摩擦力的方向与物体的运动方向相反 B. 摩擦力的方向不可能与物体的运动方向垂直 C. 运动的物体可以受静摩擦力作用，静止的物体也可以受摩擦力作用 D. 静摩擦力可以是动力，也可是阻力，动摩擦力一定是阻力</x:v>
      </x:c>
      <x:c r="M171" s="63" t="str">
        <x:v>AB．摩擦力总是阻碍物体之间的相对运动，其方向和相对运动或相对运动趋势方向相反，和运动方向可能相同，也可能成一定夹角，比如：正在加速行驶的车厢内壁贴着一物体，故 AB 错误； C．运动的物体可以受静摩擦力作用，静止的物体也可以受动摩擦力作用，比如：正在沿着传送带斜向上运动的物体，所以 C 是正确的； D．静摩擦力可以是动力，也可以是阻力，动摩擦力不一定是阻力，故 D 错误． 所以 C 选项是正确的．</x:v>
      </x:c>
      <x:c r="N171" s="63" t="str">
        <x:v>https://k12static.xdf.cn/k12/image/externalized/0bd48baf-893a-4f03-b6e1-968e3d2d8887.png</x:v>
      </x:c>
      <x:c r="O171" s="63" t="str">
        <x:v>https://k12static.xdf.cn/k12/image/externalized/720ee0ab-17fb-4e40-9ee1-bc6186c81d02.png</x:v>
      </x:c>
      <x:c r="P171" s="63" t="str">
        <x:v>1-2步</x:v>
      </x:c>
      <x:c r="Q171" s="63" t="str">
        <x:v>概念判断</x:v>
      </x:c>
      <x:c r="R171" s="63" t="str">
        <x:v>单状态</x:v>
      </x:c>
      <x:c r="S171" s="63" t="str">
        <x:v>无约束</x:v>
      </x:c>
      <x:c r="T171" s="63" t="str">
        <x:v>无</x:v>
      </x:c>
      <x:c r="U171" s="63" t="str">
        <x:v>无</x:v>
      </x:c>
      <x:c r="V171" s="63" t="str">
        <x:v>多层因果推理</x:v>
      </x:c>
    </x:row>
    <x:row r="172">
      <x:c r="A172" s="64" t="str">
        <x:v>​2141300101481312256</x:v>
      </x:c>
      <x:c r="B172" s="65" t="str">
        <x:v>中等题</x:v>
      </x:c>
      <x:c r="C172" s="65" t="str">
        <x:v>中等题</x:v>
      </x:c>
      <x:c r="D172" s="65" t="str">
        <x:v>中等题</x:v>
      </x:c>
      <x:c r="E172" s="65" t="str">
        <x:v>逐题复核后保留GPT裁定</x:v>
      </x:c>
      <x:c r="F172" s="65" t="str">
        <x:v>高</x:v>
      </x:c>
      <x:c r="G172" s="65" t="str">
        <x:v>基础题</x:v>
      </x:c>
      <x:c r="H172" s="65" t="str">
        <x:v>中等题</x:v>
      </x:c>
      <x:c r="I172" s="65" t="str">
        <x:v>存在约3—4步常规连续分析、共享过程或完整标准实验任务，关系仍显性。 题目证据：最长连续链包含3个有效物理决策，分别对应三种光学元件的光路偏折特点分析。五维锚定：知识量2-3个同模块知识点，过程为分别识别三种元件的偏折效果，无数学运算，情境为常规光路变式，思维层次为常规分析，符合中等题定位。任务要求分别判断三种光学元件能否实现给定偏折，需要逐一结合各自的光学规律分析，不存在决定性转换或全链耦合。</x:v>
      </x:c>
      <x:c r="J172" s="65" t="str">
        <x:v>三次运行错题并集逐题复核</x:v>
      </x:c>
      <x:c r="K172" s="63" t="str">
        <x:v>要使光线发生如图所示的偏折，下面的光学元件中可以实现的有$(\qquad)$ ① 平面镜；② 凸透镜；③ 凹透镜．</x:v>
      </x:c>
      <x:c r="L172" s="63" t="str">
        <x:v>A. ①②③ B. ①② C. ①③ D. ②③</x:v>
      </x:c>
      <x:c r="M172" s="63" t="str">
        <x:v>从下面的光路图可以看出，凸透镜、凹透镜和平面镜都可使光的方向发生图中的改变．如图所示： 故选 A</x:v>
      </x:c>
      <x:c r="N172" s="63" t="str">
        <x:v>https://k12static.xdf.cn/k12/image/externalized/df42fcff-5f08-4b0d-94e7-0be5ba4fe8d0.png</x:v>
      </x:c>
      <x:c r="O172" s="63" t="str">
        <x:v>https://k12static.xdf.cn/k12/image/externalized/e7dad5f1-2bb2-40a4-9559-ebce67eb6b45.png</x:v>
      </x:c>
      <x:c r="P172" s="63" t="str">
        <x:v>3-5步</x:v>
      </x:c>
      <x:c r="Q172" s="63" t="str">
        <x:v>光学声学综合</x:v>
      </x:c>
      <x:c r="R172" s="63" t="str">
        <x:v>单状态</x:v>
      </x:c>
      <x:c r="S172" s="63" t="str">
        <x:v>无约束</x:v>
      </x:c>
      <x:c r="T172" s="63" t="str">
        <x:v>无</x:v>
      </x:c>
      <x:c r="U172" s="63" t="str">
        <x:v>无</x:v>
      </x:c>
      <x:c r="V172" s="63" t="str">
        <x:v>多层因果推理</x:v>
      </x:c>
    </x:row>
    <x:row r="173">
      <x:c r="A173" s="64" t="str">
        <x:v>​2141409591757189120</x:v>
      </x:c>
      <x:c r="B173" s="65" t="str">
        <x:v>中等题</x:v>
      </x:c>
      <x:c r="C173" s="65" t="str">
        <x:v>中等题</x:v>
      </x:c>
      <x:c r="D173" s="65" t="str">
        <x:v>中等题</x:v>
      </x:c>
      <x:c r="E173" s="65" t="str">
        <x:v>保留原GPT裁定</x:v>
      </x:c>
      <x:c r="F173" s="65" t="str">
        <x:v>高</x:v>
      </x:c>
      <x:c r="G173" s="65" t="str">
        <x:v>基础题</x:v>
      </x:c>
      <x:c r="H173" s="65" t="str">
        <x:v>中等题</x:v>
      </x:c>
      <x:c r="I173" s="65" t="str">
        <x:v>题干、解析与结构证据支持中等题：step=3-5步，题型=实验探究，状态=单状态，约束=无约束，推理=多层因果推理。教师、盲评和多次模型证据中未形成足以推翻原裁定的同向结构证据。</x:v>
      </x:c>
      <x:c r="J173" s="65" t="str">
        <x:v>未进入三次错题并集；逐题结构一致性复核</x:v>
      </x:c>
      <x:c r="K173" s="63" t="str">
        <x:v>如图甲、乙所示：</x:v>
      </x:c>
      <x:c r="L173" s="63" t="str"/>
      <x:c r="M173" s="63" t="str"/>
      <x:c r="N173" s="63" t="str">
        <x:v>https://k12static.xdf.cn/k12/image/externalized/6720798f-2f12-414d-94b4-799bb09759c5.png</x:v>
      </x:c>
      <x:c r="O173" s="63" t="str">
        <x:v>https://k12static.xdf.cn/k12/image/externalized/32d9a087-22d3-4b66-bb2d-5623f0b4ebb7.png</x:v>
      </x:c>
      <x:c r="P173" s="63" t="str">
        <x:v>3-5步</x:v>
      </x:c>
      <x:c r="Q173" s="63" t="str">
        <x:v>实验探究</x:v>
      </x:c>
      <x:c r="R173" s="63" t="str">
        <x:v>单状态</x:v>
      </x:c>
      <x:c r="S173" s="63" t="str">
        <x:v>无约束</x:v>
      </x:c>
      <x:c r="T173" s="63" t="str">
        <x:v>基础操作或读数</x:v>
      </x:c>
      <x:c r="U173" s="63" t="str">
        <x:v>无</x:v>
      </x:c>
      <x:c r="V173" s="63" t="str">
        <x:v>多层因果推理</x:v>
      </x:c>
    </x:row>
    <x:row r="174">
      <x:c r="A174" s="64" t="str">
        <x:v>​2141469617179930624</x:v>
      </x:c>
      <x:c r="B174" s="65" t="str">
        <x:v>基础题</x:v>
      </x:c>
      <x:c r="C174" s="65" t="str">
        <x:v>基础题</x:v>
      </x:c>
      <x:c r="D174" s="65" t="str">
        <x:v>基础题</x:v>
      </x:c>
      <x:c r="E174" s="65" t="str">
        <x:v>保留原GPT裁定</x:v>
      </x:c>
      <x:c r="F174" s="65" t="str">
        <x:v>中</x:v>
      </x:c>
      <x:c r="G174" s="65" t="str">
        <x:v>基础题</x:v>
      </x:c>
      <x:c r="H174" s="65" t="str">
        <x:v>送分题</x:v>
      </x:c>
      <x:c r="I174" s="65" t="str">
        <x:v>题干、解析与结构证据支持基础题：step=1-2步，题型=概念判断，状态=单状态，约束=无约束，推理=简单因果推理。教师、盲评和多次模型证据中未形成足以推翻原裁定的同向结构证据。</x:v>
      </x:c>
      <x:c r="J174" s="65" t="str">
        <x:v>未进入三次错题并集；逐题结构一致性复核</x:v>
      </x:c>
      <x:c r="K174" s="63" t="str">
        <x:v>如图所示是一种手腕上佩戴的“计步器”，其构造是在一段塑料管中密封一小块磁铁，管外缠绕着线圈．运动时，磁铁在管中反复运动，线圈的输出电流随之不停地变化，显示出运动的步数．“计步器”的基本原理与下列哪幅图相同$(\qquad)$</x:v>
      </x:c>
      <x:c r="L174" s="63" t="str"/>
      <x:c r="M174" s="63" t="str">
        <x:v>根据“计步器”的特点可知，当塑料管运动时，磁铁在管中反向运动，切割线圈而产生电流．因此，计步器的基本原理是电磁感应，产生电流的过程中将机械能转化为电能． A．如图反映电流周围存在着磁场，故 A 错误． BC．如图电路中没有电源，当闭合开关，闭合电路的一部分导体在磁场中进行切割磁感线运动时，导体中有感应电流产生，这是电磁感应选项．故 BC 正确． D．如图电路中有电源，是通电线圈在磁场中受力运动，故 D 错误．</x:v>
      </x:c>
      <x:c r="N174" s="63" t="str">
        <x:v>https://k12static.xdf.cn/k12/image/externalized/2c5e95cf-9d23-46f9-9e0d-2d03f0f8e1a4.png</x:v>
      </x:c>
      <x:c r="O174" s="63" t="str">
        <x:v>https://k12static.xdf.cn/k12/image/externalized/aea689b6-1ed4-4fc1-8ca1-62f5e44f9892.png</x:v>
      </x:c>
      <x:c r="P174" s="63" t="str">
        <x:v>1-2步</x:v>
      </x:c>
      <x:c r="Q174" s="63" t="str">
        <x:v>概念判断</x:v>
      </x:c>
      <x:c r="R174" s="63" t="str">
        <x:v>单状态</x:v>
      </x:c>
      <x:c r="S174" s="63" t="str">
        <x:v>无约束</x:v>
      </x:c>
      <x:c r="T174" s="63" t="str">
        <x:v>无</x:v>
      </x:c>
      <x:c r="U174" s="63" t="str">
        <x:v>无</x:v>
      </x:c>
      <x:c r="V174" s="63" t="str">
        <x:v>简单因果推理</x:v>
      </x:c>
    </x:row>
    <x:row r="175">
      <x:c r="A175" s="64" t="str">
        <x:v>​2154488684302950400</x:v>
      </x:c>
      <x:c r="B175" s="65" t="str">
        <x:v>中等题</x:v>
      </x:c>
      <x:c r="C175" s="65" t="str">
        <x:v>中等题</x:v>
      </x:c>
      <x:c r="D175" s="65" t="str">
        <x:v>中等题</x:v>
      </x:c>
      <x:c r="E175" s="65" t="str">
        <x:v>保留原GPT裁定</x:v>
      </x:c>
      <x:c r="F175" s="65" t="str">
        <x:v>高</x:v>
      </x:c>
      <x:c r="G175" s="65" t="str">
        <x:v>拔高题</x:v>
      </x:c>
      <x:c r="H175" s="65" t="str">
        <x:v>中等题</x:v>
      </x:c>
      <x:c r="I175" s="65" t="str">
        <x:v>题干、解析与结构证据支持中等题：step=3-5步，题型=热学综合，状态=双状态，约束=单一约束，推理=多层因果推理。教师、盲评和多次模型证据中未形成足以推翻原裁定的同向结构证据。</x:v>
      </x:c>
      <x:c r="J175" s="65" t="str">
        <x:v>未进入三次错题并集；逐题结构一致性复核</x:v>
      </x:c>
      <x:c r="K175" s="63" t="str">
        <x:v>A,B两物体质量相等，温度均为20℃，甲、乙两杯水质量相等，温度均为60℃。现将A放入甲杯，B放入乙杯。甲杯中水和A温度相同时水温降低了10℃，乙杯中水和B温度相同时水温降低了20℃，不考虑热损失，则 A、B两物体的比热容之比为（ ）</x:v>
      </x:c>
      <x:c r="L175" s="63" t="str">
        <x:v>A. 1：3 B. 3：5 C. 1：2 D. 4：9</x:v>
      </x:c>
      <x:c r="M175" s="63" t="str">
        <x:v>解：物体A放入甲杯水后，它们的共同温度为60℃﹣10℃＝50℃，水放出的热量$Q _ { \text{放} } = c _ { \text{水} } m _ { \text{水} } \Delta t _ { \text{水} } $A吸收的热量$Q _ { \text{吸} } = c _ A m _ A \Delta t _ A $根据热平衡方程$\text{Q} _ { \text{放} } = \text{Q} _ { \text{吸} } $$c _ { \text{水} } m _ { \text{水} } \Delta t _ { \text{水} } = c _ A m _ A \Delta t _ t $，代入相关数据得：$c _ { \text{水} } \text{m} _ { \text{水} } \times 1 0 ℃ = \text{c} _ { \text{A} \text{m} _ { \text{A} } } \times \left( 5 0 ℃ - 2 0 ℃ \right) $$c _ A = \frac 1 3 \times \frac { c _ { \text{水} } m _ { \text{水} } } { m _ A } $物体B放入乙杯水后，它们的共同温度为60℃﹣20℃＝40℃，水放出的热量 $Q _ { \text{放} } = c _ { \text{水} } m _ { \text{水} } \Delta t _ { \text{水} } $B 吸收的热量 $Q _ { \text{吸} } = c _ B m _ B \Delta t _ B $，根据热平衡方程：$Q _ { \text{放} } = Q _ { \text{吸} } $，即$c _ { \text{水} } m _ { \text{水} } \Delta t _ { \text{水} } = c _ B m _ B \Delta t _ B $，代入相关数据得：$c _ { \text{水} } m _ { \text{水} } \times 2 0 ℃ = c _ B m _ B \times \left( 4 0 ℃ - 2 0 ℃ \right) ℃ $$c _ B = \frac { c _ { \text{水} } m _ { \text{水} } } { m _ B } $A、B 两物体质量相等，即 $m _ A = m _ B $，则A、B两物体的比热容之比为：$\frac { c _ A } { c _ B } = \frac { \frac 1 3 \times \frac { c _ { \text{水} \text{水} \text{水} } } { { c _ A } } } { \frac { { c _ { \text{水} _ A \text{水} } } } { { { m _ B } } } } = \frac 1 1 = 1 : 3 $</x:v>
      </x:c>
      <x:c r="N175" s="63" t="str">
        <x:v>https://k12static.xdf.cn/k12/image/externalized/958b63fd-7ee9-4583-9cfc-c7604ab4335a.png</x:v>
      </x:c>
      <x:c r="O175" s="63" t="str">
        <x:v>https://k12static.xdf.cn/k12/image/externalized/864c973a-14f6-4da2-94ce-02ab6af8ff78.png</x:v>
      </x:c>
      <x:c r="P175" s="63" t="str">
        <x:v>3-5步</x:v>
      </x:c>
      <x:c r="Q175" s="63" t="str">
        <x:v>热学综合</x:v>
      </x:c>
      <x:c r="R175" s="63" t="str">
        <x:v>双状态</x:v>
      </x:c>
      <x:c r="S175" s="63" t="str">
        <x:v>单一约束</x:v>
      </x:c>
      <x:c r="T175" s="63" t="str">
        <x:v>无</x:v>
      </x:c>
      <x:c r="U175" s="63" t="str">
        <x:v>无</x:v>
      </x:c>
      <x:c r="V175" s="63" t="str">
        <x:v>多层因果推理</x:v>
      </x:c>
    </x:row>
    <x:row r="176">
      <x:c r="A176" s="64" t="str">
        <x:v>​2216307461340061696</x:v>
      </x:c>
      <x:c r="B176" s="65" t="str">
        <x:v>拔高题</x:v>
      </x:c>
      <x:c r="C176" s="65" t="str">
        <x:v>拔高题</x:v>
      </x:c>
      <x:c r="D176" s="65" t="str">
        <x:v>拔高题</x:v>
      </x:c>
      <x:c r="E176" s="65" t="str">
        <x:v>逐题复核后保留GPT裁定</x:v>
      </x:c>
      <x:c r="F176" s="65" t="str">
        <x:v>高</x:v>
      </x:c>
      <x:c r="G176" s="65" t="str">
        <x:v>拔高题</x:v>
      </x:c>
      <x:c r="H176" s="65" t="str">
        <x:v>拔高题</x:v>
      </x:c>
      <x:c r="I176" s="65" t="str">
        <x:v>最高难任务在标准实验流程、读数与数据归纳中包含图线反推、状态转换、误差评价、几何/等效转换、方程联立或参数反求等决定性卡点，整体约5—6个有效决策；尚未形成压轴所需的完整复杂约束网络。</x:v>
      </x:c>
      <x:c r="J176" s="65" t="str">
        <x:v>三次运行错题并集逐题复核</x:v>
      </x:c>
      <x:c r="K176" s="63" t="str">
        <x:v>图甲所示的实验装置中，烧杯中装有水，试管中装有某种液体，加热一定时间后，根据实验数据绘制出温度计示数随时间变化的图象，如图乙所示，若实验在1标准大气压下进行，分析图象可知（ ）</x:v>
      </x:c>
      <x:c r="L176" s="63" t="str">
        <x:v>A. 液体的沸点可能低于100℃，且此时正在沸腾 B. 液体的沸点可能等于100℃，且此时是否沸腾无法判断 C. 液体的沸点不低于100℃，且此时没有沸腾 D. 液体的沸点一定大于100℃，且此时没有沸腾</x:v>
      </x:c>
      <x:c r="M176" s="63" t="str">
        <x:v>解：由图可知，液体是利用水浴法加热，在1标准大气压下，水的沸点是100℃，水沸腾时，吸收热量，温度保持不变，而此时温度计的温度保持在100℃，说明液体的沸点不低于100℃， 因为液体沸腾的条件是达到沸点，吸收热量，如果液体的沸点低于100℃，则温度计的示数不可能达到100℃； 液体的温度和水的温度相同，不能再从水中吸收热量，所以此时水没有沸腾。 故选：C。</x:v>
      </x:c>
      <x:c r="N176" s="63" t="str">
        <x:v>https://k12static.xdf.cn/k12/image/externalized/7b063df1-d0aa-4c98-9ecf-b004d044ba36.png</x:v>
      </x:c>
      <x:c r="O176" s="63" t="str">
        <x:v>https://k12static.xdf.cn/k12/image/externalized/865cb886-5757-47ef-90db-07dede4f1e35.png</x:v>
      </x:c>
      <x:c r="P176" s="63" t="str">
        <x:v>3-5步</x:v>
      </x:c>
      <x:c r="Q176" s="63" t="str">
        <x:v>概念判断</x:v>
      </x:c>
      <x:c r="R176" s="63" t="str">
        <x:v>单状态</x:v>
      </x:c>
      <x:c r="S176" s="63" t="str">
        <x:v>单一约束</x:v>
      </x:c>
      <x:c r="T176" s="63" t="str">
        <x:v>无</x:v>
      </x:c>
      <x:c r="U176" s="63" t="str">
        <x:v>多组比较归纳</x:v>
      </x:c>
      <x:c r="V176" s="63" t="str">
        <x:v>多层因果推理</x:v>
      </x:c>
    </x:row>
    <x:row r="177">
      <x:c r="A177" s="64" t="str">
        <x:v>​2222300708677566464</x:v>
      </x:c>
      <x:c r="B177" s="65" t="str">
        <x:v>中等题</x:v>
      </x:c>
      <x:c r="C177" s="65" t="str">
        <x:v>中等题</x:v>
      </x:c>
      <x:c r="D177" s="65" t="str">
        <x:v>中等题</x:v>
      </x:c>
      <x:c r="E177" s="65" t="str">
        <x:v>保留原GPT裁定</x:v>
      </x:c>
      <x:c r="F177" s="65" t="str">
        <x:v>高</x:v>
      </x:c>
      <x:c r="G177" s="65" t="str">
        <x:v>中等题</x:v>
      </x:c>
      <x:c r="H177" s="65" t="str">
        <x:v>拔高题</x:v>
      </x:c>
      <x:c r="I177" s="65" t="str">
        <x:v>题干、解析与结构证据支持中等题：step=3-5步，题型=概念判断，状态=单状态，约束=单一约束，推理=多层因果推理。教师、盲评和多次模型证据中未形成足以推翻原裁定的同向结构证据。</x:v>
      </x:c>
      <x:c r="J177" s="65" t="str">
        <x:v>未进入三次错题并集；逐题结构一致性复核</x:v>
      </x:c>
      <x:c r="K177" s="63" t="str">
        <x:v>如图所示，将A、B两个杯子放入水槽中，A杯倒扣入水中，B杯内有水，然后对水槽加热，下列说法正确的是（ ）</x:v>
      </x:c>
      <x:c r="L177" s="63" t="str">
        <x:v>A. A不能沸腾，B能沸腾 B. A能沸腾，B不能沸腾 C. A能沸腾，B也能沸腾 D. A不能沸腾，B也不能沸腾</x:v>
      </x:c>
      <x:c r="M177" s="63" t="str">
        <x:v>解：A中水汽化成水蒸气，水蒸气增多，气压增大，水的沸点升高，水温不能达到沸点，所以A杯中水不能沸腾；B杯中水温能达到沸点，但不能继续吸热，所以B杯中水不能沸腾，故D正确。 故选：D。</x:v>
      </x:c>
      <x:c r="N177" s="63" t="str">
        <x:v>https://k12static.xdf.cn/k12/image/externalized/5de70566-8fbb-4b0b-855b-3eae445b61ab.png</x:v>
      </x:c>
      <x:c r="O177" s="63" t="str">
        <x:v>https://k12static.xdf.cn/k12/image/externalized/e76b578c-6a6b-418b-8ac9-8c036a43c17f.png</x:v>
      </x:c>
      <x:c r="P177" s="63" t="str">
        <x:v>3-5步</x:v>
      </x:c>
      <x:c r="Q177" s="63" t="str">
        <x:v>概念判断</x:v>
      </x:c>
      <x:c r="R177" s="63" t="str">
        <x:v>单状态</x:v>
      </x:c>
      <x:c r="S177" s="63" t="str">
        <x:v>单一约束</x:v>
      </x:c>
      <x:c r="T177" s="63" t="str">
        <x:v>无</x:v>
      </x:c>
      <x:c r="U177" s="63" t="str">
        <x:v>无</x:v>
      </x:c>
      <x:c r="V177" s="63" t="str">
        <x:v>多层因果推理</x:v>
      </x:c>
    </x:row>
    <x:row r="178">
      <x:c r="A178" s="64" t="str">
        <x:v>​2234555167131799552</x:v>
      </x:c>
      <x:c r="B178" s="65" t="str">
        <x:v>中等题</x:v>
      </x:c>
      <x:c r="C178" s="65" t="str">
        <x:v>中等题</x:v>
      </x:c>
      <x:c r="D178" s="65" t="str">
        <x:v>中等题</x:v>
      </x:c>
      <x:c r="E178" s="65" t="str">
        <x:v>保留原GPT裁定</x:v>
      </x:c>
      <x:c r="F178" s="65" t="str">
        <x:v>高</x:v>
      </x:c>
      <x:c r="G178" s="65" t="str">
        <x:v>基础题</x:v>
      </x:c>
      <x:c r="H178" s="65" t="str">
        <x:v>中等题</x:v>
      </x:c>
      <x:c r="I178" s="65" t="str">
        <x:v>题干、解析与结构证据支持中等题：step=3-5步，题型=电路综合，状态=单状态，约束=单一约束，推理=多层因果推理。教师、盲评和多次模型证据中未形成足以推翻原裁定的同向结构证据。</x:v>
      </x:c>
      <x:c r="J178" s="65" t="str">
        <x:v>未进入三次错题并集；逐题结构一致性复核</x:v>
      </x:c>
      <x:c r="K178" s="63" t="str">
        <x:v>如图所示，电源电压不变，闭合开关S，当滑动变阻器滑片P向右移动时（ ）</x:v>
      </x:c>
      <x:c r="L178" s="63" t="str">
        <x:v>A. 电流表A1示数变小，电压表V示数变小 B. 电流表A2示数变大，电压表V示数变大 C. 电压表V示数与电流表A1示数比值不变 D. 电压表V示数与电流表A2示数比值不变</x:v>
      </x:c>
      <x:c r="M178" s="63" t="str">
        <x:v>解：由图知，滑动变阻器R2与电阻R1并联，电流表A1测量电阻R1的电流，电流表A2测量电路总电流，电压表测电源的电压； A、并联电路各支路两端的电压等于电源电压，当滑动变阻器滑片P向右移动时，其电阻变大，但电压表的示数不变；由于定值电阻的阻值和两端电压不变，所以A1的示数不变，A错误； B、滑片向右滑动，变阻器的阻值变大，这条支路的电流变小，通过定值电阻的电流不变，则通过干路中的电流变小，B错误； C、电压表与电流表A1的比值是定值电阻的阻值，其阻值不变，所以电压表与A1的示数比值不变，C正确； D、电压表的示数不变，由B分析知，A2的示数变小，所以电压表与A2的比值变大，D错误。 故选：C。</x:v>
      </x:c>
      <x:c r="N178" s="63" t="str">
        <x:v>https://k12static.xdf.cn/k12/image/externalized/0c42733b-200a-4ea1-bbbf-d6c0317361bd.png</x:v>
      </x:c>
      <x:c r="O178" s="63" t="str">
        <x:v>https://k12static.xdf.cn/k12/image/externalized/717c770b-1d69-48f4-849a-b1a0c0d446b9.png</x:v>
      </x:c>
      <x:c r="P178" s="63" t="str">
        <x:v>3-5步</x:v>
      </x:c>
      <x:c r="Q178" s="63" t="str">
        <x:v>电路综合</x:v>
      </x:c>
      <x:c r="R178" s="63" t="str">
        <x:v>单状态</x:v>
      </x:c>
      <x:c r="S178" s="63" t="str">
        <x:v>单一约束</x:v>
      </x:c>
      <x:c r="T178" s="63" t="str">
        <x:v>无</x:v>
      </x:c>
      <x:c r="U178" s="63" t="str">
        <x:v>无</x:v>
      </x:c>
      <x:c r="V178" s="63" t="str">
        <x:v>多层因果推理</x:v>
      </x:c>
    </x:row>
    <x:row r="179">
      <x:c r="A179" s="64" t="str">
        <x:v>​2242799707082452992</x:v>
      </x:c>
      <x:c r="B179" s="65" t="str">
        <x:v>基础题</x:v>
      </x:c>
      <x:c r="C179" s="65" t="str">
        <x:v>基础题</x:v>
      </x:c>
      <x:c r="D179" s="65" t="str">
        <x:v>基础题</x:v>
      </x:c>
      <x:c r="E179" s="65" t="str">
        <x:v>逐题复核后保留GPT裁定</x:v>
      </x:c>
      <x:c r="F179" s="65" t="str">
        <x:v>中</x:v>
      </x:c>
      <x:c r="G179" s="65" t="str">
        <x:v>基础题</x:v>
      </x:c>
      <x:c r="H179" s="65" t="str">
        <x:v>中等题</x:v>
      </x:c>
      <x:c r="I179" s="65" t="str">
        <x:v>最高难任务为1—2步显性应用、规范操作或简单因果，没有连续模型转换。 题目证据：最高难选项实际有效推理约1-2步，为不同实验操作规范的独立辨析，五维锚定后落在基础/中等区间。各选项分别对应长度测量、累积法测厚度、平均速度测量、特殊方法测周长四个不同实验的操作规范，需要逐一判断操作的合理性，没有复杂推理或建模，但要求区分不同操作的规范边界。</x:v>
      </x:c>
      <x:c r="J179" s="65" t="str">
        <x:v>三次运行错题并集逐题复核</x:v>
      </x:c>
      <x:c r="K179" s="63" t="str">
        <x:v>下面实验中使用的测量方法，正确的是（ ）</x:v>
      </x:c>
      <x:c r="L179" s="63" t="str">
        <x:v>A. 多次测量长度求平均值的方法减小实验误差时，平均值的取值可以任意四舍五入 B. 用累积法测量一张纸的厚度时，可以用纸的总厚度除以纸的页数 C. 测小车从斜面顶端滑到底端的平均速度时，可以测出前半段和后半段路程的平均速度，然后相加除以2 D. 测量圆柱体的周长时，将纸带沿着周长缠上一圈在重叠处戳个小孔，展开后，测出两个小孔之间的距离即可</x:v>
      </x:c>
      <x:c r="M179" s="63" t="str">
        <x:v>解：A、多次测量长度求平均值的方法减小实验误差时，平均值的取值应根据实际要求四舍五入，故A错误； B、用累积法测量一张纸的厚度时，可以用纸的总厚度除以纸的张数，故B错误； C、测小车从斜面顶端滑到底端的平均速度时，应该用总路程除以总时间，故C错误； D、测量圆柱体的周长时，将纸带沿着周长缠上一圈在重叠处戳个小孔，展开后，测出两个小孔之间的距离即可，故D正确。 故选D。</x:v>
      </x:c>
      <x:c r="N179" s="63" t="str">
        <x:v>https://k12static.xdf.cn/k12/image/externalized/3aadb47b-7bec-4c2b-bb0d-b64fb8d2b201.png</x:v>
      </x:c>
      <x:c r="O179" s="63" t="str">
        <x:v>https://k12static.xdf.cn/k12/image/externalized/eebbdefa-6881-418a-a724-967844f54ea5.png</x:v>
      </x:c>
      <x:c r="P179" s="63" t="str">
        <x:v>1-2步</x:v>
      </x:c>
      <x:c r="Q179" s="63" t="str">
        <x:v>概念判断</x:v>
      </x:c>
      <x:c r="R179" s="63" t="str">
        <x:v>单状态</x:v>
      </x:c>
      <x:c r="S179" s="63" t="str">
        <x:v>无约束</x:v>
      </x:c>
      <x:c r="T179" s="63" t="str">
        <x:v>无</x:v>
      </x:c>
      <x:c r="U179" s="63" t="str">
        <x:v>无</x:v>
      </x:c>
      <x:c r="V179" s="63" t="str">
        <x:v>简单因果推理</x:v>
      </x:c>
    </x:row>
    <x:row r="180">
      <x:c r="A180" s="64" t="str">
        <x:v>​2244159436596621312</x:v>
      </x:c>
      <x:c r="B180" s="65" t="str">
        <x:v>基础题</x:v>
      </x:c>
      <x:c r="C180" s="65" t="str">
        <x:v>基础题</x:v>
      </x:c>
      <x:c r="D180" s="65" t="str">
        <x:v>基础题</x:v>
      </x:c>
      <x:c r="E180" s="65" t="str">
        <x:v>保留原GPT裁定</x:v>
      </x:c>
      <x:c r="F180" s="65" t="str">
        <x:v>高</x:v>
      </x:c>
      <x:c r="G180" s="65" t="str">
        <x:v>基础题</x:v>
      </x:c>
      <x:c r="H180" s="65" t="str">
        <x:v>中等题</x:v>
      </x:c>
      <x:c r="I180" s="65" t="str">
        <x:v>题干、解析与结构证据支持基础题：step=1-2步，题型=概念判断，状态=单状态，约束=无约束，推理=简单因果推理。教师、盲评和多次模型证据中未形成足以推翻原裁定的同向结构证据。</x:v>
      </x:c>
      <x:c r="J180" s="65" t="str">
        <x:v>未进入三次错题并集；逐题结构一致性复核</x:v>
      </x:c>
      <x:c r="K180" s="63" t="str">
        <x:v>有甲、乙两个不带电的验电器，现将一根与丝绸摩擦过的玻璃棒与验电器甲接触后，发现验电器甲上的金属箔张开，另取带绝缘柄的金属杆将两个验电器的金属球接触，则连接起来的瞬间（ ）</x:v>
      </x:c>
      <x:c r="L180" s="63" t="str">
        <x:v>A. 正电荷由甲到乙 B. 电流方向由甲到乙 C. 自由电荷由甲到乙 D. 电流方向就是自由电荷定向移动的方向</x:v>
      </x:c>
      <x:c r="M180" s="63" t="str">
        <x:v>解：ABC、丝绸摩擦过的玻璃棒带正电，缺少电子，当玻璃棒与验电器甲接触后，验电器甲也带上了正电，用带绝缘柄的金属杆将两个验电器的金属球接触时，乙验电器上自由电子向验电器甲转移，正电荷原子核并没有发生移动，因为电子带负电，所以电流方向是由甲到乙，故A、C错误，B正确； D、规定正电荷定向移动的为电流的方向，和自由电子定向移动的方向相反，故D错误。 故选：B。</x:v>
      </x:c>
      <x:c r="N180" s="63" t="str">
        <x:v>https://k12static.xdf.cn/k12/image/externalized/bf28c677-c0a9-4b24-b85f-2850d5bdb965.png</x:v>
      </x:c>
      <x:c r="O180" s="63" t="str">
        <x:v>https://k12static.xdf.cn/k12/image/externalized/543f8f66-435d-4c74-a254-266bfa8787ef.png</x:v>
      </x:c>
      <x:c r="P180" s="63" t="str">
        <x:v>1-2步</x:v>
      </x:c>
      <x:c r="Q180" s="63" t="str">
        <x:v>概念判断</x:v>
      </x:c>
      <x:c r="R180" s="63" t="str">
        <x:v>单状态</x:v>
      </x:c>
      <x:c r="S180" s="63" t="str">
        <x:v>无约束</x:v>
      </x:c>
      <x:c r="T180" s="63" t="str">
        <x:v>无</x:v>
      </x:c>
      <x:c r="U180" s="63" t="str">
        <x:v>无</x:v>
      </x:c>
      <x:c r="V180" s="63" t="str">
        <x:v>简单因果推理</x:v>
      </x:c>
    </x:row>
    <x:row r="181">
      <x:c r="A181" s="64" t="str">
        <x:v>​2245339881012928512</x:v>
      </x:c>
      <x:c r="B181" s="65" t="str">
        <x:v>基础题</x:v>
      </x:c>
      <x:c r="C181" s="65" t="str">
        <x:v>基础题</x:v>
      </x:c>
      <x:c r="D181" s="65" t="str">
        <x:v>基础题</x:v>
      </x:c>
      <x:c r="E181" s="65" t="str">
        <x:v>保留原GPT裁定</x:v>
      </x:c>
      <x:c r="F181" s="65" t="str">
        <x:v>高</x:v>
      </x:c>
      <x:c r="G181" s="65" t="str">
        <x:v>中等题</x:v>
      </x:c>
      <x:c r="H181" s="65" t="str">
        <x:v>基础题</x:v>
      </x:c>
      <x:c r="I181" s="65" t="str">
        <x:v>题干、解析与结构证据支持基础题：step=1-2步，题型=概念判断，状态=单状态，约束=无约束，推理=简单因果推理。教师、盲评和多次模型证据中未形成足以推翻原裁定的同向结构证据。</x:v>
      </x:c>
      <x:c r="J181" s="65" t="str">
        <x:v>未进入三次错题并集；逐题结构一致性复核</x:v>
      </x:c>
      <x:c r="K181" s="63" t="str">
        <x:v>某物体做匀速直线运动，由速度公式v=$\frac{s}{t}$可知（ ）</x:v>
      </x:c>
      <x:c r="L181" s="63" t="str">
        <x:v>A. 在时间一定时，速度与路程成正比 B. 速度与时间成反比 C. 路程与时间成正比 D. 速度较大的物体一定比速度较小的物体通过的路程长</x:v>
      </x:c>
      <x:c r="M181" s="63" t="str">
        <x:v>解： AB、做匀速直线运动的物体，速度是一定的，等于路程与时间的比值，不会随路程和时间的变化而变化。此两选项不正确； CD、物体运动的速度是一定的，由公式s=vt知，路程与时间成正比。选项C正确，选项D错误。 故选：C。</x:v>
      </x:c>
      <x:c r="N181" s="63" t="str">
        <x:v>https://k12static.xdf.cn/k12/image/externalized/a321f928-dd7c-4cf1-bcf4-954f602a53f6.png</x:v>
      </x:c>
      <x:c r="O181" s="63" t="str">
        <x:v>https://k12static.xdf.cn/k12/image/externalized/48f577c9-efc5-4062-b90f-8ecca89ca3a0.png</x:v>
      </x:c>
      <x:c r="P181" s="63" t="str">
        <x:v>1-2步</x:v>
      </x:c>
      <x:c r="Q181" s="63" t="str">
        <x:v>概念判断</x:v>
      </x:c>
      <x:c r="R181" s="63" t="str">
        <x:v>单状态</x:v>
      </x:c>
      <x:c r="S181" s="63" t="str">
        <x:v>无约束</x:v>
      </x:c>
      <x:c r="T181" s="63" t="str">
        <x:v>无</x:v>
      </x:c>
      <x:c r="U181" s="63" t="str">
        <x:v>无</x:v>
      </x:c>
      <x:c r="V181" s="63" t="str">
        <x:v>简单因果推理</x:v>
      </x:c>
    </x:row>
    <x:row r="182">
      <x:c r="A182" s="64" t="str">
        <x:v>​2255451912212348928</x:v>
      </x:c>
      <x:c r="B182" s="65" t="str">
        <x:v>中等题</x:v>
      </x:c>
      <x:c r="C182" s="65" t="str">
        <x:v>中等题</x:v>
      </x:c>
      <x:c r="D182" s="65" t="str">
        <x:v>中等题</x:v>
      </x:c>
      <x:c r="E182" s="65" t="str">
        <x:v>保留原GPT裁定</x:v>
      </x:c>
      <x:c r="F182" s="65" t="str">
        <x:v>高</x:v>
      </x:c>
      <x:c r="G182" s="65" t="str">
        <x:v>中等题</x:v>
      </x:c>
      <x:c r="H182" s="65" t="str">
        <x:v>拔高题</x:v>
      </x:c>
      <x:c r="I182" s="65" t="str">
        <x:v>题干、解析与结构证据支持中等题：step=3-5步，题型=电路综合，状态=双状态，约束=单一约束，推理=多层因果推理。教师、盲评和多次模型证据中未形成足以推翻原裁定的同向结构证据。</x:v>
      </x:c>
      <x:c r="J182" s="65" t="str">
        <x:v>未进入三次错题并集；逐题结构一致性复核</x:v>
      </x:c>
      <x:c r="K182" s="63" t="str">
        <x:v>利用一个电压表和阻值已知的电阻R0测量电阻Rx的阻值。选择了满足实验要求的器材，电源两端电压不变，并连接了如图所示实验电路。闭合开关S1，断开开关S2，电压表的示数为U1；闭合开关S1和S2，电压表的示数为U2，则下列说法中正确的是（ ）</x:v>
      </x:c>
      <x:c r="L182" s="63" t="str">
        <x:v>A. Rx的表达式为Rx=$\frac{{U}_{2}}{{U}_{1}-{U}_{2}}$R0 B. Rx的表达式为Rx=$\frac{{U}_{2}-{U}_{1}}{{U}_{2}}$R0 C. 实验过程中，通过R0的电流始终相同 D. 若将开关S2与电压表互换位置，其他不变，也能测量出Rx的阻值</x:v>
      </x:c>
      <x:c r="M182" s="63" t="str">
        <x:v>解：（1）闭合开关S1和S2，Rx被短路，电路中只有R0，电压表测量R0两端的电压，也是电源电压，即电源电压为U2；闭合开关S1，断开开关S2，R0和Rx串联，电压表测量R0两端的电压，即R0的电压为U1； 由串联电路的电压特点可得，Rx两端的电压Ux=U2-U1， Rx的阻值表达式：Rx=$\frac{{U}_{x}}{I}$=$\frac{{U}_{2}-{U}_{1}}{\frac{{U}_{1}}{{R}_{0}}}$=$\frac{{U}_{2}-{U}_{1}}{{U}_{1}}$×R0，故AB错误； （2）根据电路图可知，闭合开关S1，断开开关S2，R0和Rx串联，电压表测量R0两端的电压，通过R0的电流I=$\frac{{U}_{1}}{{R}_{0}}$； 闭合开关S1和S2，Rx被短路，电路中只有R0，电压表测量R0两端的电压，也是电源电压，此时通过R0的电流I′=$\frac{{U}_{2}}{{R}_{0}}$； 因为U1和U2不相等，所以实验过程中，通过R0的电流并不相同，故C错误； （3）若将开关S2与电压表互换位置，即电压表并联在Rx两端，开关S2和R0并联，其他不变，实验原理和原来的原理是一样的（都是利用了串联电路的特点和欧姆定律），所以也能测量出Rx的阻值，故D正确。 故选：D。</x:v>
      </x:c>
      <x:c r="N182" s="63" t="str">
        <x:v>https://k12static.xdf.cn/k12/image/externalized/3eef0bf9-aee8-4960-836e-69e1a9f8cd7a.png</x:v>
      </x:c>
      <x:c r="O182" s="63" t="str">
        <x:v>https://k12static.xdf.cn/k12/image/externalized/cd68a3fc-d8ff-4eaf-9aa0-296910eb96f3.png</x:v>
      </x:c>
      <x:c r="P182" s="63" t="str">
        <x:v>3-5步</x:v>
      </x:c>
      <x:c r="Q182" s="63" t="str">
        <x:v>电路综合</x:v>
      </x:c>
      <x:c r="R182" s="63" t="str">
        <x:v>双状态</x:v>
      </x:c>
      <x:c r="S182" s="63" t="str">
        <x:v>单一约束</x:v>
      </x:c>
      <x:c r="T182" s="63" t="str">
        <x:v>方案设计或误差评价</x:v>
      </x:c>
      <x:c r="U182" s="63" t="str">
        <x:v>无</x:v>
      </x:c>
      <x:c r="V182" s="63" t="str">
        <x:v>多层因果推理</x:v>
      </x:c>
    </x:row>
    <x:row r="183">
      <x:c r="A183" s="64" t="str">
        <x:v>​2263065255224561664</x:v>
      </x:c>
      <x:c r="B183" s="65" t="str">
        <x:v>中等题</x:v>
      </x:c>
      <x:c r="C183" s="65" t="str">
        <x:v>中等题</x:v>
      </x:c>
      <x:c r="D183" s="65" t="str">
        <x:v>中等题</x:v>
      </x:c>
      <x:c r="E183" s="65" t="str">
        <x:v>逐题复核后保留GPT裁定</x:v>
      </x:c>
      <x:c r="F183" s="65" t="str">
        <x:v>高</x:v>
      </x:c>
      <x:c r="G183" s="65" t="str">
        <x:v>基础题</x:v>
      </x:c>
      <x:c r="H183" s="65" t="str">
        <x:v>中等题</x:v>
      </x:c>
      <x:c r="I183" s="65" t="str">
        <x:v>需要围绕电路状态、图线/参数与安全约束完成常规的3—4个有效决策，或完成一套完整标准实验/共享过程分析。关系仍显性、方法常规，没有决定性隐含转换、复杂边界筛选或多状态强耦合。</x:v>
      </x:c>
      <x:c r="J183" s="65" t="str">
        <x:v>三次运行错题并集逐题复核</x:v>
      </x:c>
      <x:c r="K183" s="63" t="str">
        <x:v>如图所示，闭合开关S，灯L1、L2是 联在电路中的；电压表V1测的是 两端的电压；若某时刻电路中的灯L1断路，则能有读数的电压表是 。</x:v>
      </x:c>
      <x:c r="L183" s="63" t="str"/>
      <x:c r="M183" s="63" t="str">
        <x:v>解：由图可知，闭合开关S，电路中只有一条电流的路径，故灯L1、L2是串联在电路中的； 电压表V1与灯L1并联，测的是L1两端的电压；若某时刻电路中的灯L1断路，则电压表V2并联在电源两端，电压表V1与灯泡L2串联后，共同并联在电源的两端，故能有读数的电压表是V1和V2。 故答案为：串；L1；V1、V2。</x:v>
      </x:c>
      <x:c r="N183" s="63" t="str">
        <x:v>https://k12static.xdf.cn/k12/image/externalized/d0d2685b-8c50-48f1-9092-2c558114ca71.png</x:v>
      </x:c>
      <x:c r="O183" s="63" t="str">
        <x:v>https://k12static.xdf.cn/k12/image/externalized/6b346566-7cb6-4fc8-bf42-08ebeae83ba0.png</x:v>
      </x:c>
      <x:c r="P183" s="63" t="str">
        <x:v>1-2步</x:v>
      </x:c>
      <x:c r="Q183" s="63" t="str">
        <x:v>电路综合</x:v>
      </x:c>
      <x:c r="R183" s="63" t="str">
        <x:v>双状态</x:v>
      </x:c>
      <x:c r="S183" s="63" t="str">
        <x:v>无约束</x:v>
      </x:c>
      <x:c r="T183" s="63" t="str">
        <x:v>无</x:v>
      </x:c>
      <x:c r="U183" s="63" t="str">
        <x:v>无</x:v>
      </x:c>
      <x:c r="V183" s="63" t="str">
        <x:v>简单因果推理</x:v>
      </x:c>
    </x:row>
    <x:row r="184">
      <x:c r="A184" s="64" t="str">
        <x:v>​2264323391910076416</x:v>
      </x:c>
      <x:c r="B184" s="65" t="str">
        <x:v>中等题</x:v>
      </x:c>
      <x:c r="C184" s="65" t="str">
        <x:v>中等题</x:v>
      </x:c>
      <x:c r="D184" s="65" t="str">
        <x:v>中等题</x:v>
      </x:c>
      <x:c r="E184" s="65" t="str">
        <x:v>逐题复核后保留GPT裁定</x:v>
      </x:c>
      <x:c r="F184" s="65" t="str">
        <x:v>高</x:v>
      </x:c>
      <x:c r="G184" s="65" t="str">
        <x:v>基础题</x:v>
      </x:c>
      <x:c r="H184" s="65" t="str">
        <x:v>中等题</x:v>
      </x:c>
      <x:c r="I184" s="65" t="str">
        <x:v>需要围绕教材概念与常规物理关系完成常规的3—4个有效决策，或完成一套完整标准实验/共享过程分析。关系仍显性、方法常规，没有决定性隐含转换、复杂边界筛选或多状态强耦合。</x:v>
      </x:c>
      <x:c r="J184" s="65" t="str">
        <x:v>三次运行错题并集逐题复核</x:v>
      </x:c>
      <x:c r="K184" s="63" t="str">
        <x:v>如图所示，小猴与小兔一起发现一个胡萝卜，想要平分，小猴找来一个小石块支起胡萝卜，使其水平平衡，小猴要左侧部分，小兔要右侧部分，则获取萝卜的情形是（ ）</x:v>
      </x:c>
      <x:c r="L184" s="63" t="str">
        <x:v>A. 小猴多 B. 小兔多 C. 二者一样多 D. 无法判定</x:v>
      </x:c>
      <x:c r="M184" s="63" t="str">
        <x:v>解：（1）萝卜处于平衡状态，由图可知， 右侧部分重心离支点O较远，故力臂OB较大，左侧部分重心离支点O较近，故力臂OA较小； 根据杠杆平衡条件GA×OA=GB×OB，左侧萝卜重力GA大、右侧重力GB小，故小猴分的萝卜要重。 故选：A。</x:v>
      </x:c>
      <x:c r="N184" s="63" t="str">
        <x:v>https://k12static.xdf.cn/k12/image/externalized/de8fd300-676a-412e-a98f-123899f5b49a.png</x:v>
      </x:c>
      <x:c r="O184" s="63" t="str">
        <x:v>https://k12static.xdf.cn/k12/image/externalized/246971b3-5331-4de0-873a-68d2cd9aab4f.png</x:v>
      </x:c>
      <x:c r="P184" s="63" t="str">
        <x:v>3-5步</x:v>
      </x:c>
      <x:c r="Q184" s="63" t="str">
        <x:v>力学综合</x:v>
      </x:c>
      <x:c r="R184" s="63" t="str">
        <x:v>单状态</x:v>
      </x:c>
      <x:c r="S184" s="63" t="str">
        <x:v>单一约束</x:v>
      </x:c>
      <x:c r="T184" s="63" t="str">
        <x:v>无</x:v>
      </x:c>
      <x:c r="U184" s="63" t="str">
        <x:v>无</x:v>
      </x:c>
      <x:c r="V184" s="63" t="str">
        <x:v>多层因果推理</x:v>
      </x:c>
    </x:row>
    <x:row r="185">
      <x:c r="A185" s="64" t="str">
        <x:v>​2274588124067168256</x:v>
      </x:c>
      <x:c r="B185" s="65" t="str">
        <x:v>基础题</x:v>
      </x:c>
      <x:c r="C185" s="65" t="str">
        <x:v>基础题</x:v>
      </x:c>
      <x:c r="D185" s="65" t="str">
        <x:v>基础题</x:v>
      </x:c>
      <x:c r="E185" s="65" t="str">
        <x:v>保留原GPT裁定</x:v>
      </x:c>
      <x:c r="F185" s="65" t="str">
        <x:v>高</x:v>
      </x:c>
      <x:c r="G185" s="65" t="str">
        <x:v>基础题</x:v>
      </x:c>
      <x:c r="H185" s="65" t="str">
        <x:v>送分题</x:v>
      </x:c>
      <x:c r="I185" s="65" t="str">
        <x:v>题干、解析与结构证据支持基础题：step=1-2步，题型=概念判断，状态=单状态，约束=无约束，推理=简单因果推理。教师、盲评和多次模型证据中未形成足以推翻原裁定的同向结构证据。</x:v>
      </x:c>
      <x:c r="J185" s="65" t="str">
        <x:v>未进入三次错题并集；逐题结构一致性复核</x:v>
      </x:c>
      <x:c r="K185" s="63" t="str">
        <x:v>如图，放大镜能使我们看清邮票的细微之处。下列能用来说明其成像原理的图是（ ）</x:v>
      </x:c>
      <x:c r="L185" s="63" t="str"/>
      <x:c r="M185" s="63" t="str">
        <x:v>解：放大镜能使我们看清邮票的细微之处，是利用凸透镜成像规律，物距在一倍焦距之内，成正立、放大的虚像； A．小孔成像是利用光的直线传播原理，故A错误； B．人从平面镜看到蜡烛，是利用光的反射原理，故B错误； C．蜡烛在凸透镜的一倍焦距之内，根据凸透镜成像规律可知，此时成正立、放大的虚像，故C正确； D．蜡烛与像分别在凸透镜的两侧，根据凸透镜成像规律可知，此时成的是实像，故D错误。 故选：C。</x:v>
      </x:c>
      <x:c r="N185" s="63" t="str">
        <x:v>https://k12static.xdf.cn/k12/image/externalized/687e3202-3483-452b-91d9-4cfd43033baf.png</x:v>
      </x:c>
      <x:c r="O185" s="63" t="str">
        <x:v>https://k12static.xdf.cn/k12/image/externalized/d4228d13-fb09-4376-adf0-324082029162.png</x:v>
      </x:c>
      <x:c r="P185" s="63" t="str">
        <x:v>1-2步</x:v>
      </x:c>
      <x:c r="Q185" s="63" t="str">
        <x:v>概念判断</x:v>
      </x:c>
      <x:c r="R185" s="63" t="str">
        <x:v>单状态</x:v>
      </x:c>
      <x:c r="S185" s="63" t="str">
        <x:v>无约束</x:v>
      </x:c>
      <x:c r="T185" s="63" t="str">
        <x:v>无</x:v>
      </x:c>
      <x:c r="U185" s="63" t="str">
        <x:v>无</x:v>
      </x:c>
      <x:c r="V185" s="63" t="str">
        <x:v>简单因果推理</x:v>
      </x:c>
    </x:row>
    <x:row r="186">
      <x:c r="A186" s="64" t="str">
        <x:v>​2284836722446974976</x:v>
      </x:c>
      <x:c r="B186" s="65" t="str">
        <x:v>压轴题</x:v>
      </x:c>
      <x:c r="C186" s="65" t="str">
        <x:v>压轴题</x:v>
      </x:c>
      <x:c r="D186" s="65" t="str">
        <x:v>压轴题</x:v>
      </x:c>
      <x:c r="E186" s="65" t="str">
        <x:v>逐题复核后保留GPT裁定</x:v>
      </x:c>
      <x:c r="F186" s="65" t="str">
        <x:v>高</x:v>
      </x:c>
      <x:c r="G186" s="65" t="str">
        <x:v>压轴题</x:v>
      </x:c>
      <x:c r="H186" s="65" t="str">
        <x:v>压轴题</x:v>
      </x:c>
      <x:c r="I186" s="65" t="str">
        <x:v>多对象、多状态和多约束形成共享模型网络，并含临界、分类、边界或有效解筛选。 题目证据：自动调整：teacher_hard_to_final_joint_structure；证据：多状态或临界状态；多约束；4个及以上知识点；多公式或复杂范围计算；逆向推理或临界分析。最高难选项最长连续链实际有效物理决策约5-6步，五维锚定：知识量为4个及以上跨知识点综合（体积变化、阿基米德原理、液体压强、整体受力分析），过程/对象涉及多状态（不同下移距离下液面变化、溢出边界判断、完全浸没后受力），数学工具为多公式联立，情境为常规力学变式，思维层次达到综合分析。整题需要依次分析不同下移距离的浸入深度、液面升高度，判断容器</x:v>
      </x:c>
      <x:c r="J186" s="65" t="str">
        <x:v>三次运行错题并集逐题复核</x:v>
      </x:c>
      <x:c r="K186" s="63" t="str">
        <x:v>如图，重为3N，底面积为200cm2的圆柱形容器放在水平桌面上，容器高12cm,内有10cm的水，用一质量和体积均不计的轻杆悬挂一个底面积为100cm2，密度为0.8g/cm3的圆柱体，从接触液面开始计时，以2cm/s的速度匀速向下移动，当t=3s时，物块完全浸没，则（ ）</x:v>
      </x:c>
      <x:c r="L186" s="63" t="str">
        <x:v>A. 当向下移动的距离为1cm时，物体所受浮力为1N B. 当t=1.5s时，水对容器底的压强为1300Pa C. 物块的高为12cm D. 完全浸没后，容器对桌面的压力为27N</x:v>
      </x:c>
      <x:c r="M186" s="63" t="str">
        <x:v>解：A．水面上升的高度为$\Delta h=\frac{100c{m^2}×1cm}{200c{m^2}-100c{m^2}}=1cm$， 则物体浸入的深度为h=h′+Δh=1cm+1cm=2cm, 则${V_排}={S_物}h=100c{m^2}×2cm=200c{m^3}=2×{10^{-4}}{m^3}$， ${F_浮}={ρ_水}g{V_排}=1.0×{10^3}kg/{m^3}×10N/kg×2×{10^{-4}}{m^3}=2N$，故A错误； B．当t=1.5s时，物体下移的距离h1=vt=2cm/s×1.5s=3cm, 由A分析知物体下移1cm,液面升高1cm；物体下移3cm,液面升高3cm,内有10cm的水，水面高应13cm,但容器高12cm,此时将有水溢出，水深只有12cm,所以此时水对容器底部的压强为：${p_液}={ρ_水}g{h_2}=1.0×{10^3}kg/{m^3}×10N/kg×0.12m=1.2×{10^3}Pa$，故B错误； CD．t=3s时，下移的距离，h3=vt1=2cm/s×3s=6cm,但t=1.5s时，水面上升到容器口，且水面实际上升了2cm,则物块的高h物=6cm+2cm=8cm, 此时物块完全浸没，由AB分析知，所以物体的体积为${V_物}={S_物}{h_物}=100c{m^2}×8cm=800c{m^3}$； 圆柱体浸没时受到的浮力：F浮′=ρ水gV排′=1.0×103kg/m3×10N/kg×800×10-6m3=8N， 容器的容积${V_总}=S{h_大}=200c{m^3}×12cm=2400c{m^3}$； 剩余水的体积${V_水}={V_总}-{V_物}=2400c{m^3}-800c{m^3}=1600c{m^3}$； 剩余水的重：${G_水}={ρ_水}{V_水}g=1.0×{10^3}kg/{m^3}×1600×{10^{-6}}{m^3}×10N/kg=16N$； 物块完全浸没在水中时，因为ρ物＜ρ水，所以可知此时圆柱体受到的浮力大于自身的重力，则细杆对圆柱体有向下的压力，由力的平衡条件可得F浮′=G物+F压， 把容器、水和圆柱体看做一个整体，则容器对桌面的压力为： F=G容+G水+G物+F压=G容+G水+F浮′=3N+16N+8N=27N，故C错误，D正确。 故选：D。</x:v>
      </x:c>
      <x:c r="N186" s="63" t="str">
        <x:v>https://k12static.xdf.cn/k12/image/externalized/1dd57780-815e-4038-ab84-d696d7e03a68.png</x:v>
      </x:c>
      <x:c r="O186" s="63" t="str">
        <x:v>https://k12static.xdf.cn/k12/image/externalized/2911e6cb-18dc-46ef-93a0-27e94668e210.png</x:v>
      </x:c>
      <x:c r="P186" s="63" t="str">
        <x:v>6-8步</x:v>
      </x:c>
      <x:c r="Q186" s="63" t="str">
        <x:v>力学综合</x:v>
      </x:c>
      <x:c r="R186" s="63" t="str">
        <x:v>多状态</x:v>
      </x:c>
      <x:c r="S186" s="63" t="str">
        <x:v>多约束</x:v>
      </x:c>
      <x:c r="T186" s="63" t="str">
        <x:v>无</x:v>
      </x:c>
      <x:c r="U186" s="63" t="str">
        <x:v>无</x:v>
      </x:c>
      <x:c r="V186" s="63" t="str">
        <x:v>多层因果推理</x:v>
      </x:c>
    </x:row>
    <x:row r="187">
      <x:c r="A187" s="64" t="str">
        <x:v>​2285154440637620224</x:v>
      </x:c>
      <x:c r="B187" s="65" t="str">
        <x:v>中等题</x:v>
      </x:c>
      <x:c r="C187" s="65" t="str">
        <x:v>中等题</x:v>
      </x:c>
      <x:c r="D187" s="65" t="str">
        <x:v>中等题</x:v>
      </x:c>
      <x:c r="E187" s="65" t="str">
        <x:v>逐题复核后保留GPT裁定</x:v>
      </x:c>
      <x:c r="F187" s="65" t="str">
        <x:v>高</x:v>
      </x:c>
      <x:c r="G187" s="65" t="str">
        <x:v>中等题</x:v>
      </x:c>
      <x:c r="H187" s="65" t="str">
        <x:v>中等题</x:v>
      </x:c>
      <x:c r="I187" s="65" t="str">
        <x:v>需要围绕标准实验流程、读数与数据归纳完成常规的3—4个有效决策，或完成一套完整标准实验/共享过程分析。关系仍显性、方法常规，没有决定性隐含转换、复杂边界筛选或多状态强耦合。</x:v>
      </x:c>
      <x:c r="J187" s="65" t="str">
        <x:v>三次运行错题并集逐题复核</x:v>
      </x:c>
      <x:c r="K187" s="63" t="str">
        <x:v>一位同学用如下图所示的电路探究“电流与电阻的关系”。电源电压不变，下表是实验数据，若第四次实验时将定值电阻的阻值由40Ω调为50Ω后就直接读出电流表的示数，这个示数可能是（ ） R/Ω 10 20 30 40 50 I/A 0.6 0.3 0.2 0.15</x:v>
      </x:c>
      <x:c r="L187" s="63" t="str">
        <x:v>A. 0.15 B. 0.10 C. 0.12 D. 0.13</x:v>
      </x:c>
      <x:c r="M187" s="63" t="str">
        <x:v>解：研究通过导体的电流与电阻的关系要保持导体两端的电压不变，由欧姆定律，电阻两端的电压： UV=I1R1=0.6A×10Ω=6V； 当电阻R的阻值为50Ω时，由欧姆定律，电路中的电流应该为： I′=$\frac{{U}_{V}}{{R}_{5}}$=$\frac{6V}{50Ω}$=0.12A， 将电阻R的阻值从40Ω调为50Ω后，要保持电阻两端电压不变，应向右移动滑动变阻器滑片，使滑动变阻器接入电路的阻值变大，滑动变阻器分压变大，从而使电阻两端电压减小保持不变，因此，当未移动滑动变阻器时，电路中的电流应该大于0.12A而小于0.15A，只有D正确。 故选：D。</x:v>
      </x:c>
      <x:c r="N187" s="63" t="str">
        <x:v>https://k12static.xdf.cn/k12/image/externalized/12d81c0b-1552-4b5b-b8c3-2de1e3604c6e.png</x:v>
      </x:c>
      <x:c r="O187" s="63" t="str">
        <x:v>https://k12static.xdf.cn/k12/image/externalized/34d12c20-ab80-44ef-bc40-e3876acd0b02.png</x:v>
      </x:c>
      <x:c r="P187" s="63" t="str">
        <x:v>3-5步</x:v>
      </x:c>
      <x:c r="Q187" s="63" t="str">
        <x:v>实验探究</x:v>
      </x:c>
      <x:c r="R187" s="63" t="str">
        <x:v>双状态</x:v>
      </x:c>
      <x:c r="S187" s="63" t="str">
        <x:v>单一约束</x:v>
      </x:c>
      <x:c r="T187" s="63" t="str">
        <x:v>控制变量或故障分析</x:v>
      </x:c>
      <x:c r="U187" s="63" t="str">
        <x:v>多组比较归纳</x:v>
      </x:c>
      <x:c r="V187" s="63" t="str">
        <x:v>逆向推理或临界分析</x:v>
      </x:c>
    </x:row>
    <x:row r="188">
      <x:c r="A188" s="64" t="str">
        <x:v>​2285158819926659072</x:v>
      </x:c>
      <x:c r="B188" s="65" t="str">
        <x:v>中等题</x:v>
      </x:c>
      <x:c r="C188" s="65" t="str">
        <x:v>中等题</x:v>
      </x:c>
      <x:c r="D188" s="65" t="str">
        <x:v>中等题</x:v>
      </x:c>
      <x:c r="E188" s="65" t="str">
        <x:v>保留原GPT裁定</x:v>
      </x:c>
      <x:c r="F188" s="65" t="str">
        <x:v>高</x:v>
      </x:c>
      <x:c r="G188" s="65" t="str">
        <x:v>中等题</x:v>
      </x:c>
      <x:c r="H188" s="65" t="str">
        <x:v>拔高题</x:v>
      </x:c>
      <x:c r="I188" s="65" t="str">
        <x:v>题干、解析与结构证据支持中等题：step=3-5步，题型=电路综合，状态=双状态，约束=单一约束，推理=多层因果推理。教师、盲评和多次模型证据中未形成足以推翻原裁定的同向结构证据。</x:v>
      </x:c>
      <x:c r="J188" s="65" t="str">
        <x:v>未进入三次错题并集；逐题结构一致性复核</x:v>
      </x:c>
      <x:c r="K188" s="63" t="str">
        <x:v>在如图的电路中，电源电压U保持不变，在甲、乙两处分别接入电压表，闭合开关S，测得U甲：U乙=1：3；断开开关S，拆去电压表并在甲、乙两处分别接入电流表，此时I甲：I乙是（ ）</x:v>
      </x:c>
      <x:c r="L188" s="63" t="str">
        <x:v>A. 3：1 B. 1：1 C. 1：3 D. 4：3</x:v>
      </x:c>
      <x:c r="M188" s="63" t="str">
        <x:v>解：（1）在甲、乙两处分别接入电压表，闭合开关S时，两电阻串联在电路中，甲表测的是R1两端的电压，乙表测的是R2两端的电压， 因串联电路中各处的电流相等， 所以，由I=$\frac{U}{R}$可得，两电阻的阻值之比： $\frac{{R}_{1}}{{R}_{2}}$=$\frac{\frac{{U}_{1}}{I}}{\frac{{U}_{2}}{I}}$=$\frac{\frac{{U}_{甲}}{I}}{\frac{{U}_{乙}}{I}}$=$\frac{{U}_{甲}}{{U}_{乙}}$=$\frac{1}{3}$； （2）断开开关S，拆去电压表并在甲、乙两处分别接入电流表时，两电阻并联在电路中，甲表测的是通过R2的电流，乙表测的是通过R1的电流， 因并联电路中各支路两端的电压相等， 所以，两电流表的示数之比： $\frac{{I}_{甲}}{{I}_{乙}}$=$\frac{{I}_{2}}{{I}_{1}}$=$\frac{\frac{U}{{R}_{2}}}{\frac{U}{{R}_{1}}}$=$\frac{{R}_{1}}{{R}_{2}}$=$\frac{1}{3}$。 故选：C。</x:v>
      </x:c>
      <x:c r="N188" s="63" t="str">
        <x:v>https://k12static.xdf.cn/k12/image/externalized/647c7f62-4796-46b9-b52a-871927f0e8d8.png</x:v>
      </x:c>
      <x:c r="O188" s="63" t="str">
        <x:v>https://k12static.xdf.cn/k12/image/externalized/1b0da1af-18c4-4597-b796-8a014054d4be.png</x:v>
      </x:c>
      <x:c r="P188" s="63" t="str">
        <x:v>3-5步</x:v>
      </x:c>
      <x:c r="Q188" s="63" t="str">
        <x:v>电路综合</x:v>
      </x:c>
      <x:c r="R188" s="63" t="str">
        <x:v>双状态</x:v>
      </x:c>
      <x:c r="S188" s="63" t="str">
        <x:v>单一约束</x:v>
      </x:c>
      <x:c r="T188" s="63" t="str">
        <x:v>无</x:v>
      </x:c>
      <x:c r="U188" s="63" t="str">
        <x:v>无</x:v>
      </x:c>
      <x:c r="V188" s="63" t="str">
        <x:v>多层因果推理</x:v>
      </x:c>
    </x:row>
    <x:row r="189">
      <x:c r="A189" s="64" t="str">
        <x:v>​2289150548123361280</x:v>
      </x:c>
      <x:c r="B189" s="65" t="str">
        <x:v>基础题</x:v>
      </x:c>
      <x:c r="C189" s="65" t="str">
        <x:v>基础题</x:v>
      </x:c>
      <x:c r="D189" s="65" t="str">
        <x:v>基础题</x:v>
      </x:c>
      <x:c r="E189" s="65" t="str">
        <x:v>保留原GPT裁定</x:v>
      </x:c>
      <x:c r="F189" s="65" t="str">
        <x:v>高</x:v>
      </x:c>
      <x:c r="G189" s="65" t="str">
        <x:v>送分题</x:v>
      </x:c>
      <x:c r="H189" s="65" t="str">
        <x:v>中等题</x:v>
      </x:c>
      <x:c r="I189" s="65" t="str">
        <x:v>题干、解析与结构证据支持基础题：step=1-2步，题型=概念判断，状态=单状态，约束=无约束，推理=简单因果推理。教师、盲评和多次模型证据中未形成足以推翻原裁定的同向结构证据。</x:v>
      </x:c>
      <x:c r="J189" s="65" t="str">
        <x:v>未进入三次错题并集；逐题结构一致性复核</x:v>
      </x:c>
      <x:c r="K189" s="63" t="str">
        <x:v>如图是足球运动员踢足球时的情景，下列说法正确的是（ ）</x:v>
      </x:c>
      <x:c r="L189" s="63" t="str">
        <x:v>A. 球被脚踢出去，说明只有球才受到力的作用 B. 脚踢球使球飞出去，说明力是物体运动的原因 C. 足球在空中飞行过程中，运动状态一定发生改变 D. 空中飞行的足球，若它所受的力全部消失，它一定沿水平方向做匀速直线运动</x:v>
      </x:c>
      <x:c r="M189" s="63" t="str">
        <x:v>解： A、由于力的作用是相互的，球被脚踢出去的同时，脚受到球的反作用力。此选项错误； B、脚踢球，使球飞出去，说明力可以改变物体的运动状态。此选项错误； C、足球在空中运动过程中，受到竖直向下的重力与空气的阻力，这两个力不是平衡力，所以足球的运动状态一定发生改变。此选项正确； D、空中飞行的足球，若它所受的力全部消失，它将保持原来的运动状态，沿原来的方向做匀速直线运动。此选项错误。 故选：C。</x:v>
      </x:c>
      <x:c r="N189" s="63" t="str">
        <x:v>https://k12static.xdf.cn/k12/image/externalized/4c722eb3-8ab7-485f-b9a3-130888bdcefe.png</x:v>
      </x:c>
      <x:c r="O189" s="63" t="str">
        <x:v>https://k12static.xdf.cn/k12/image/externalized/8b642d2d-a0e7-4efa-a9d7-b1bc8e47075b.png</x:v>
      </x:c>
      <x:c r="P189" s="63" t="str">
        <x:v>1-2步</x:v>
      </x:c>
      <x:c r="Q189" s="63" t="str">
        <x:v>概念判断</x:v>
      </x:c>
      <x:c r="R189" s="63" t="str">
        <x:v>单状态</x:v>
      </x:c>
      <x:c r="S189" s="63" t="str">
        <x:v>无约束</x:v>
      </x:c>
      <x:c r="T189" s="63" t="str">
        <x:v>无</x:v>
      </x:c>
      <x:c r="U189" s="63" t="str">
        <x:v>无</x:v>
      </x:c>
      <x:c r="V189" s="63" t="str">
        <x:v>简单因果推理</x:v>
      </x:c>
    </x:row>
    <x:row r="190">
      <x:c r="A190" s="64" t="str">
        <x:v>​2289157628578275328</x:v>
      </x:c>
      <x:c r="B190" s="65" t="str">
        <x:v>中等题</x:v>
      </x:c>
      <x:c r="C190" s="65" t="str">
        <x:v>中等题</x:v>
      </x:c>
      <x:c r="D190" s="65" t="str">
        <x:v>中等题</x:v>
      </x:c>
      <x:c r="E190" s="65" t="str">
        <x:v>保留原GPT裁定</x:v>
      </x:c>
      <x:c r="F190" s="65" t="str">
        <x:v>高</x:v>
      </x:c>
      <x:c r="G190" s="65" t="str">
        <x:v>基础题</x:v>
      </x:c>
      <x:c r="H190" s="65" t="str">
        <x:v>中等题</x:v>
      </x:c>
      <x:c r="I190" s="65" t="str">
        <x:v>题干、解析与结构证据支持中等题：step=3-5步，题型=概念判断，状态=双状态，约束=单一约束，推理=多层因果推理。教师、盲评和多次模型证据中未形成足以推翻原裁定的同向结构证据。</x:v>
      </x:c>
      <x:c r="J190" s="65" t="str">
        <x:v>未进入三次错题并集；逐题结构一致性复核</x:v>
      </x:c>
      <x:c r="K190" s="63" t="str">
        <x:v>F1、F2是作用在同一直线上的两个力，它们的合力方向水平向左，大小为60N，已知F1的大小为20N．下列关于F2的说法中正确的是（ ）</x:v>
      </x:c>
      <x:c r="L190" s="63" t="str">
        <x:v>A. F2大小一定是40N B. F2大小一定是80N C. F2的方向可能向左，也可能向右 D. F2的方向一定是向左的</x:v>
      </x:c>
      <x:c r="M190" s="63" t="str">
        <x:v>解：已知合力大小为F=60N，方向向左，F1大小为20N； 当F1向左，F2也向左时，F2=60N-20N=40N； 当F1向右时，F2向左时，有F2-F1=60N，则F2=60N+20N=80N， 综上可知，F2的大小可能是40N、也可能是80N，故AB错误； F2的方向一定沿水平向左，F1的方向可能向左、也可能向右，故C错误、D正确。 故选：D。</x:v>
      </x:c>
      <x:c r="N190" s="63" t="str">
        <x:v>https://k12static.xdf.cn/k12/image/externalized/255d6927-5860-4e11-b706-58d380ade8c3.png</x:v>
      </x:c>
      <x:c r="O190" s="63" t="str">
        <x:v>https://k12static.xdf.cn/k12/image/externalized/0f6d5168-c817-40d5-94ce-36e41f596629.png</x:v>
      </x:c>
      <x:c r="P190" s="63" t="str">
        <x:v>3-5步</x:v>
      </x:c>
      <x:c r="Q190" s="63" t="str">
        <x:v>概念判断</x:v>
      </x:c>
      <x:c r="R190" s="63" t="str">
        <x:v>双状态</x:v>
      </x:c>
      <x:c r="S190" s="63" t="str">
        <x:v>单一约束</x:v>
      </x:c>
      <x:c r="T190" s="63" t="str">
        <x:v>无</x:v>
      </x:c>
      <x:c r="U190" s="63" t="str">
        <x:v>无</x:v>
      </x:c>
      <x:c r="V190" s="63" t="str">
        <x:v>多层因果推理</x:v>
      </x:c>
    </x:row>
    <x:row r="191">
      <x:c r="A191" s="64" t="str">
        <x:v>​2289170944217333760</x:v>
      </x:c>
      <x:c r="B191" s="65" t="str">
        <x:v>中等题</x:v>
      </x:c>
      <x:c r="C191" s="65" t="str">
        <x:v>中等题</x:v>
      </x:c>
      <x:c r="D191" s="65" t="str">
        <x:v>中等题</x:v>
      </x:c>
      <x:c r="E191" s="65" t="str">
        <x:v>保留原GPT裁定</x:v>
      </x:c>
      <x:c r="F191" s="65" t="str">
        <x:v>高</x:v>
      </x:c>
      <x:c r="G191" s="65" t="str">
        <x:v>中等题</x:v>
      </x:c>
      <x:c r="H191" s="65" t="str">
        <x:v>拔高题</x:v>
      </x:c>
      <x:c r="I191" s="65" t="str">
        <x:v>题干、解析与结构证据支持中等题：step=3-5步，题型=概念判断，状态=双状态，约束=单一约束，推理=多层因果推理。教师、盲评和多次模型证据中未形成足以推翻原裁定的同向结构证据。</x:v>
      </x:c>
      <x:c r="J191" s="65" t="str">
        <x:v>未进入三次错题并集；逐题结构一致性复核</x:v>
      </x:c>
      <x:c r="K191" s="63" t="str">
        <x:v>为了探究压强的大小与哪些因素有关，谢军同学提出两个猜想：猜想一：压强的大小与受力面积的大小有关；猜想二：压强的大小与压力的大小有关。他通过思考设计这样的实验：用两食指先后用不同的力两次同时压铅笔两端，挤压时保持静止，如图所示。他这样的操作（ ）</x:v>
      </x:c>
      <x:c r="L191" s="63" t="str">
        <x:v>A. 只能验证猜想一 B. 只能验证猜想二 C. 既能验证猜想一，也能验证猜想二 D. 既不能验证猜想一，也不能验证猜想二</x:v>
      </x:c>
      <x:c r="M191" s="63" t="str">
        <x:v>解：先后两次用不同的力按压，分析同一端：面积不变，压力越大越疼，验证猜想二；在验证了猜想二的基础上，对于两次实验中的任意一次，下端压力大于上端压力（重力原因），根据猜想二，应当有下端压强大即下端手指疼的现象，但实际上，对于任意一次，都是上端手指更疼，所以一定是面积的不同带来了这种变化（即面积一定影响压强）。假设面积越大压强越大，则对于同一次按压，下端压力大，面积大，得到压强大的结论，这与实验现象矛盾，所以假设不成立。压强的大小与受力面积的大小有关，无法控制压力一定，解析中利用反证法得出结论不符合控制变量研究问题的思想综上，故B正确。 故选：B。</x:v>
      </x:c>
      <x:c r="N191" s="63" t="str">
        <x:v>https://k12static.xdf.cn/k12/image/externalized/9c803ac4-3c2e-4fe0-9641-4ad1006baf7f.png</x:v>
      </x:c>
      <x:c r="O191" s="63" t="str">
        <x:v>https://k12static.xdf.cn/k12/image/externalized/7bf7ef78-41c3-48be-bd28-f34198c42fb4.png</x:v>
      </x:c>
      <x:c r="P191" s="63" t="str">
        <x:v>3-5步</x:v>
      </x:c>
      <x:c r="Q191" s="63" t="str">
        <x:v>概念判断</x:v>
      </x:c>
      <x:c r="R191" s="63" t="str">
        <x:v>双状态</x:v>
      </x:c>
      <x:c r="S191" s="63" t="str">
        <x:v>单一约束</x:v>
      </x:c>
      <x:c r="T191" s="63" t="str">
        <x:v>控制变量或故障分析</x:v>
      </x:c>
      <x:c r="U191" s="63" t="str">
        <x:v>无</x:v>
      </x:c>
      <x:c r="V191" s="63" t="str">
        <x:v>多层因果推理</x:v>
      </x:c>
    </x:row>
    <x:row r="192">
      <x:c r="A192" s="64" t="str">
        <x:v>​2290248454637899776</x:v>
      </x:c>
      <x:c r="B192" s="65" t="str">
        <x:v>拔高题</x:v>
      </x:c>
      <x:c r="C192" s="65" t="str">
        <x:v>拔高题</x:v>
      </x:c>
      <x:c r="D192" s="65" t="str">
        <x:v>拔高题</x:v>
      </x:c>
      <x:c r="E192" s="65" t="str">
        <x:v>保留原GPT裁定</x:v>
      </x:c>
      <x:c r="F192" s="65" t="str">
        <x:v>高</x:v>
      </x:c>
      <x:c r="G192" s="65" t="str">
        <x:v>拔高题</x:v>
      </x:c>
      <x:c r="H192" s="65" t="str">
        <x:v>压轴题</x:v>
      </x:c>
      <x:c r="I192" s="65" t="str">
        <x:v>题干、解析与结构证据支持拔高题：step=3-5步，题型=实验探究，状态=双状态，约束=单一约束，推理=多层因果推理。教师、盲评和多次模型证据中未形成足以推翻原裁定的同向结构证据。</x:v>
      </x:c>
      <x:c r="J192" s="65" t="str">
        <x:v>未进入三次错题并集；逐题结构一致性复核</x:v>
      </x:c>
      <x:c r="K192" s="63" t="str">
        <x:v>伏安法测电阻时由于电流表电阻不为零，电压表电阻不是无穷大，会带来误差。为此现在设计A、B两种方案。如图所示，单刀双掷开关连通1时电压表和电流表的示数为U1和I1，连通2时电压表和电流表的示数为U2和I2，连通3时电压表和电流表的示数为U3和I3，连通4时电压表和电流表的示数为U4和I4，最佳方案是 （填A或者B），电阻值R= 。</x:v>
      </x:c>
      <x:c r="L192" s="63" t="str"/>
      <x:c r="M192" s="63" t="str">
        <x:v>解： 【A方案】：当开关连通1时，电压表与电阻R并联，则电压表测量电阻R两端电压，电流表测量通过电阻R和电压表的总电流，由欧姆定律可知，电压表和电流表的比值为电压表和电阻R的总电阻； 当开关连通2时，电流表与电阻串联，电流表测量通过电阻的电流，此时电压表测量电阻R和电流表两端的总电压，由欧姆定律可知，电压表和电流表的比值为电流表和电阻R的总电阻； 综合两种情况可知，无法表示出电阻R的表达式； 【B方案】：当开关连通3时，电流表与电阻R串联，再与电压表并联，则电压表测量电阻R和电流表两端的总电压，电流表测量电阻R中的电流，由欧姆定律可知，电压表和电流表的比值为电阻R和电流表的总电阻，即R+RA=$\frac{{U}_{3}}{{I}_{3}}$---------①； 当开关连通4时，电压表与电流表并联，再与电阻R串联，因此电压表测量电流表两端的电压，电流表测量自己的电流，则由欧姆定律可知，电压表和电流表的比值为电流表的电阻，即RA=$\frac{{U}_{4}}{{I}_{4}}$---------②； 综合①②可知，电阻值R=R+RA-RA=$\frac{{U}_{3}}{{I}_{3}}$-$\frac{{U}_{4}}{{I}_{4}}$，故最佳方案为B方案。 故答案为：B；$\frac{{U}_{3}}{{I}_{3}}$-$\frac{{U}_{4}}{{I}_{4}}$。</x:v>
      </x:c>
      <x:c r="N192" s="63" t="str">
        <x:v>https://k12static.xdf.cn/k12/image/externalized/44254a7a-c119-43b8-93ec-9d7020d9c040.png</x:v>
      </x:c>
      <x:c r="O192" s="63" t="str">
        <x:v>https://k12static.xdf.cn/k12/image/externalized/82c75715-420d-417a-99b7-dd9c155eb763.png</x:v>
      </x:c>
      <x:c r="P192" s="63" t="str">
        <x:v>3-5步</x:v>
      </x:c>
      <x:c r="Q192" s="63" t="str">
        <x:v>实验探究</x:v>
      </x:c>
      <x:c r="R192" s="63" t="str">
        <x:v>双状态</x:v>
      </x:c>
      <x:c r="S192" s="63" t="str">
        <x:v>单一约束</x:v>
      </x:c>
      <x:c r="T192" s="63" t="str">
        <x:v>方案设计或误差评价</x:v>
      </x:c>
      <x:c r="U192" s="63" t="str">
        <x:v>无</x:v>
      </x:c>
      <x:c r="V192" s="63" t="str">
        <x:v>多层因果推理</x:v>
      </x:c>
    </x:row>
    <x:row r="193">
      <x:c r="A193" s="64" t="str">
        <x:v>​2291762786473623552</x:v>
      </x:c>
      <x:c r="B193" s="65" t="str">
        <x:v>基础题</x:v>
      </x:c>
      <x:c r="C193" s="65" t="str">
        <x:v>基础题</x:v>
      </x:c>
      <x:c r="D193" s="65" t="str">
        <x:v>基础题</x:v>
      </x:c>
      <x:c r="E193" s="65" t="str">
        <x:v>保留原GPT裁定</x:v>
      </x:c>
      <x:c r="F193" s="65" t="str">
        <x:v>高</x:v>
      </x:c>
      <x:c r="G193" s="65" t="str">
        <x:v>基础题</x:v>
      </x:c>
      <x:c r="H193" s="65" t="str">
        <x:v>中等题</x:v>
      </x:c>
      <x:c r="I193" s="65" t="str">
        <x:v>题干、解析与结构证据支持基础题：step=1-2步，题型=概念判断，状态=单状态，约束=无约束，推理=简单因果推理。教师、盲评和多次模型证据中未形成足以推翻原裁定的同向结构证据。</x:v>
      </x:c>
      <x:c r="J193" s="65" t="str">
        <x:v>未进入三次错题并集；逐题结构一致性复核</x:v>
      </x:c>
      <x:c r="K193" s="63" t="str">
        <x:v>将-2℃的冰与0℃的水投入保温杯中，不与外界发生热交换，下面说法正确的是（ ）</x:v>
      </x:c>
      <x:c r="L193" s="63" t="str">
        <x:v>A. 冰的数量增多 B. 水的数量变多 C. 冰和水的数量都没变 D. 以上三种情况都有可能</x:v>
      </x:c>
      <x:c r="M193" s="63" t="str">
        <x:v>解：0℃的水比-2℃的冰温度高，0℃水会放出热量结冰，-2℃的冰吸收热量后，温度升高到0℃ 时，热量的传递会停止，这时如果不与外界发生热传递，冰和水的比例不会改变。 故答案为：A。</x:v>
      </x:c>
      <x:c r="N193" s="63" t="str">
        <x:v>https://k12static.xdf.cn/k12/image/externalized/759dd708-16ad-45ab-9fe9-fbdd9ad5081c.png</x:v>
      </x:c>
      <x:c r="O193" s="63" t="str">
        <x:v>https://k12static.xdf.cn/k12/image/externalized/a1fc96cc-13d3-4d43-9843-56d04712e810.png</x:v>
      </x:c>
      <x:c r="P193" s="63" t="str">
        <x:v>1-2步</x:v>
      </x:c>
      <x:c r="Q193" s="63" t="str">
        <x:v>概念判断</x:v>
      </x:c>
      <x:c r="R193" s="63" t="str">
        <x:v>单状态</x:v>
      </x:c>
      <x:c r="S193" s="63" t="str">
        <x:v>无约束</x:v>
      </x:c>
      <x:c r="T193" s="63" t="str">
        <x:v>无</x:v>
      </x:c>
      <x:c r="U193" s="63" t="str">
        <x:v>无</x:v>
      </x:c>
      <x:c r="V193" s="63" t="str">
        <x:v>简单因果推理</x:v>
      </x:c>
    </x:row>
    <x:row r="194">
      <x:c r="A194" s="64" t="str">
        <x:v>​2292109347317379072</x:v>
      </x:c>
      <x:c r="B194" s="65" t="str">
        <x:v>基础题</x:v>
      </x:c>
      <x:c r="C194" s="65" t="str">
        <x:v>基础题</x:v>
      </x:c>
      <x:c r="D194" s="65" t="str">
        <x:v>基础题</x:v>
      </x:c>
      <x:c r="E194" s="65" t="str">
        <x:v>保留原GPT裁定</x:v>
      </x:c>
      <x:c r="F194" s="65" t="str">
        <x:v>高</x:v>
      </x:c>
      <x:c r="G194" s="65" t="str">
        <x:v>中等题</x:v>
      </x:c>
      <x:c r="H194" s="65" t="str">
        <x:v>基础题</x:v>
      </x:c>
      <x:c r="I194" s="65" t="str">
        <x:v>题干、解析与结构证据支持基础题：step=1-2步，题型=概念判断，状态=单状态，约束=无约束，推理=简单因果推理。教师、盲评和多次模型证据中未形成足以推翻原裁定的同向结构证据。</x:v>
      </x:c>
      <x:c r="J194" s="65" t="str">
        <x:v>未进入三次错题并集；逐题结构一致性复核</x:v>
      </x:c>
      <x:c r="K194" s="63" t="str">
        <x:v>下列关于物态变化现象的解释正确的是（ ）</x:v>
      </x:c>
      <x:c r="L194" s="63" t="str">
        <x:v>A. 北方的冬天，窗玻璃外表面会出现冰花，这是凝华现象 B. 潮湿的衣服晾晒在通风的地方很快变干，这是蒸发现象 C. 衣柜中的樟脑丸过一段时间会变小甚至没有了，这是汽化现象 D. 冬天，戴眼镜的人从温暖的室内走到寒冷室外，镜片上有雾，这是液化现象</x:v>
      </x:c>
      <x:c r="M194" s="63" t="str">
        <x:v>解：A、北方的冬天，窗玻璃出现冰花，这是凝华现象，是室内的水蒸气遇冷凝华在玻璃的内表面，不是形成在外表面，故A错误； B、潮湿的衣服晾晒在通风的地方很快变干，这是蒸发现象，故B正确； C、衣柜中的樟脑丸过一段时间会变小甚至没有了，这是升华现象，故C错误； D、冬天，戴眼镜的人从温暖的室内走到寒冷室外，镜片上不会有雾，故D错误。 故选：B。</x:v>
      </x:c>
      <x:c r="N194" s="63" t="str">
        <x:v>https://k12static.xdf.cn/k12/image/externalized/8c8dc0a5-4ccb-4bf6-b747-eab5b6561bd5.png</x:v>
      </x:c>
      <x:c r="O194" s="63" t="str">
        <x:v>https://k12static.xdf.cn/k12/image/externalized/0e0fbe59-e6a6-4d30-8526-833223d222b7.png</x:v>
      </x:c>
      <x:c r="P194" s="63" t="str">
        <x:v>1-2步</x:v>
      </x:c>
      <x:c r="Q194" s="63" t="str">
        <x:v>概念判断</x:v>
      </x:c>
      <x:c r="R194" s="63" t="str">
        <x:v>单状态</x:v>
      </x:c>
      <x:c r="S194" s="63" t="str">
        <x:v>无约束</x:v>
      </x:c>
      <x:c r="T194" s="63" t="str">
        <x:v>无</x:v>
      </x:c>
      <x:c r="U194" s="63" t="str">
        <x:v>无</x:v>
      </x:c>
      <x:c r="V194" s="63" t="str">
        <x:v>简单因果推理</x:v>
      </x:c>
    </x:row>
    <x:row r="195">
      <x:c r="A195" s="64" t="str">
        <x:v>​2304073173050421248</x:v>
      </x:c>
      <x:c r="B195" s="65" t="str">
        <x:v>基础题</x:v>
      </x:c>
      <x:c r="C195" s="65" t="str">
        <x:v>基础题</x:v>
      </x:c>
      <x:c r="D195" s="65" t="str">
        <x:v>基础题</x:v>
      </x:c>
      <x:c r="E195" s="65" t="str">
        <x:v>保留原GPT裁定</x:v>
      </x:c>
      <x:c r="F195" s="65" t="str">
        <x:v>高</x:v>
      </x:c>
      <x:c r="G195" s="65" t="str">
        <x:v>基础题</x:v>
      </x:c>
      <x:c r="H195" s="65" t="str">
        <x:v>中等题</x:v>
      </x:c>
      <x:c r="I195" s="65" t="str">
        <x:v>题干、解析与结构证据支持基础题：step=1-2步，题型=直接计算，状态=单状态，约束=无约束，推理=简单因果推理。教师、盲评和多次模型证据中未形成足以推翻原裁定的同向结构证据。</x:v>
      </x:c>
      <x:c r="J195" s="65" t="str">
        <x:v>未进入三次错题并集；逐题结构一致性复核</x:v>
      </x:c>
      <x:c r="K195" s="63" t="str">
        <x:v>甲、乙两个质地均匀的实心正方体棱长分别为10cm和5cm。用同一台电子秤分别测量它们的质量，结果如图，则甲、乙两正方体的密度之比为（ ）</x:v>
      </x:c>
      <x:c r="L195" s="63" t="str">
        <x:v>A. 4：1 B. 1：2 C. 1：1 D. 1：4</x:v>
      </x:c>
      <x:c r="M195" s="63" t="str">
        <x:v>解：由题意可知，m甲=500g,m乙=250g,V甲=（10cm）3=1000cm3，V乙=（5cm）3=125cm3， 由ρ=$\frac{m}{V}$可得，甲、乙两正方体的密度之比： $\frac{{ρ}_{甲}}{{ρ}_{乙}}$=$\frac{\frac{{m}_{甲}}{{V}_{甲}}}{\frac{{m}_{乙}}{{V}_{乙}}}$=$\frac{{m}_{甲}}{{m}_{乙}}$×$\frac{{V}_{乙}}{{V}_{甲}}$=$\frac{500g}{250g}$×$\frac{125c{m}^{3}}{1000c{m}^{3}}$=$\frac{1}{4}$。 故选：D。</x:v>
      </x:c>
      <x:c r="N195" s="63" t="str">
        <x:v>https://k12static.xdf.cn/k12/image/externalized/dae61474-9227-4e72-bd29-95c577a30864.png</x:v>
      </x:c>
      <x:c r="O195" s="63" t="str">
        <x:v>https://k12static.xdf.cn/k12/image/externalized/a58e6703-84b6-4d40-b96c-ee3061a6ba7a.png</x:v>
      </x:c>
      <x:c r="P195" s="63" t="str">
        <x:v>1-2步</x:v>
      </x:c>
      <x:c r="Q195" s="63" t="str">
        <x:v>直接计算</x:v>
      </x:c>
      <x:c r="R195" s="63" t="str">
        <x:v>单状态</x:v>
      </x:c>
      <x:c r="S195" s="63" t="str">
        <x:v>无约束</x:v>
      </x:c>
      <x:c r="T195" s="63" t="str">
        <x:v>无</x:v>
      </x:c>
      <x:c r="U195" s="63" t="str">
        <x:v>直接读数</x:v>
      </x:c>
      <x:c r="V195" s="63" t="str">
        <x:v>简单因果推理</x:v>
      </x:c>
    </x:row>
    <x:row r="196">
      <x:c r="A196" s="64" t="str">
        <x:v>​2305195418126962688</x:v>
      </x:c>
      <x:c r="B196" s="65" t="str">
        <x:v>基础题</x:v>
      </x:c>
      <x:c r="C196" s="65" t="str">
        <x:v>基础题</x:v>
      </x:c>
      <x:c r="D196" s="65" t="str">
        <x:v>基础题</x:v>
      </x:c>
      <x:c r="E196" s="65" t="str">
        <x:v>保留原GPT裁定</x:v>
      </x:c>
      <x:c r="F196" s="65" t="str">
        <x:v>中</x:v>
      </x:c>
      <x:c r="G196" s="65" t="str">
        <x:v>中等题</x:v>
      </x:c>
      <x:c r="H196" s="65" t="str">
        <x:v>基础题</x:v>
      </x:c>
      <x:c r="I196" s="65" t="str">
        <x:v>题干、解析与结构证据支持基础题：step=1-2步，题型=概念判断，状态=单状态，约束=无约束，推理=简单因果推理。教师、盲评和多次模型证据中未形成足以推翻原裁定的同向结构证据。</x:v>
      </x:c>
      <x:c r="J196" s="65" t="str">
        <x:v>未进入三次错题并集；逐题结构一致性复核</x:v>
      </x:c>
      <x:c r="K196" s="63" t="str">
        <x:v>夜里，刚下过雨的路面十分潮湿，小元出门时拿着手电筒照亮前方路面。以下说法正确的是（ ）</x:v>
      </x:c>
      <x:c r="L196" s="63" t="str">
        <x:v>A. 手电筒发出的光在水泥路面上主要发生镜面反射 B. 手电筒发出的光在水坑水面上主要发生漫反射 C. 手电筒在水坑水面反射的光大多进入小元的眼睛，小元感觉水坑很亮 D. 为了不踩进水坑，小元应当踩较亮不踩较暗的</x:v>
      </x:c>
      <x:c r="M196" s="63" t="str">
        <x:v>解：A．当手电筒的光照射到水泥路面上时，由于水泥路面的表面比较粗糙，光会发生漫反射，使得光线向各个方向反射，导致我们能够从不同的方向看到手电筒的光，故A不符合题意； B．由于水坑水面相当于一个平面镜，手电筒发出的光在水坑水面上主要发生镜面反射，故B不符合题意； C．由于手电筒发出的光在水坑水面上主要发生镜面反射，因此大部分光反射出去，进入小元的眼睛的光就少，因此看到水坑就较暗，故C不符合题意； D．由于手电筒发出的光在水泥路面上主要发生漫反射，因此进入小元眼睛的光就较多，看到路面就较亮，且看到水坑较暗，所以为了不踩进水坑，小元应当踩较亮不踩较暗的，故D符合题意。 故选：D。</x:v>
      </x:c>
      <x:c r="N196" s="63" t="str">
        <x:v>https://k12static.xdf.cn/k12/image/externalized/176036e5-20c6-46bf-8bb4-e9acc6f9a6ea.png</x:v>
      </x:c>
      <x:c r="O196" s="63" t="str">
        <x:v>https://k12static.xdf.cn/k12/image/externalized/0521ff6d-bc42-4ee3-a998-46fc5610b47e.png</x:v>
      </x:c>
      <x:c r="P196" s="63" t="str">
        <x:v>1-2步</x:v>
      </x:c>
      <x:c r="Q196" s="63" t="str">
        <x:v>概念判断</x:v>
      </x:c>
      <x:c r="R196" s="63" t="str">
        <x:v>单状态</x:v>
      </x:c>
      <x:c r="S196" s="63" t="str">
        <x:v>无约束</x:v>
      </x:c>
      <x:c r="T196" s="63" t="str">
        <x:v>无</x:v>
      </x:c>
      <x:c r="U196" s="63" t="str">
        <x:v>无</x:v>
      </x:c>
      <x:c r="V196" s="63" t="str">
        <x:v>简单因果推理</x:v>
      </x:c>
    </x:row>
    <x:row r="197">
      <x:c r="A197" s="64" t="str">
        <x:v>​2313766770979164160</x:v>
      </x:c>
      <x:c r="B197" s="65" t="str">
        <x:v>基础题</x:v>
      </x:c>
      <x:c r="C197" s="65" t="str">
        <x:v>基础题</x:v>
      </x:c>
      <x:c r="D197" s="65" t="str">
        <x:v>基础题</x:v>
      </x:c>
      <x:c r="E197" s="65" t="str">
        <x:v>保留原GPT裁定</x:v>
      </x:c>
      <x:c r="F197" s="65" t="str">
        <x:v>高</x:v>
      </x:c>
      <x:c r="G197" s="65" t="str">
        <x:v>送分题</x:v>
      </x:c>
      <x:c r="H197" s="65" t="str">
        <x:v>基础题</x:v>
      </x:c>
      <x:c r="I197" s="65" t="str">
        <x:v>题干、解析与结构证据支持基础题：step=1-2步，题型=概念判断，状态=单状态，约束=无约束，推理=简单因果推理。教师、盲评和多次模型证据中未形成足以推翻原裁定的同向结构证据。</x:v>
      </x:c>
      <x:c r="J197" s="65" t="str">
        <x:v>未进入三次错题并集；逐题结构一致性复核</x:v>
      </x:c>
      <x:c r="K197" s="63" t="str">
        <x:v>如图所示，在探究电流与电阻关系实验时。正确的操作是（ ）</x:v>
      </x:c>
      <x:c r="L197" s="63" t="str">
        <x:v>A. 保持R2滑片的位置不动 B. 保持电路中电流不变 C. 保持R1不变，调节R2的滑片到不同的适当位置 D. 更换R1，调节R2的滑片到不同的适当位置</x:v>
      </x:c>
      <x:c r="M197" s="63" t="str">
        <x:v>解：A、换用不阻值的定值电阻时，R2滑片的位置要改变，才能保持R1两端的电压不变，故A错误； B、由于电压表示数保持不变，改变定值电阻的阻值，根据I=$\frac{U}{R}$可知，通过电路中的电流会发生改变，故B错误； C、要探究电流与电阻的关系，电阻R1是变量，需要改变R1的阻值，故C错误； D、根据上述分析可知，更换R1后，调节R2的滑片到不同的适当位置，保持R1两端的电压不变，故D正确率。 故选：D。</x:v>
      </x:c>
      <x:c r="N197" s="63" t="str">
        <x:v>https://k12static.xdf.cn/k12/image/externalized/5b296bf7-b774-430b-91d4-421b90cf1a2f.png</x:v>
      </x:c>
      <x:c r="O197" s="63" t="str">
        <x:v>https://k12static.xdf.cn/k12/image/externalized/1bc1d1a8-d650-49f7-be93-ddd397b7467c.png</x:v>
      </x:c>
      <x:c r="P197" s="63" t="str">
        <x:v>1-2步</x:v>
      </x:c>
      <x:c r="Q197" s="63" t="str">
        <x:v>概念判断</x:v>
      </x:c>
      <x:c r="R197" s="63" t="str">
        <x:v>单状态</x:v>
      </x:c>
      <x:c r="S197" s="63" t="str">
        <x:v>无约束</x:v>
      </x:c>
      <x:c r="T197" s="63" t="str">
        <x:v>控制变量或故障分析</x:v>
      </x:c>
      <x:c r="U197" s="63" t="str">
        <x:v>无</x:v>
      </x:c>
      <x:c r="V197" s="63" t="str">
        <x:v>简单因果推理</x:v>
      </x:c>
    </x:row>
    <x:row r="198">
      <x:c r="A198" s="64" t="str">
        <x:v>​2315595033093173248</x:v>
      </x:c>
      <x:c r="B198" s="65" t="str">
        <x:v>中等题</x:v>
      </x:c>
      <x:c r="C198" s="65" t="str">
        <x:v>中等题</x:v>
      </x:c>
      <x:c r="D198" s="65" t="str">
        <x:v>中等题</x:v>
      </x:c>
      <x:c r="E198" s="65" t="str">
        <x:v>保留原GPT裁定</x:v>
      </x:c>
      <x:c r="F198" s="65" t="str">
        <x:v>高</x:v>
      </x:c>
      <x:c r="G198" s="65" t="str">
        <x:v>拔高题</x:v>
      </x:c>
      <x:c r="H198" s="65" t="str">
        <x:v>中等题</x:v>
      </x:c>
      <x:c r="I198" s="65" t="str">
        <x:v>题干、解析与结构证据支持中等题：step=3-5步，题型=电路综合，状态=双状态，约束=无约束，推理=多层因果推理。教师、盲评和多次模型证据中未形成足以推翻原裁定的同向结构证据。</x:v>
      </x:c>
      <x:c r="J198" s="65" t="str">
        <x:v>未进入三次错题并集；逐题结构一致性复核</x:v>
      </x:c>
      <x:c r="K198" s="63" t="str">
        <x:v>在图的电路中，电源电压保持不变，R为定值电阻。闭合开关S后，将滑动变阻器的滑片P从最右端移到中间某个位置，电压表和电流表的示数分别变化了ΔU和ΔI．下列分析正确的是（ ）</x:v>
      </x:c>
      <x:c r="L198" s="63" t="str">
        <x:v>A. $\frac{\Delta U}{\Delta I}$变大 B. $\frac{\Delta U}{\Delta I}$变小 C. $\frac{\Delta U}{\Delta I}$不变 D. $\frac{\Delta U}{\Delta I}$先变小后变大</x:v>
      </x:c>
      <x:c r="M198" s="63" t="str">
        <x:v>解：由电路图可知，定值电阻R与滑动变阻器串联，电压表测R两端的电压，电流表测电路中的电流， 设滑片移动前后电路中的电流分别为I1、I2，则ΔI=I2-I1， 由I=$\frac{U}{R}$可得，电压表的示数分别为： U1=I1R，U2=I2R， 电压表示数的变化量： ΔU=U2-U1=I2R-I1R=（I2-I1）R=ΔIR， 即$\frac{\Delta U}{\Delta I}$=R， 所以，$\frac{\Delta U}{\Delta I}$不变。 故选：C。</x:v>
      </x:c>
      <x:c r="N198" s="63" t="str">
        <x:v>https://k12static.xdf.cn/k12/image/externalized/a4e790b7-1a12-4a4a-9178-ab3a9c465506.png</x:v>
      </x:c>
      <x:c r="O198" s="63" t="str">
        <x:v>https://k12static.xdf.cn/k12/image/externalized/3fbcbfb2-5cef-4dff-b3b0-de6128db214f.png</x:v>
      </x:c>
      <x:c r="P198" s="63" t="str">
        <x:v>3-5步</x:v>
      </x:c>
      <x:c r="Q198" s="63" t="str">
        <x:v>电路综合</x:v>
      </x:c>
      <x:c r="R198" s="63" t="str">
        <x:v>双状态</x:v>
      </x:c>
      <x:c r="S198" s="63" t="str">
        <x:v>无约束</x:v>
      </x:c>
      <x:c r="T198" s="63" t="str">
        <x:v>无</x:v>
      </x:c>
      <x:c r="U198" s="63" t="str">
        <x:v>无</x:v>
      </x:c>
      <x:c r="V198" s="63" t="str">
        <x:v>多层因果推理</x:v>
      </x:c>
    </x:row>
    <x:row r="199">
      <x:c r="A199" s="64" t="str">
        <x:v>​2317122708735619072</x:v>
      </x:c>
      <x:c r="B199" s="65" t="str">
        <x:v>中等题</x:v>
      </x:c>
      <x:c r="C199" s="65" t="str">
        <x:v>中等题</x:v>
      </x:c>
      <x:c r="D199" s="65" t="str">
        <x:v>中等题</x:v>
      </x:c>
      <x:c r="E199" s="65" t="str">
        <x:v>逐题复核后保留GPT裁定</x:v>
      </x:c>
      <x:c r="F199" s="65" t="str">
        <x:v>高</x:v>
      </x:c>
      <x:c r="G199" s="65" t="str">
        <x:v>基础题</x:v>
      </x:c>
      <x:c r="H199" s="65" t="str">
        <x:v>中等题</x:v>
      </x:c>
      <x:c r="I199" s="65" t="str">
        <x:v>存在约3—4步常规连续分析、共享过程或完整标准实验任务，关系仍显性。 题目证据：最长连续链实际有效物理决策约3步，五维锚定结果为基础/中等区间，最终判定为中等题。需要分别完成：根据质量体积关系判断密度特性、读取图像相同体积下的两组质量、利用密度公式计算密度比、最终判断选项结论，属于围绕同一m-V图像的多层常规分析，没有决定性转换或高密度综合链。</x:v>
      </x:c>
      <x:c r="J199" s="65" t="str">
        <x:v>三次运行错题并集逐题复核</x:v>
      </x:c>
      <x:c r="K199" s="63" t="str">
        <x:v>如图是根据甲、乙两种物质的质量和体积的实验数据绘制成的m-V图象。下列说法中正确的是（ ）</x:v>
      </x:c>
      <x:c r="L199" s="63" t="str">
        <x:v>A. 甲的质量大于乙的质量 B. 甲的质量与体积的比值不断增大 C. 甲的密度与乙的密度之比为2：1 D. 甲的质量与体积的比值比乙大</x:v>
      </x:c>
      <x:c r="M199" s="63" t="str">
        <x:v>解：A．在甲、乙体积未知的情况下，不能够比较甲、乙质量的大小，故A错误； B．由图可知，甲图象是正比例函数，说明甲物质的质量与体积成正比，即质量跟体积的比值不变，故B错误； CD．由图可知，当体积为7.5cm3时，甲的质量是60g,乙的质量是20g,由$ρ=\frac{m}{V}$可知，${ρ}_{甲}：{ρ}_{乙}=\frac{{m}_{甲}}{V}：\frac{{m}_{乙}}{V}={m}_{甲}：{m}_{乙}=60g：20g=3：1$，故C错误、D正确。 故选：D。</x:v>
      </x:c>
      <x:c r="N199" s="63" t="str">
        <x:v>https://k12static.xdf.cn/k12/image/externalized/8f381255-c6bd-4273-b5f3-f2e1edd8698f.png</x:v>
      </x:c>
      <x:c r="O199" s="63" t="str">
        <x:v>https://k12static.xdf.cn/k12/image/externalized/76d028c8-9085-4580-bff5-fcd81610698e.png</x:v>
      </x:c>
      <x:c r="P199" s="63" t="str">
        <x:v>3-5步</x:v>
      </x:c>
      <x:c r="Q199" s="63" t="str">
        <x:v>概念判断</x:v>
      </x:c>
      <x:c r="R199" s="63" t="str">
        <x:v>单状态</x:v>
      </x:c>
      <x:c r="S199" s="63" t="str">
        <x:v>无约束</x:v>
      </x:c>
      <x:c r="T199" s="63" t="str">
        <x:v>无</x:v>
      </x:c>
      <x:c r="U199" s="63" t="str">
        <x:v>多组比较归纳</x:v>
      </x:c>
      <x:c r="V199" s="63" t="str">
        <x:v>多层因果推理</x:v>
      </x:c>
    </x:row>
    <x:row r="200">
      <x:c r="A200" s="64" t="str">
        <x:v>​2317803659328512000</x:v>
      </x:c>
      <x:c r="B200" s="65" t="str">
        <x:v>中等题</x:v>
      </x:c>
      <x:c r="C200" s="65" t="str">
        <x:v>中等题</x:v>
      </x:c>
      <x:c r="D200" s="65" t="str">
        <x:v>中等题</x:v>
      </x:c>
      <x:c r="E200" s="65" t="str">
        <x:v>保留原GPT裁定</x:v>
      </x:c>
      <x:c r="F200" s="65" t="str">
        <x:v>高</x:v>
      </x:c>
      <x:c r="G200" s="65" t="str">
        <x:v>拔高题</x:v>
      </x:c>
      <x:c r="H200" s="65" t="str">
        <x:v>中等题</x:v>
      </x:c>
      <x:c r="I200" s="65" t="str">
        <x:v>题干、解析与结构证据支持中等题：step=3-5步，题型=概念判断，状态=多状态，约束=单一约束，推理=多层因果推理。教师、盲评和多次模型证据中未形成足以推翻原裁定的同向结构证据。</x:v>
      </x:c>
      <x:c r="J200" s="65" t="str">
        <x:v>未进入三次错题并集；逐题结构一致性复核</x:v>
      </x:c>
      <x:c r="K200" s="63" t="str">
        <x:v>在物理学中，当物体向上加速或向下减速运动，物体竖直方向所受支持力（或拉力）大于重力时，物体处于超重状态；当物体向上减速或向下加速运动，物体竖直方向所受支持力（或拉力）小于重力时，物体处于失重状态。如图所示，蹦床运动员从空中落到床面上，运动员从接触床面下降到最低点为第一过程，从最低点上升到离开床面为第二过程，运动员（ ）</x:v>
      </x:c>
      <x:c r="L200" s="63" t="str">
        <x:v>A. 在第一过程中始终处于失重状态 B. 在第二过程中始终处于超重状态 C. 在第一过程中先处于失重状态，后处于超重状态 D. 在第二过程中先处于超重状态，后处于失重状态</x:v>
      </x:c>
      <x:c r="M200" s="63" t="str">
        <x:v>解：（1）运动员从接触床面下降到最低点的过程中，首先是重力大于支持力，合力方向向下，运动员做加速运动，处于失重状态，然后支持力大于重力，合力方向向上，运动员做减速运动，处于超重状态，所以在第一过程中先处于失重状态，后处于超重状态。故A错误，C正确； （2）从最低点上升到离开床面的过程中，开始支持力大于重力，运动员向上加速，处于超重状态；一段时间后，支持力小于重力，向上减速，处于失重状态，故B错误，D正确。 故选：CD。</x:v>
      </x:c>
      <x:c r="N200" s="63" t="str">
        <x:v>https://k12static.xdf.cn/k12/image/externalized/f61b501b-d8f3-458e-a67f-26ff9106da04.png</x:v>
      </x:c>
      <x:c r="O200" s="63" t="str">
        <x:v>https://k12static.xdf.cn/k12/image/externalized/4a48f127-28c1-4e11-bcdf-c0c1dda4abba.png</x:v>
      </x:c>
      <x:c r="P200" s="63" t="str">
        <x:v>3-5步</x:v>
      </x:c>
      <x:c r="Q200" s="63" t="str">
        <x:v>概念判断</x:v>
      </x:c>
      <x:c r="R200" s="63" t="str">
        <x:v>多状态</x:v>
      </x:c>
      <x:c r="S200" s="63" t="str">
        <x:v>单一约束</x:v>
      </x:c>
      <x:c r="T200" s="63" t="str">
        <x:v>无</x:v>
      </x:c>
      <x:c r="U200" s="63" t="str">
        <x:v>无</x:v>
      </x:c>
      <x:c r="V200" s="63" t="str">
        <x:v>多层因果推理</x:v>
      </x:c>
    </x:row>
    <x:row r="201">
      <x:c r="A201" s="64" t="str">
        <x:v>​2318614123985788928</x:v>
      </x:c>
      <x:c r="B201" s="65" t="str">
        <x:v>中等题</x:v>
      </x:c>
      <x:c r="C201" s="65" t="str">
        <x:v>中等题</x:v>
      </x:c>
      <x:c r="D201" s="65" t="str">
        <x:v>中等题</x:v>
      </x:c>
      <x:c r="E201" s="65" t="str">
        <x:v>逐题复核后保留GPT裁定</x:v>
      </x:c>
      <x:c r="F201" s="65" t="str">
        <x:v>高</x:v>
      </x:c>
      <x:c r="G201" s="65" t="str">
        <x:v>基础题</x:v>
      </x:c>
      <x:c r="H201" s="65" t="str">
        <x:v>中等题</x:v>
      </x:c>
      <x:c r="I201" s="65" t="str">
        <x:v>需要围绕电路状态、图线/参数与安全约束完成常规的3—4个有效决策，或完成一套完整标准实验/共享过程分析。关系仍显性、方法常规，没有决定性隐含转换、复杂边界筛选或多状态强耦合。</x:v>
      </x:c>
      <x:c r="J201" s="65" t="str">
        <x:v>三次运行错题并集逐题复核</x:v>
      </x:c>
      <x:c r="K201" s="63" t="str">
        <x:v>有两个电路元件A、B，把它们串联在电路中，如图（乙）所示，流过元件的电流与其两端的电压关系如图（甲）所示。闭合开关S，这时电流表的示数为0.4A，则A、B两元件的电功率之比为（ ）</x:v>
      </x:c>
      <x:c r="L201" s="63" t="str">
        <x:v>A. 4：5 B. 5：4 C. 2：3 D. 1：3</x:v>
      </x:c>
      <x:c r="M201" s="63" t="str">
        <x:v>解：由图示电路图可知，两元件串联，通过它们的电流相等， 由图甲所示图象可知，电流为0.4A时，A、B两元件两端的电压分别为2.0V、2.5V， 两元件的电功率之比：$\frac{{P}_{A}}{{P}_{B}}$=$\frac{{U}_{A}I}{{U}_{B}I}$=$\frac{2.0V}{2.5V}$=$\frac{4}{5}$； 故选：A。</x:v>
      </x:c>
      <x:c r="N201" s="63" t="str">
        <x:v>https://k12static.xdf.cn/k12/image/externalized/ffff664e-a400-4bd5-8610-415557c81ba8.png</x:v>
      </x:c>
      <x:c r="O201" s="63" t="str">
        <x:v>https://k12static.xdf.cn/k12/image/externalized/e46505a7-134e-4ed2-9d34-37d0383d0ec6.png</x:v>
      </x:c>
      <x:c r="P201" s="63" t="str">
        <x:v>1-2步</x:v>
      </x:c>
      <x:c r="Q201" s="63" t="str">
        <x:v>电路综合</x:v>
      </x:c>
      <x:c r="R201" s="63" t="str">
        <x:v>单状态</x:v>
      </x:c>
      <x:c r="S201" s="63" t="str">
        <x:v>单一约束</x:v>
      </x:c>
      <x:c r="T201" s="63" t="str">
        <x:v>无</x:v>
      </x:c>
      <x:c r="U201" s="63" t="str">
        <x:v>直接读数</x:v>
      </x:c>
      <x:c r="V201" s="63" t="str">
        <x:v>简单因果推理</x:v>
      </x:c>
    </x:row>
    <x:row r="202">
      <x:c r="A202" s="64" t="str">
        <x:v>​2325329577104670720</x:v>
      </x:c>
      <x:c r="B202" s="65" t="str">
        <x:v>中等题</x:v>
      </x:c>
      <x:c r="C202" s="65" t="str">
        <x:v>中等题</x:v>
      </x:c>
      <x:c r="D202" s="65" t="str">
        <x:v>中等题</x:v>
      </x:c>
      <x:c r="E202" s="65" t="str">
        <x:v>保留原GPT裁定</x:v>
      </x:c>
      <x:c r="F202" s="65" t="str">
        <x:v>高</x:v>
      </x:c>
      <x:c r="G202" s="65" t="str">
        <x:v>拔高题</x:v>
      </x:c>
      <x:c r="H202" s="65" t="str">
        <x:v>压轴题</x:v>
      </x:c>
      <x:c r="I202" s="65" t="str">
        <x:v>题干、解析与结构证据支持中等题：step=3-5步，题型=实验探究，状态=单状态，约束=单一约束，推理=多层因果推理。教师、盲评和多次模型证据中未形成足以推翻原裁定的同向结构证据。</x:v>
      </x:c>
      <x:c r="J202" s="65" t="str">
        <x:v>未进入三次错题并集；逐题结构一致性复核</x:v>
      </x:c>
      <x:c r="K202" s="63" t="str">
        <x:v>小明设计图甲装置比较小灯泡和LED发光二极管的发光效率，该装置电路由电路①、密封箱和电路②组成，电路①中光敏电阻RP的阻值与光照强度的关系如图乙所示。 （1）小明将小灯泡安装在灯座上进行实验。 ①在开关闭合前，滑动变阻器的滑片应置于最 ________ 端； ②闭合开关，小明发现调节滑动变阻器时，电路②中电压表示数保持不变，电流表无示数。若导线及各接线柱连接完好，则电路中的 ________ 可能出现了 ________ 故障； ③排除故障后，小明向左移动滑动变阻器滑片，电路②中电压表示数 ________ ，灯泡亮度 ________ ，电路①中电压表示数 ________ ；（选填“变大”、“不变”或“变小”） ④调节滑动变阻器，分别记录下电路①和电路②中电表的示数。 （2）小明将LED发光二极管安装在灯座上进行实验。实验时，调节滑动变阻器，分别记录下电路①和电路②中电表的示数。电路②中电表示数如下表所示： 电压/V 20 2.3 2.5 2.8 3.0 3.3 3.5 3.6 3.7 电流/mA 0 5 10 60 160 380 690 900 1250 ①LED发光二极管由 ________ 材料制成；（选填“超导体”、“半导体”或“绝缘体”） ②已知该LED发光二极管的额定电压为3.6V，则其额定功率为 ________ W； （3）利用实验时记录的电表示数比较小灯泡和LED发光二极管的发光效率，方法是：当电路①中的电压表示数相同时，比较 ________ 。</x:v>
      </x:c>
      <x:c r="L202" s="63" t="str"/>
      <x:c r="M202" s="63" t="str">
        <x:v>解：（1）①为了保护电路，在开关闭合前，滑动变阻器的滑片应置于阻值最大处，即最右端； ②闭合开关，小明发现调节滑动变阻器时，电路②中电流表无示数，说明电路可能断路，电压表示数保持不变，说明电压表与电源连通，则与电压表并联的电路以外的电路是完好的，则与电压表并联的电路断路了，即电路中的灯泡可能出现了断路故障； ③排除故障后，小明向左移动滑动变阻器澄片，滑动变阻器阻值变小，根据分压原理，滑动变阻器两端电压变小，根据串联电路电压规律，灯泡两端电压变大，即电压表示数变大，灯泡实际功率变大，灯泡亮度变亮； 由图乙可知，光敏电阻RP的阻值随光照强度增大而减小，根据分压原理，光敏电阻RP两端的电压减小，根据串联电路电压规律，R0两端电压变大，即电压表示数变大； （2）①LED发光二极管由半导体材料制成； ②已知该LED发光二极管的额定电压为3.6V，由表可知，发光二极管的额定电流为900mA=0.9A，则发光二极管的额定功率为： P=UI=3.6V×0.9A=3.24W； （3）当电路①中的电压表示数相同时，说明光敏电阻受到的光照强度相同，即小灯泡和LED发光二极管发光强度相同，此时只需要比较电路②中两电表示数大小，即小灯泡和LED发光二极管实际功率大小。 故答案为：（1）①右；②灯泡；断路；③变大；变亮；变大；（2）①半导体；②3.24；（3）小灯泡和LED发光二极管实际功率大小。</x:v>
      </x:c>
      <x:c r="N202" s="63" t="str">
        <x:v>https://k12static.xdf.cn/k12/image/externalized/288e313d-376f-4204-9ce8-cc8d33739f10.png</x:v>
      </x:c>
      <x:c r="O202" s="63" t="str">
        <x:v>https://k12static.xdf.cn/k12/image/externalized/3d71b1d3-c61f-44d2-99d0-41e47d554da7.png</x:v>
      </x:c>
      <x:c r="P202" s="63" t="str">
        <x:v>3-5步</x:v>
      </x:c>
      <x:c r="Q202" s="63" t="str">
        <x:v>实验探究</x:v>
      </x:c>
      <x:c r="R202" s="63" t="str">
        <x:v>单状态</x:v>
      </x:c>
      <x:c r="S202" s="63" t="str">
        <x:v>单一约束</x:v>
      </x:c>
      <x:c r="T202" s="63" t="str">
        <x:v>控制变量或故障分析</x:v>
      </x:c>
      <x:c r="U202" s="63" t="str">
        <x:v>直接读数</x:v>
      </x:c>
      <x:c r="V202" s="63" t="str">
        <x:v>多层因果推理</x:v>
      </x:c>
    </x:row>
    <x:row r="203">
      <x:c r="A203" s="64" t="str">
        <x:v>​2325402383530942464</x:v>
      </x:c>
      <x:c r="B203" s="65" t="str">
        <x:v>中等题</x:v>
      </x:c>
      <x:c r="C203" s="65" t="str">
        <x:v>中等题</x:v>
      </x:c>
      <x:c r="D203" s="65" t="str">
        <x:v>中等题</x:v>
      </x:c>
      <x:c r="E203" s="65" t="str">
        <x:v>逐题复核后保留GPT裁定</x:v>
      </x:c>
      <x:c r="F203" s="65" t="str">
        <x:v>高</x:v>
      </x:c>
      <x:c r="G203" s="65" t="str">
        <x:v>基础题</x:v>
      </x:c>
      <x:c r="H203" s="65" t="str">
        <x:v>中等题</x:v>
      </x:c>
      <x:c r="I203" s="65" t="str">
        <x:v>存在约3—4步常规连续分析、共享过程或完整标准实验任务，关系仍显性。 题目证据：最高难选项实际有效推理为2步，五维锚定：知识量覆盖弹簧测力计读数、重力与质量关系、平衡力辨别、受力分析四个不同知识点；过程/对象为单对象，需要辨析不同拉力的受力对象和大小关系；数学工具无运算；情境为教材常规实验，不增加理解负担；思维层次属于概念辨析。四个选项均需要针对不同知识点做独立判断，最高难选项D需要分别确定两个拉力的大小关系，属于同一问题下的逻辑辨析。</x:v>
      </x:c>
      <x:c r="J203" s="65" t="str">
        <x:v>三次运行错题并集逐题复核</x:v>
      </x:c>
      <x:c r="K203" s="63" t="str">
        <x:v>如图所示，某同学利用弹簧测力计测量若干个质量已知的钩码的重力，探究重力的大小跟质量的关系，下列说法正确的是（ ）</x:v>
      </x:c>
      <x:c r="L203" s="63" t="str">
        <x:v>A. 弹簧测力计的分度值是0.01N B. 实验得出的结论是：物体的质量跟受到的重力成正比 C. 手对弹簧测力计的拉力和钩码对弹簧测力计的拉力是一对平衡力 D. 弹簧测力计对手的拉力大于弹簧测力计对钩码的拉力</x:v>
      </x:c>
      <x:c r="M203" s="63" t="str">
        <x:v>解：A、弹簧测力计的1大格表示1N，有5小格，所以分度值是0.2N，故A错误； B、探究重力的大小跟质量的关系，所以结论应该是重力的大小跟质量成正比，故B错误； C、手对弹簧测力计的拉力大小等于钩码和弹簧测力计重力大小之和；弹簧测力计对钩码的拉力大小等于钩码重力大小，所以不是一对平衡力，故C错误； D、弹簧测力计对手的拉力大小等于钩码和弹簧测力计重力大小之和，弹簧测力计对钩码的拉力大小和钩码重力大小，所以弹簧测力计对手的拉力大于弹簧测力计对钩码的拉力，故D正确； 故选：D。</x:v>
      </x:c>
      <x:c r="N203" s="63" t="str">
        <x:v>https://k12static.xdf.cn/k12/image/externalized/b5b1f65e-38a2-4446-a72e-2668c9285a00.png</x:v>
      </x:c>
      <x:c r="O203" s="63" t="str">
        <x:v>https://k12static.xdf.cn/k12/image/externalized/aa4f051d-a1da-4426-8f57-474626cc6ef1.png</x:v>
      </x:c>
      <x:c r="P203" s="63" t="str">
        <x:v>1-2步</x:v>
      </x:c>
      <x:c r="Q203" s="63" t="str">
        <x:v>概念判断</x:v>
      </x:c>
      <x:c r="R203" s="63" t="str">
        <x:v>单状态</x:v>
      </x:c>
      <x:c r="S203" s="63" t="str">
        <x:v>无约束</x:v>
      </x:c>
      <x:c r="T203" s="63" t="str">
        <x:v>无</x:v>
      </x:c>
      <x:c r="U203" s="63" t="str">
        <x:v>无</x:v>
      </x:c>
      <x:c r="V203" s="63" t="str">
        <x:v>多层因果推理</x:v>
      </x:c>
    </x:row>
    <x:row r="204">
      <x:c r="A204" s="64" t="str">
        <x:v>​2325418901083541504</x:v>
      </x:c>
      <x:c r="B204" s="65" t="str">
        <x:v>拔高题</x:v>
      </x:c>
      <x:c r="C204" s="65" t="str">
        <x:v>拔高题</x:v>
      </x:c>
      <x:c r="D204" s="65" t="str">
        <x:v>拔高题</x:v>
      </x:c>
      <x:c r="E204" s="65" t="str">
        <x:v>逐题复核后保留GPT裁定</x:v>
      </x:c>
      <x:c r="F204" s="65" t="str">
        <x:v>高</x:v>
      </x:c>
      <x:c r="G204" s="65" t="str">
        <x:v>拔高题</x:v>
      </x:c>
      <x:c r="H204" s="65" t="str">
        <x:v>拔高题</x:v>
      </x:c>
      <x:c r="I204" s="65" t="str">
        <x:v>最高难任务在教材概念与常规物理关系中包含图线反推、状态转换、误差评价、几何/等效转换、方程联立或参数反求等决定性卡点，整体约5—6个有效决策；尚未形成压轴所需的完整复杂约束网络。</x:v>
      </x:c>
      <x:c r="J204" s="65" t="str">
        <x:v>三次运行错题并集逐题复核</x:v>
      </x:c>
      <x:c r="K204" s="63" t="str">
        <x:v>a、b两个小球分别由ρ甲=4g/cm3、ρ乙=5g/cm3的甲、乙两种材料制成，两小球质量之比为ma：mb=6：5，体积之比为Va：Vb=3：4。则下列说法正确的是（ ）</x:v>
      </x:c>
      <x:c r="L204" s="63" t="str">
        <x:v>A. 若只有一个球是空心，则a球是空心的 B. 若只有一个球是空心，则空心球的空心部分与实心部分体积之比为1：4 C. 若两球均是空心的，a球的空心部分体积可以比b球的空心部分体积大 D. 若只有一个球是空心，将空心球的空心部分装满水后，两球总质量相等</x:v>
      </x:c>
      <x:c r="M204" s="63" t="str">
        <x:v>解：ABD、由ρ=$\frac{m}{V}$可得，甲、乙两种材料的体积之比（即实心部分的体积之比）： $\frac{{V}_{a实}}{{V}_{b实}}$=$\frac{\frac{{m}_{a}}{{ρ}_{甲}}}{\frac{{m}_{b}}{{ρ}_{乙}}}$=$\frac{{m}_{a}}{{m}_{b}}$×$\frac{{ρ}_{乙}}{{ρ}_{甲}}$=$\frac{6}{5}$×$\frac{5g/c{m}^{3}}{4g/c{m}^{3}}$=$\frac{3}{2}$＞$\frac{3}{4}$（即大于两球的体积之比）， 若只有一个球是空心，由前面计算可知b球的体积大于其材料的体积，故b球一定是空心，a球一定是实心，故A错误； 因两球的体积之比为Va：Vb=3：4，则可设a球的体积为3V，b球的体积为4V， 由前面计算可知b球材料的体积为2V，b球空心部分的体积Vb空=Vb-Vb实=4V-2V=2V， 所以，空心球的空心部分与实心部分体积之比为Vb空：Vb实=2V：2V=1：1，故B错误； 将空心球的空心部分装满水后，水的体积等于空心部分的体积， 则两球总质量之比：$\frac{{m}_{a}}{{m}_{b总}}$=$\frac{{ρ}_{甲}{V}_{a}}{{ρ}_{乙}{V}_{b实}+{ρ}_{水}{V}_{b空}}$=$\frac{4g/c{m}^{3}×3V}{5g/c{m}^{3}×2V+1g/c{m}^{3}×2V}$=$\frac{1}{1}$，故D正确； C、若两球均是空心的，由$\frac{{V}_{a实}}{{V}_{b实}}$=$\frac{3}{2}$，可设a球材料的体积为3V′，则b球材料的体积为2V′， 则两球的实际体积之比为： $\frac{{V}_{a}}{{V}_{b}}$=$\frac{3V′+{V}_{a空}}{2V′+{V}_{b空}}$=$\frac{3}{4}$， 整理可得：Vb空=$\frac{4}{3}$Va空+2V′＞Va空， 所以，a球的空心部分体积不可能比b球的空心部分体积大，故C错误。 故选：D。</x:v>
      </x:c>
      <x:c r="N204" s="63" t="str">
        <x:v>https://k12static.xdf.cn/k12/image/externalized/73939aa6-9f5e-4d01-8676-8f995654edca.png</x:v>
      </x:c>
      <x:c r="O204" s="63" t="str">
        <x:v>https://k12static.xdf.cn/k12/image/externalized/3209be63-8a05-4a9d-ae65-2d308c088124.png</x:v>
      </x:c>
      <x:c r="P204" s="63" t="str">
        <x:v>3-5步</x:v>
      </x:c>
      <x:c r="Q204" s="63" t="str">
        <x:v>概念判断</x:v>
      </x:c>
      <x:c r="R204" s="63" t="str">
        <x:v>单状态</x:v>
      </x:c>
      <x:c r="S204" s="63" t="str">
        <x:v>单一约束</x:v>
      </x:c>
      <x:c r="T204" s="63" t="str">
        <x:v>无</x:v>
      </x:c>
      <x:c r="U204" s="63" t="str">
        <x:v>无</x:v>
      </x:c>
      <x:c r="V204" s="63" t="str">
        <x:v>多层因果推理</x:v>
      </x:c>
    </x:row>
    <x:row r="205">
      <x:c r="A205" s="64" t="str">
        <x:v>​2325984702844915712</x:v>
      </x:c>
      <x:c r="B205" s="65" t="str">
        <x:v>拔高题</x:v>
      </x:c>
      <x:c r="C205" s="65" t="str">
        <x:v>拔高题</x:v>
      </x:c>
      <x:c r="D205" s="65" t="str">
        <x:v>拔高题</x:v>
      </x:c>
      <x:c r="E205" s="65" t="str">
        <x:v>逐题复核后保留GPT裁定</x:v>
      </x:c>
      <x:c r="F205" s="65" t="str">
        <x:v>高</x:v>
      </x:c>
      <x:c r="G205" s="65" t="str">
        <x:v>压轴题</x:v>
      </x:c>
      <x:c r="H205" s="65" t="str">
        <x:v>拔高题</x:v>
      </x:c>
      <x:c r="I205" s="65" t="str">
        <x:v>存在决定性反推/等效/误差/几何转换，或同一装置中的5—6步高密度综合链。 题目证据：最高难任务实际有效物理决策共4步：1.识别串联电路模型，分析滑片滑动对电路的影响，判断选项A；2.由灯泡额定参数计算额定电流和灯泡电阻，结合电流表量程、灯泡额定电压确定电路最大电流，计算滑动变阻器最小阻值和电路最大功率，判断选项C、D；3.分析滑动变阻器接入最大电阻的状态，计算电路最小电流；4.确定电流允许变化范围，判断选项B。两个状态分别建模计算，共享电路串联模型和安全约束，无复杂耦合，属于双状态常规分析结合多约束筛选。</x:v>
      </x:c>
      <x:c r="J205" s="65" t="str">
        <x:v>三次运行错题并集逐题复核</x:v>
      </x:c>
      <x:c r="K205" s="63" t="str">
        <x:v>如图所示，测量小灯泡电功率的电路图，电源电压恒为6V，电流表量程0～0.6A，电压表量程0～3V，滑动变阻器规格“50Ω 1A”，小灯泡规格“2.5V 0.625W”，若不考虑小灯泡阻值随温度的变化，小灯泡两端电压不允许超过额定值，闭合开关，下列说法正确的是（ ）</x:v>
      </x:c>
      <x:c r="L205" s="63" t="str">
        <x:v>A. 滑片向右滑动，电流表示数变小，电压表示数变大 B. 电流表的示数允许变化范围是0.1～0.25A C. 滑动变阻器的阻值允许调节的范围是24～50Ω D. 电路的最大电功率是2.5W</x:v>
      </x:c>
      <x:c r="M205" s="63" t="str">
        <x:v>解：由电路图可知，滑动变阻器与灯泡串联，电压表测灯泡两端的电压，电流表测电路中的电流。 （1）当滑动变阻器滑片向右滑动，接入电路中的电阻变大时，根据欧姆定律可知电路中的电流变小，即电流表示数变小；根据U=IR可知灯泡两端的电压变小，即电压表示数变小；故A错误； （2）根据P=UI可得，灯的额定电流： IL额=$\frac{{P}_{L额}}{{U}_{L额}}$=$\frac{0.625W}{2.5V}$=0.25A， 因串联电路中各处的电流相等，且电流表的量程为0～0.6A， 所以，电路中的最大电流为Imax=0.25A， 由I=$\frac{U}{R}$可得，灯泡的电阻： RL=$\frac{{U}_{L额}}{{I}_{L额}}$=$\frac{2.5V}{0.25A}$=10Ω， 电路中的总电阻： Rmin=$\frac{U}{{I}_{max}}$=$\frac{6V}{0.25A}$=24Ω， 因串联电路中总电阻等于各分电阻之和， 所以，滑动变阻器接入电路中的最小阻值： R滑min=Rmin-RL=24Ω-10Ω=14Ω；故C错误； 该电路的最大功率： Pmax=UImax=6V×0.25A=1.5W，故D错误； （3）当滑动变阻器接入电路中的电阻最大时，灯泡的功率最小，此时电路中的电流： Imin=$\frac{U}{{R}_{L}+{R}_{滑max}}$=$\frac{6V}{10Ω+50Ω}$=0.1A， 则电流表示数的变化范围是0.1A～0.25A，故B正确。 故选：B。</x:v>
      </x:c>
      <x:c r="N205" s="63" t="str">
        <x:v>https://k12static.xdf.cn/k12/image/externalized/1d96f459-a6f1-4aab-964f-8a59a98574df.png</x:v>
      </x:c>
      <x:c r="O205" s="63" t="str">
        <x:v>https://k12static.xdf.cn/k12/image/externalized/fad40b8b-1468-4200-aed0-f02de5e2fdf0.png</x:v>
      </x:c>
      <x:c r="P205" s="63" t="str">
        <x:v>3-5步</x:v>
      </x:c>
      <x:c r="Q205" s="63" t="str">
        <x:v>电路综合</x:v>
      </x:c>
      <x:c r="R205" s="63" t="str">
        <x:v>双状态</x:v>
      </x:c>
      <x:c r="S205" s="63" t="str">
        <x:v>多约束</x:v>
      </x:c>
      <x:c r="T205" s="63" t="str">
        <x:v>无</x:v>
      </x:c>
      <x:c r="U205" s="63" t="str">
        <x:v>无</x:v>
      </x:c>
      <x:c r="V205" s="63" t="str">
        <x:v>多层因果推理</x:v>
      </x:c>
    </x:row>
    <x:row r="206">
      <x:c r="A206" s="64" t="str">
        <x:v>​2326452803799965696</x:v>
      </x:c>
      <x:c r="B206" s="65" t="str">
        <x:v>中等题</x:v>
      </x:c>
      <x:c r="C206" s="65" t="str">
        <x:v>中等题</x:v>
      </x:c>
      <x:c r="D206" s="65" t="str">
        <x:v>中等题</x:v>
      </x:c>
      <x:c r="E206" s="65" t="str">
        <x:v>保留原GPT裁定</x:v>
      </x:c>
      <x:c r="F206" s="65" t="str">
        <x:v>高</x:v>
      </x:c>
      <x:c r="G206" s="65" t="str">
        <x:v>基础题</x:v>
      </x:c>
      <x:c r="H206" s="65" t="str">
        <x:v>拔高题</x:v>
      </x:c>
      <x:c r="I206" s="65" t="str">
        <x:v>题干、解析与结构证据支持中等题：step=3-5步，题型=力学综合，状态=双状态，约束=单一约束，推理=多层因果推理。教师、盲评和多次模型证据中未形成足以推翻原裁定的同向结构证据。</x:v>
      </x:c>
      <x:c r="J206" s="65" t="str">
        <x:v>未进入三次错题并集；逐题结构一致性复核</x:v>
      </x:c>
      <x:c r="K206" s="63" t="str">
        <x:v>如图所示，将一圆柱体从水中匀速提起直至下表面刚好离开水面，此过程容器底受到水的压强p随时间t变化的图象大致如下列图中的（ ）</x:v>
      </x:c>
      <x:c r="L206" s="63" t="str"/>
      <x:c r="M206" s="63" t="str">
        <x:v>解：①将一圆柱体从水中匀速提起至其上表面刚好露出水面之前，水的密度一定，容器内水的深度不变，根据p=ρgh可知，容器底受到水的压强不变； ②从圆柱体上表面刚露出水面到圆柱体直至下表面刚好离开水面的过程中，圆柱体排开水的体积减小，容器内水的深度逐渐减小；由于圆柱体被匀速提起，容器的形状上粗下细，根据ΔV排=SΔh可知，水的深度减小的越来越快，根据p=ρgh可知，容器底受到水的压强逐渐变小，并且也是减小得越来越快。符合这个规律的只有D图象，故ABC错误，D正确。 故选：D。</x:v>
      </x:c>
      <x:c r="N206" s="63" t="str">
        <x:v>https://k12static.xdf.cn/k12/image/externalized/f99bfb4a-fd3a-40eb-89c6-952bd6224b7e.png</x:v>
      </x:c>
      <x:c r="O206" s="63" t="str">
        <x:v>https://k12static.xdf.cn/k12/image/externalized/69504d05-c8bb-4f2b-be5a-c8ac79155e99.png</x:v>
      </x:c>
      <x:c r="P206" s="63" t="str">
        <x:v>3-5步</x:v>
      </x:c>
      <x:c r="Q206" s="63" t="str">
        <x:v>力学综合</x:v>
      </x:c>
      <x:c r="R206" s="63" t="str">
        <x:v>双状态</x:v>
      </x:c>
      <x:c r="S206" s="63" t="str">
        <x:v>单一约束</x:v>
      </x:c>
      <x:c r="T206" s="63" t="str">
        <x:v>无</x:v>
      </x:c>
      <x:c r="U206" s="63" t="str">
        <x:v>多组比较归纳</x:v>
      </x:c>
      <x:c r="V206" s="63" t="str">
        <x:v>多层因果推理</x:v>
      </x:c>
    </x:row>
    <x:row r="207">
      <x:c r="A207" s="64" t="str">
        <x:v>​2335143738644901888</x:v>
      </x:c>
      <x:c r="B207" s="65" t="str">
        <x:v>基础题</x:v>
      </x:c>
      <x:c r="C207" s="65" t="str">
        <x:v>基础题</x:v>
      </x:c>
      <x:c r="D207" s="65" t="str">
        <x:v>基础题</x:v>
      </x:c>
      <x:c r="E207" s="65" t="str">
        <x:v>保留原GPT裁定</x:v>
      </x:c>
      <x:c r="F207" s="65" t="str">
        <x:v>高</x:v>
      </x:c>
      <x:c r="G207" s="65" t="str">
        <x:v>送分题</x:v>
      </x:c>
      <x:c r="H207" s="65" t="str">
        <x:v>基础题</x:v>
      </x:c>
      <x:c r="I207" s="65" t="str">
        <x:v>题干、解析与结构证据支持基础题：step=1-2步，题型=概念判断，状态=单状态，约束=无约束，推理=直接套用。教师、盲评和多次模型证据中未形成足以推翻原裁定的同向结构证据。</x:v>
      </x:c>
      <x:c r="J207" s="65" t="str">
        <x:v>未进入三次错题并集；逐题结构一致性复核</x:v>
      </x:c>
      <x:c r="K207" s="63" t="str">
        <x:v>下列关于信息与能源的说法中，正确的是（ ）</x:v>
      </x:c>
      <x:c r="L207" s="63" t="str">
        <x:v>A. 不同频率的电磁波在真空中传播速度不同 B. 光纤通信是利用光的反射传递信息的 C. 当前运行的核电站是利用核聚变发电的 D. 任何形式的能量都可以自发的相互转化</x:v>
      </x:c>
      <x:c r="M207" s="63" t="str">
        <x:v>解： A、电磁波的传播速度大小与频率无关，不同频率的电磁波在真空中传播速度是相同的，故A错误； B、光纤通信是利用光的反射传递信息的，故B正确； C、当前运行的核电站是利用核裂变来发电的，故C错误； D、任何形式的能量在一定条件下可以相互转化，即有的能量不能自发的相互转化，如机械能无法自发的转化为核能，故D错误。 故选：B。</x:v>
      </x:c>
      <x:c r="N207" s="63" t="str">
        <x:v>https://k12static.xdf.cn/k12/image/externalized/046f74fe-fcf1-4536-a7da-32ce41418c69.png</x:v>
      </x:c>
      <x:c r="O207" s="63" t="str">
        <x:v>https://k12static.xdf.cn/k12/image/externalized/c0b807c3-3828-4c69-b8af-28283f6b1289.png</x:v>
      </x:c>
      <x:c r="P207" s="63" t="str">
        <x:v>1-2步</x:v>
      </x:c>
      <x:c r="Q207" s="63" t="str">
        <x:v>概念判断</x:v>
      </x:c>
      <x:c r="R207" s="63" t="str">
        <x:v>单状态</x:v>
      </x:c>
      <x:c r="S207" s="63" t="str">
        <x:v>无约束</x:v>
      </x:c>
      <x:c r="T207" s="63" t="str">
        <x:v>无</x:v>
      </x:c>
      <x:c r="U207" s="63" t="str">
        <x:v>无</x:v>
      </x:c>
      <x:c r="V207" s="63" t="str">
        <x:v>直接套用</x:v>
      </x:c>
    </x:row>
    <x:row r="208">
      <x:c r="A208" s="64" t="str">
        <x:v>​2335145167208067072</x:v>
      </x:c>
      <x:c r="B208" s="65" t="str">
        <x:v>基础题</x:v>
      </x:c>
      <x:c r="C208" s="65" t="str">
        <x:v>基础题</x:v>
      </x:c>
      <x:c r="D208" s="65" t="str">
        <x:v>基础题</x:v>
      </x:c>
      <x:c r="E208" s="65" t="str">
        <x:v>保留原GPT裁定</x:v>
      </x:c>
      <x:c r="F208" s="65" t="str">
        <x:v>高</x:v>
      </x:c>
      <x:c r="G208" s="65" t="str">
        <x:v>送分题</x:v>
      </x:c>
      <x:c r="H208" s="65" t="str">
        <x:v>基础题</x:v>
      </x:c>
      <x:c r="I208" s="65" t="str">
        <x:v>题干、解析与结构证据支持基础题：step=1-2步，题型=概念判断，状态=单状态，约束=无约束，推理=简单因果推理。教师、盲评和多次模型证据中未形成足以推翻原裁定的同向结构证据。</x:v>
      </x:c>
      <x:c r="J208" s="65" t="str">
        <x:v>未进入三次错题并集；逐题结构一致性复核</x:v>
      </x:c>
      <x:c r="K208" s="63" t="str">
        <x:v>下列说法正确的是（ ）</x:v>
      </x:c>
      <x:c r="L208" s="63" t="str">
        <x:v>A. 通过手语向听力障碍者传递信息，这是数字通信 B. 没有手机、收音机、电视机的海边就没有电磁波 C. 光信号在光导纤维中的传播速度是340m/s D. 通过调频95MHz日照新闻广播频道能听到频率为95MHz的声音</x:v>
      </x:c>
      <x:c r="M208" s="63" t="str">
        <x:v>解：A、用点“．”和画“—”的组合代表各种数字，一定的数字组合代表一个汉字，于是，一系列点和画组成的信号就可以代表一个完整的句子。像这样用不同符号的不同组合表示的信号叫做数字信号，使用数字信号的通信方式叫做数字通信。通过手语向听力障碍者传递信息，这是数字通信，故A正确； B、变化的电场和变化的磁场构成一个不可分离的场，这就是电磁场，而变化的电磁场在空间的传播形成电磁波，手机、收音机、电视机、微波炉等都能发出电磁波，故B错误； C、光在真空中的传播速度约为3×108m/s,光信号在光导纤维中的传播速度是 3×108m/s,故C错误； D．用调频 95MHz 日照新闻广播频道广播时，接收的是无线电波的频率，不是听到频率为 95MHz 的声音，故D错误。 故选：A。</x:v>
      </x:c>
      <x:c r="N208" s="63" t="str">
        <x:v>https://k12static.xdf.cn/k12/image/externalized/0bf9f9b4-3b24-4e40-a2b4-e3b5519e5933.png</x:v>
      </x:c>
      <x:c r="O208" s="63" t="str">
        <x:v>https://k12static.xdf.cn/k12/image/externalized/afffff23-a4b2-46fa-a590-4f913467fdb3.png</x:v>
      </x:c>
      <x:c r="P208" s="63" t="str">
        <x:v>1-2步</x:v>
      </x:c>
      <x:c r="Q208" s="63" t="str">
        <x:v>概念判断</x:v>
      </x:c>
      <x:c r="R208" s="63" t="str">
        <x:v>单状态</x:v>
      </x:c>
      <x:c r="S208" s="63" t="str">
        <x:v>无约束</x:v>
      </x:c>
      <x:c r="T208" s="63" t="str">
        <x:v>无</x:v>
      </x:c>
      <x:c r="U208" s="63" t="str">
        <x:v>无</x:v>
      </x:c>
      <x:c r="V208" s="63" t="str">
        <x:v>简单因果推理</x:v>
      </x:c>
    </x:row>
    <x:row r="209">
      <x:c r="A209" s="64" t="str">
        <x:v>​2335559937971740672</x:v>
      </x:c>
      <x:c r="B209" s="65" t="str">
        <x:v>基础题</x:v>
      </x:c>
      <x:c r="C209" s="65" t="str">
        <x:v>基础题</x:v>
      </x:c>
      <x:c r="D209" s="65" t="str">
        <x:v>基础题</x:v>
      </x:c>
      <x:c r="E209" s="65" t="str">
        <x:v>保留原GPT裁定</x:v>
      </x:c>
      <x:c r="F209" s="65" t="str">
        <x:v>高</x:v>
      </x:c>
      <x:c r="G209" s="65" t="str">
        <x:v>送分题</x:v>
      </x:c>
      <x:c r="H209" s="65" t="str">
        <x:v>基础题</x:v>
      </x:c>
      <x:c r="I209" s="65" t="str">
        <x:v>题干、解析与结构证据支持基础题：step=1-2步，题型=概念判断，状态=单状态，约束=无约束，推理=多层因果推理。教师、盲评和多次模型证据中未形成足以推翻原裁定的同向结构证据。</x:v>
      </x:c>
      <x:c r="J209" s="65" t="str">
        <x:v>未进入三次错题并集；逐题结构一致性复核</x:v>
      </x:c>
      <x:c r="K209" s="63" t="str">
        <x:v>关于误差，下列说法中，错误的是（ ）</x:v>
      </x:c>
      <x:c r="L209" s="63" t="str">
        <x:v>A. 测量误差就是测量错误 B. 误差与错误一样，都是可以避免的 C. 误差可能是因为测量者不规范使用测量工具造成的 D. 用多次测量求平均值的方法可以减少误差</x:v>
      </x:c>
      <x:c r="M209" s="63" t="str">
        <x:v>解：误差和错误是有区别的，误差只能尽量减小，不能消除，而错误是因为测量者不规范使用测量工具造成的，只要规范操作就能避免；故ABC错误，D正确。 故选：ABC。</x:v>
      </x:c>
      <x:c r="N209" s="63" t="str">
        <x:v>https://k12static.xdf.cn/k12/image/externalized/363a114e-ffd1-487e-bcff-b0d0d78b8180.png</x:v>
      </x:c>
      <x:c r="O209" s="63" t="str">
        <x:v>https://k12static.xdf.cn/k12/image/externalized/5c357d3d-84e9-40e6-8e33-a05484a0b638.png</x:v>
      </x:c>
      <x:c r="P209" s="63" t="str">
        <x:v>1-2步</x:v>
      </x:c>
      <x:c r="Q209" s="63" t="str">
        <x:v>概念判断</x:v>
      </x:c>
      <x:c r="R209" s="63" t="str">
        <x:v>单状态</x:v>
      </x:c>
      <x:c r="S209" s="63" t="str">
        <x:v>无约束</x:v>
      </x:c>
      <x:c r="T209" s="63" t="str">
        <x:v>无</x:v>
      </x:c>
      <x:c r="U209" s="63" t="str">
        <x:v>无</x:v>
      </x:c>
      <x:c r="V209" s="63" t="str">
        <x:v>多层因果推理</x:v>
      </x:c>
    </x:row>
    <x:row r="210">
      <x:c r="A210" s="64" t="str">
        <x:v>​2342858546971156480</x:v>
      </x:c>
      <x:c r="B210" s="65" t="str">
        <x:v>基础题</x:v>
      </x:c>
      <x:c r="C210" s="65" t="str">
        <x:v>基础题</x:v>
      </x:c>
      <x:c r="D210" s="65" t="str">
        <x:v>基础题</x:v>
      </x:c>
      <x:c r="E210" s="65" t="str">
        <x:v>保留原GPT裁定</x:v>
      </x:c>
      <x:c r="F210" s="65" t="str">
        <x:v>高</x:v>
      </x:c>
      <x:c r="G210" s="65" t="str">
        <x:v>基础题</x:v>
      </x:c>
      <x:c r="H210" s="65" t="str">
        <x:v>基础题</x:v>
      </x:c>
      <x:c r="I210" s="65" t="str">
        <x:v>题干、解析与结构证据支持基础题：step=1-2步，题型=概念判断，状态=单状态，约束=无约束，推理=简单因果推理。教师、盲评和多次模型证据中未形成足以推翻原裁定的同向结构证据。</x:v>
      </x:c>
      <x:c r="J210" s="65" t="str">
        <x:v>未进入三次错题并集；逐题结构一致性复核</x:v>
      </x:c>
      <x:c r="K210" s="63" t="str">
        <x:v>如图甲、乙两人在完全相同的水平沙滩散步，留下深浅相同、大小不同的脚印。则甲（ ）</x:v>
      </x:c>
      <x:c r="L210" s="63" t="str">
        <x:v>A. 所受的重力较大 B. 所受的压力与乙的相等 C. 对沙滩的压强较大 D. 对沙滩的压强较小</x:v>
      </x:c>
      <x:c r="M210" s="63" t="str">
        <x:v>解：甲、乙两人在完全相同的水平沙滩散步，他们在沙地上留下的脚印深浅相同，则他们对沙地的压强相等，即p甲=p乙，故CD错误； 因S甲＞S乙，所以，由p=$\frac{F}{S}$可得，F甲＞F乙，故B错误； 由于物体对水平面的压力等于重力，因此甲的重力较大，故A正确。 故选：A。</x:v>
      </x:c>
      <x:c r="N210" s="63" t="str">
        <x:v>https://k12static.xdf.cn/k12/image/externalized/da3424dc-49b5-4e6d-af6b-d25f8aa22afa.png</x:v>
      </x:c>
      <x:c r="O210" s="63" t="str">
        <x:v>https://k12static.xdf.cn/k12/image/externalized/b6febd9e-39d4-4e87-ab1f-858866899c3a.png</x:v>
      </x:c>
      <x:c r="P210" s="63" t="str">
        <x:v>1-2步</x:v>
      </x:c>
      <x:c r="Q210" s="63" t="str">
        <x:v>概念判断</x:v>
      </x:c>
      <x:c r="R210" s="63" t="str">
        <x:v>单状态</x:v>
      </x:c>
      <x:c r="S210" s="63" t="str">
        <x:v>无约束</x:v>
      </x:c>
      <x:c r="T210" s="63" t="str">
        <x:v>无</x:v>
      </x:c>
      <x:c r="U210" s="63" t="str">
        <x:v>无</x:v>
      </x:c>
      <x:c r="V210" s="63" t="str">
        <x:v>简单因果推理</x:v>
      </x:c>
    </x:row>
    <x:row r="211">
      <x:c r="A211" s="64" t="str">
        <x:v>​2345527930483122176</x:v>
      </x:c>
      <x:c r="B211" s="65" t="str">
        <x:v>拔高题</x:v>
      </x:c>
      <x:c r="C211" s="65" t="str">
        <x:v>拔高题</x:v>
      </x:c>
      <x:c r="D211" s="65" t="str">
        <x:v>拔高题</x:v>
      </x:c>
      <x:c r="E211" s="65" t="str">
        <x:v>逐题复核后保留GPT裁定</x:v>
      </x:c>
      <x:c r="F211" s="65" t="str">
        <x:v>高</x:v>
      </x:c>
      <x:c r="G211" s="65" t="str">
        <x:v>中等题</x:v>
      </x:c>
      <x:c r="H211" s="65" t="str">
        <x:v>拔高题</x:v>
      </x:c>
      <x:c r="I211" s="65" t="str">
        <x:v>最高难任务在电路状态、图线/参数与安全约束中包含图线反推、状态转换、误差评价、几何/等效转换、方程联立或参数反求等决定性卡点，整体约5—6个有效决策；尚未形成压轴所需的完整复杂约束网络。</x:v>
      </x:c>
      <x:c r="J211" s="65" t="str">
        <x:v>三次运行错题并集逐题复核</x:v>
      </x:c>
      <x:c r="K211" s="63" t="str">
        <x:v>物理兴趣小组设计了如图甲所示的电路，电源电压恒定，R0为定值电阻，R为滑动变阻器。闭合开关S，滑片P从一端滑到另一端的过程中，电压表示数随滑动变阻器阻值变化的关系如图乙所示，下列说法正确的是（ ）</x:v>
      </x:c>
      <x:c r="L211" s="63" t="str">
        <x:v>A. 电源电压U=6V B. 滑片P从最左端向最右端滑动过程中，电流表示数变大 C. 滑片滑动过程中，电压表与电流表示数之比不变 D. 电路的最大电功率为7.2W</x:v>
      </x:c>
      <x:c r="M211" s="63" t="str">
        <x:v>解：由电路图可知，R0与R串联，电压表测R两端的电压，电流表测电路中的电流。 B、当变阻器滑片向右滑动过程中，变阻器接入电路中的电阻变小，电路中的总电阻变小， 由I=$\frac{U}{R}$可知，电路中的电流变大，即电流表的读数变大，故B正确； C、由电路图可知，电压表测滑动变阻器R两端的电压，电流表测滑动变阻器中的电流，所以电压表与电流表示数之比为滑动变阻器的电阻，因为变阻器滑片向右滑动过程中变阻器接入电路中的电阻变小，所以电压表与电流表示数之比变小，故C错误； A、由图可知，当滑动变阻器的电阻为5Ω时，其两端的电压为3V，通过电路的电流为：I1=$\frac{{U}_{1}}{{R}_{1}}$=$\frac{3V}{5Ω}$=0.6A， 则电源电压为：U=U1+I1R0=3V+0.6A×R0-------①； 滑动变阻器的电阻为10Ω时，其两端的电压为4V，通过电路的电流为：I2=$\frac{{U}_{2}}{{R}_{2}}$=$\frac{4V}{10Ω}$=0.4A， 则电源电压为：U=U2+I2R0=4V+0.4A×R0-------②； 联立①②得，R0=5Ω，U=3V+0.6A×5Ω=6V，故A正确； D、当滑动变阻器的电阻为零时电路消耗的功率最大，电路消耗的最大功率为P=$\frac{{U}^{2}}{{R}_{0}}$=$\frac{(6V)^{2}}{5Ω}$=7.2W，故D正确。 故选：ABD。</x:v>
      </x:c>
      <x:c r="N211" s="63" t="str">
        <x:v>https://k12static.xdf.cn/k12/image/externalized/3808d317-732e-4d50-bb4e-c5ce5da86af6.png</x:v>
      </x:c>
      <x:c r="O211" s="63" t="str">
        <x:v>https://k12static.xdf.cn/k12/image/externalized/70978b0f-335d-497c-a3c0-f6956ccd130d.png</x:v>
      </x:c>
      <x:c r="P211" s="63" t="str">
        <x:v>3-5步</x:v>
      </x:c>
      <x:c r="Q211" s="63" t="str">
        <x:v>电路综合</x:v>
      </x:c>
      <x:c r="R211" s="63" t="str">
        <x:v>双状态</x:v>
      </x:c>
      <x:c r="S211" s="63" t="str">
        <x:v>单一约束</x:v>
      </x:c>
      <x:c r="T211" s="63" t="str">
        <x:v>无</x:v>
      </x:c>
      <x:c r="U211" s="63" t="str">
        <x:v>直接读数</x:v>
      </x:c>
      <x:c r="V211" s="63" t="str">
        <x:v>多层因果推理</x:v>
      </x:c>
    </x:row>
    <x:row r="212">
      <x:c r="A212" s="64" t="str">
        <x:v>​2347134657733337088</x:v>
      </x:c>
      <x:c r="B212" s="65" t="str">
        <x:v>中等题</x:v>
      </x:c>
      <x:c r="C212" s="65" t="str">
        <x:v>中等题</x:v>
      </x:c>
      <x:c r="D212" s="65" t="str">
        <x:v>中等题</x:v>
      </x:c>
      <x:c r="E212" s="65" t="str">
        <x:v>逐题复核后保留GPT裁定</x:v>
      </x:c>
      <x:c r="F212" s="65" t="str">
        <x:v>高</x:v>
      </x:c>
      <x:c r="G212" s="65" t="str">
        <x:v>中等题</x:v>
      </x:c>
      <x:c r="H212" s="65" t="str">
        <x:v>拔高题</x:v>
      </x:c>
      <x:c r="I212" s="65" t="str">
        <x:v>存在约3—4步常规连续分析、共享过程或完整标准实验任务，关系仍显性。 题目证据：最长连续链有3个有效物理决策：1.从图像读取已知R2和对应功率，利用功率公式计算电路电流；2.结合串联电阻规律和欧姆定律计算电源电压；3.根据图像确定R2最大功率对应阻值，重新计算电流和最大功率。五维锚定：知识量为2-3个同模块知识点，过程对象为两个状态，数学工具为多步简单笔算，情境为常规图像变式，思维层次为常规多层因果推理，整体落在基础/中等区间，属于常规分析任务。</x:v>
      </x:c>
      <x:c r="J212" s="65" t="str">
        <x:v>三次运行错题并集逐题复核</x:v>
      </x:c>
      <x:c r="K212" s="63" t="str">
        <x:v>如图甲所示，R1的阻值是20Ω，滑动变阻器R2消耗的功率P与其电阻R2的关系图像如图乙所示，则R2消耗的最大功率是（ ）</x:v>
      </x:c>
      <x:c r="L212" s="63" t="str">
        <x:v>A. 0.45W B. 0.50W C. 0.80W D. 0.90W</x:v>
      </x:c>
      <x:c r="M212" s="63" t="str">
        <x:v>解：滑动变阻器R2消耗的功率P与其电阻R2的关系图像，可知当R2=10Ω时，P2=0.4W 由P=I2R可得：I=$\sqrt{\frac{P}{{R}_{2}}}$=$\sqrt{\frac{0.4W}{10Ω}}$=0.2A， 由欧姆定律I=$\frac{U}{R}$得：电源电压为：U=IR=0.2A×（20Ω+10Ω）=6V； 乙图可知当R2=20Ω时，R2的功率最大，此时电路中的电流为I′=$\frac{U}{R′}$=$\frac{6V}{20Ω+20Ω}$=0.15A， 电阻R2的最大功率为P′=（I′）2R2=（0.15A）2×20Ω=0.45W 故选：A。</x:v>
      </x:c>
      <x:c r="N212" s="63" t="str">
        <x:v>https://k12static.xdf.cn/k12/image/externalized/70eb7433-5910-4951-b769-c7506c05c887.png</x:v>
      </x:c>
      <x:c r="O212" s="63" t="str">
        <x:v>https://k12static.xdf.cn/k12/image/externalized/299f8ac5-9c51-405a-a05f-de58eb437ed3.png</x:v>
      </x:c>
      <x:c r="P212" s="63" t="str">
        <x:v>3-5步</x:v>
      </x:c>
      <x:c r="Q212" s="63" t="str">
        <x:v>电路综合</x:v>
      </x:c>
      <x:c r="R212" s="63" t="str">
        <x:v>双状态</x:v>
      </x:c>
      <x:c r="S212" s="63" t="str">
        <x:v>单一约束</x:v>
      </x:c>
      <x:c r="T212" s="63" t="str">
        <x:v>无</x:v>
      </x:c>
      <x:c r="U212" s="63" t="str">
        <x:v>直接读数</x:v>
      </x:c>
      <x:c r="V212" s="63" t="str">
        <x:v>多层因果推理</x:v>
      </x:c>
    </x:row>
    <x:row r="213">
      <x:c r="A213" s="64" t="str">
        <x:v>​2352781116951805952</x:v>
      </x:c>
      <x:c r="B213" s="65" t="str">
        <x:v>拔高题</x:v>
      </x:c>
      <x:c r="C213" s="65" t="str">
        <x:v>拔高题</x:v>
      </x:c>
      <x:c r="D213" s="65" t="str">
        <x:v>拔高题</x:v>
      </x:c>
      <x:c r="E213" s="65" t="str">
        <x:v>保留原GPT裁定</x:v>
      </x:c>
      <x:c r="F213" s="65" t="str">
        <x:v>高</x:v>
      </x:c>
      <x:c r="G213" s="65" t="str">
        <x:v>拔高题</x:v>
      </x:c>
      <x:c r="H213" s="65" t="str">
        <x:v>拔高题</x:v>
      </x:c>
      <x:c r="I213" s="65" t="str">
        <x:v>题干、解析与结构证据支持拔高题：step=3-5步，题型=力学综合，状态=单状态，约束=单一约束，推理=多层因果推理。教师、盲评和多次模型证据中未形成足以推翻原裁定的同向结构证据。</x:v>
      </x:c>
      <x:c r="J213" s="65" t="str">
        <x:v>未进入三次错题并集；逐题结构一致性复核</x:v>
      </x:c>
      <x:c r="K213" s="63" t="str">
        <x:v>如图，甲、乙是放在水平地面上的两个质量均匀的长方体，它们的密度之比ρ甲：ρ乙=4：5，底面积之比S甲：S乙=5：8，对水平地面的压强之比p甲：p乙=6：5，下列有关甲、乙的说法正确的是（ ） ①甲、乙的质量之比是3：4； ②甲、乙的体积之比是15：16 ③将甲、乙分别沿水平方向切去相同的体积后，剩余部分对地面的压强可能相等； ④将甲、乙分别沿水平方向切去相同的高度后，剩余部分对地面的压强可能相等。</x:v>
      </x:c>
      <x:c r="L213" s="63" t="str">
        <x:v>A. ①②③ B. ②③④ C. ①②③④ D. ①②④</x:v>
      </x:c>
      <x:c r="M213" s="63" t="str">
        <x:v>解：①由p=$\frac{F}{S}$可得甲、乙对水平地面的压力之比： $\frac{{F}_{甲}}{{F}_{乙}}$=$\frac{{p}_{甲}{S}_{甲}}{{p}_{乙}{S}_{乙}}$=$\frac{6×5}{5×8}$=$\frac{3}{4}$， 因水平面上物体的压力和自身的重力相等，所以，由F=G=mg可得，甲、乙的质量之比： $\frac{{m}_{甲}}{{m}_{乙}}$=$\frac{\frac{{G}_{甲}}{g}}{\frac{{G}_{乙}}{g}}$=$\frac{{G}_{甲}}{{G}_{乙}}$=$\frac{{F}_{甲}}{{F}_{乙}}$=$\frac{3}{4}$； ②由ρ=$\frac{m}{V}$可得甲、乙的体积之比： $\frac{{V}_{甲}}{{V}_{乙}}$=$\frac{\frac{{m}_{甲}}{{ρ}_{甲}}}{\frac{{m}_{乙}}{{ρ}_{乙}}}$=$\frac{{m}_{甲}}{{m}_{乙}}$×$\frac{{ρ}_{乙}}{{ρ}_{甲}}$=$\frac{3}{4}$×$\frac{5}{4}$=$\frac{15}{16}$； ③因水平面上物体的压力和自身的重力相等，所以，物体对地面的压强： p=$\frac{F}{S}$=$\frac{G}{S}$=$\frac{mg}{S}$=$\frac{ρVg}{S}$， 切去相同体积时，两者压强的变化量分别为： Δp甲=$\frac{{ρ}_{甲}\Delta Vg}{{S}_{甲}}$，Δp乙=$\frac{{ρ}_{乙}\Delta Vg}{{S}_{乙}}$， 则：$\frac{\Delta {p}_{甲}}{\Delta {p}_{乙}}$=$\frac{\frac{{ρ}_{甲}\Delta Vg}{{S}_{甲}}}{\frac{{ρ}_{乙}\Delta Vg}{{S}_{乙}}}$=$\frac{{ρ}_{甲}}{{ρ}_{乙}}$×$\frac{{S}_{乙}}{{S}_{甲}}$=$\frac{4}{5}$×$\frac{8}{5}$=32：25， 所以，Δp甲＞Δp乙， 已知原来甲乙对水平地面的压强之比p甲：p乙=6：5，则：p甲＞p乙， 由于剩余部分对地面的压强p′=p-Δp,所以剩余部分对地面的压强可能相等； ④由于水平面上的柱状物体对地面的压强可以利用p=ρgh比较，则切去相同的高度后，两者压强的变化量分别为： Δp甲′=ρ甲gΔh,Δp乙′=ρ乙gΔh, 已知它们的密度之比ρ甲：ρ乙=4：5，则：ρ甲＜ρ乙， 所以，Δp甲′＜Δp乙′， 已知原来甲乙对水平地面的压强之比p甲：p乙=6：5，则：p甲＞p乙， 由于剩余部分对地面的压强p′=p-Δp′，所以剩余部分对地面的压强不可能相等。 综上分析可知，①②③正确、④错误。 故选：A。</x:v>
      </x:c>
      <x:c r="N213" s="63" t="str">
        <x:v>https://k12static.xdf.cn/k12/image/externalized/84893f48-c83d-4163-834d-6397fb9f2f34.png</x:v>
      </x:c>
      <x:c r="O213" s="63" t="str">
        <x:v>https://k12static.xdf.cn/k12/image/externalized/85e8ed8b-d694-46a0-a49d-33cab4d56e93.png</x:v>
      </x:c>
      <x:c r="P213" s="63" t="str">
        <x:v>3-5步</x:v>
      </x:c>
      <x:c r="Q213" s="63" t="str">
        <x:v>力学综合</x:v>
      </x:c>
      <x:c r="R213" s="63" t="str">
        <x:v>单状态</x:v>
      </x:c>
      <x:c r="S213" s="63" t="str">
        <x:v>单一约束</x:v>
      </x:c>
      <x:c r="T213" s="63" t="str">
        <x:v>无</x:v>
      </x:c>
      <x:c r="U213" s="63" t="str">
        <x:v>无</x:v>
      </x:c>
      <x:c r="V213" s="63" t="str">
        <x:v>多层因果推理</x:v>
      </x:c>
    </x:row>
    <x:row r="214">
      <x:c r="A214" s="64" t="str">
        <x:v>​2353187118832447488</x:v>
      </x:c>
      <x:c r="B214" s="65" t="str">
        <x:v>中等题</x:v>
      </x:c>
      <x:c r="C214" s="65" t="str">
        <x:v>中等题</x:v>
      </x:c>
      <x:c r="D214" s="65" t="str">
        <x:v>中等题</x:v>
      </x:c>
      <x:c r="E214" s="65" t="str">
        <x:v>保留原GPT裁定</x:v>
      </x:c>
      <x:c r="F214" s="65" t="str">
        <x:v>高</x:v>
      </x:c>
      <x:c r="G214" s="65" t="str">
        <x:v>中等题</x:v>
      </x:c>
      <x:c r="H214" s="65" t="str">
        <x:v>中等题</x:v>
      </x:c>
      <x:c r="I214" s="65" t="str">
        <x:v>题干、解析与结构证据支持中等题：step=3-5步，题型=实验探究，状态=单状态，约束=无约束，推理=多层因果推理。教师、盲评和多次模型证据中未形成足以推翻原裁定的同向结构证据。</x:v>
      </x:c>
      <x:c r="J214" s="65" t="str">
        <x:v>未进入三次错题并集；逐题结构一致性复核</x:v>
      </x:c>
      <x:c r="K214" s="63" t="str">
        <x:v>如图所示是“探究浮力的大小跟排开液体所受重力的关系”的几个实验情景，F1、F2、F3、F4分别为图甲、乙、丙、丁中弹簧测力计的读数。下列说法正确的是（ ）</x:v>
      </x:c>
      <x:c r="L214" s="63" t="str">
        <x:v>A. 为完成探究实验，图甲中溢水杯不一定要盛满液体 B. 实验中物体不完全浸没水中也能得出浮力的大小与排开液体所受重力的关系 C. 在实验误差范围内，F1、F2、F3、F4的大小关系满足：F1+F2=F3+F4 D. 既能减小实验误差，又能使操作简便，最合理的实验顺序是甲、丁、乙、丙</x:v>
      </x:c>
      <x:c r="M214" s="63" t="str">
        <x:v>解：A、物体放入水中前，溢水杯应该是装满水的，否则小桶内所盛的水将小于物体排开水的体积，物块排开水所受的重力变小，得不出正确结果，故A错误； B、实验中物体不完全浸没水中也能得出浮力的大小与排开液体所受重力的关系，故B正确； C、由图可知：F4测空桶的重力，F1测物体的重力，F2是物体浸没在液体中时的测力计的拉力，F3测出排出的水和空桶的总重力， 根据称重法测浮力可知：F浮=F1-F2，排开液体的重力：G排=F3-F4， 根据阿基米德原理可知，物体所受浮力等于其排开水的重力，即F浮=G排；所以有：F1-F2=F3-F4，故C错误； D、若按图中甲、乙、丙、丁的顺序进行实验时，先测量水和桶的总重力，再测量空桶的重力，由于空桶中有残留的水使得空桶的重力偏大，会导致排开水的重力偏小，应该先测量物体或空桶的重力，再将物体放入水中，得出弹簧测力计的示数，最后测出桶和水的总重力，即按丁、甲、乙、丙或甲、丁、乙、丙，为了操作简便应先测空桶的重力，再测物体的重力，因此最合理的实验顺序是丁、甲、乙、丙，故D错误。 故选：B。</x:v>
      </x:c>
      <x:c r="N214" s="63" t="str">
        <x:v>https://k12static.xdf.cn/k12/image/externalized/6e79a0b4-344f-4942-b1c2-903848ffd79d.png</x:v>
      </x:c>
      <x:c r="O214" s="63" t="str">
        <x:v>https://k12static.xdf.cn/k12/image/externalized/ab8cf0f1-353c-4ebc-a01b-b56811c971e0.png</x:v>
      </x:c>
      <x:c r="P214" s="63" t="str">
        <x:v>3-5步</x:v>
      </x:c>
      <x:c r="Q214" s="63" t="str">
        <x:v>实验探究</x:v>
      </x:c>
      <x:c r="R214" s="63" t="str">
        <x:v>单状态</x:v>
      </x:c>
      <x:c r="S214" s="63" t="str">
        <x:v>无约束</x:v>
      </x:c>
      <x:c r="T214" s="63" t="str">
        <x:v>控制变量或故障分析</x:v>
      </x:c>
      <x:c r="U214" s="63" t="str">
        <x:v>无</x:v>
      </x:c>
      <x:c r="V214" s="63" t="str">
        <x:v>多层因果推理</x:v>
      </x:c>
    </x:row>
    <x:row r="215">
      <x:c r="A215" s="64" t="str">
        <x:v>​2353187234767732736</x:v>
      </x:c>
      <x:c r="B215" s="65" t="str">
        <x:v>中等题</x:v>
      </x:c>
      <x:c r="C215" s="65" t="str">
        <x:v>中等题</x:v>
      </x:c>
      <x:c r="D215" s="65" t="str">
        <x:v>中等题</x:v>
      </x:c>
      <x:c r="E215" s="65" t="str">
        <x:v>保留原GPT裁定</x:v>
      </x:c>
      <x:c r="F215" s="65" t="str">
        <x:v>中</x:v>
      </x:c>
      <x:c r="G215" s="65" t="str">
        <x:v>中等题</x:v>
      </x:c>
      <x:c r="H215" s="65" t="str">
        <x:v>拔高题</x:v>
      </x:c>
      <x:c r="I215" s="65" t="str">
        <x:v>题干、解析与结构证据支持中等题：step=3-5步，题型=实验探究，状态=单状态，约束=无约束，推理=多层因果推理。教师、盲评和多次模型证据中未形成足以推翻原裁定的同向结构证据。</x:v>
      </x:c>
      <x:c r="J215" s="65" t="str">
        <x:v>未进入三次错题并集；逐题结构一致性复核</x:v>
      </x:c>
      <x:c r="K215" s="63" t="str">
        <x:v>某实验小组的同学运用图中器材进行“探究浮力大小跟排开液体所受重力的关系”的实验。以下情况对他们得出实验结论没有影响的是（ ）</x:v>
      </x:c>
      <x:c r="L215" s="63" t="str">
        <x:v>A. 整个实验过程中弹簧测力计没有校零 B. 溢水杯中的水没有装满 C. 从溢水杯中溢出的水洒了一些在桌上 D. 步骤C中石块触碰到了容器底部</x:v>
      </x:c>
      <x:c r="M215" s="63" t="str">
        <x:v>解：A、若弹簧测力计都没有校零，若四次测量结果都偏大，则F1、F3、F4、F2都偏大相同的数值， 根据称重法，浮力F浮=F1-F3，浮力测量结果不影响；由于排开水的重力G排=F4-F2，排开水的重力G排的测量结果不影响，因此，结论不受影响； 若弹簧测力计都没有校零，若四次测量结果都偏小，则F1、F3、F4、F2都偏小相同的数值， 根据称重法，浮力F浮=F1-F3，浮力测量结果不影响；由于排开水的重力G排=F4-F2，排开水的重力G排的测量结果不影响，因此，结论不受影响；故A符合题意； B、若最初溢水杯中的水未装至溢水口，则石块排开水的只有一部分溢出到桶中，排开水的重力G排减小，故B不符合题意； C、从溢水杯中溢出的水洒了一些在桌上，会使A步骤中所测重力偏小，空桶的重力不变，则所测排开水的重力偏小，故C不符合题意； D、步骤C中，石块浸没后，碰触到溢水杯底部，容器对石块有支持力，测得的F3偏小，则计算得出的浮力偏大，故D不符合题意； 故选：A。</x:v>
      </x:c>
      <x:c r="N215" s="63" t="str">
        <x:v>https://k12static.xdf.cn/k12/image/externalized/5beac618-d0d9-4da6-abbf-d6e629c0c040.png</x:v>
      </x:c>
      <x:c r="O215" s="63" t="str">
        <x:v>https://k12static.xdf.cn/k12/image/externalized/f60f82f6-51c3-48b2-98c4-e2b5ef293ba1.png</x:v>
      </x:c>
      <x:c r="P215" s="63" t="str">
        <x:v>3-5步</x:v>
      </x:c>
      <x:c r="Q215" s="63" t="str">
        <x:v>实验探究</x:v>
      </x:c>
      <x:c r="R215" s="63" t="str">
        <x:v>单状态</x:v>
      </x:c>
      <x:c r="S215" s="63" t="str">
        <x:v>无约束</x:v>
      </x:c>
      <x:c r="T215" s="63" t="str">
        <x:v>控制变量或故障分析</x:v>
      </x:c>
      <x:c r="U215" s="63" t="str">
        <x:v>无</x:v>
      </x:c>
      <x:c r="V215" s="63" t="str">
        <x:v>多层因果推理</x:v>
      </x:c>
    </x:row>
    <x:row r="216">
      <x:c r="A216" s="64" t="str">
        <x:v>​2353429469561667584</x:v>
      </x:c>
      <x:c r="B216" s="65" t="str">
        <x:v>中等题</x:v>
      </x:c>
      <x:c r="C216" s="65" t="str">
        <x:v>中等题</x:v>
      </x:c>
      <x:c r="D216" s="65" t="str">
        <x:v>中等题</x:v>
      </x:c>
      <x:c r="E216" s="65" t="str">
        <x:v>逐题复核后保留GPT裁定</x:v>
      </x:c>
      <x:c r="F216" s="65" t="str">
        <x:v>高</x:v>
      </x:c>
      <x:c r="G216" s="65" t="str">
        <x:v>中等题</x:v>
      </x:c>
      <x:c r="H216" s="65" t="str">
        <x:v>中等题</x:v>
      </x:c>
      <x:c r="I216" s="65" t="str">
        <x:v>需要围绕受力、浮力/压强与状态变化完成常规的3—4个有效决策，或完成一套完整标准实验/共享过程分析。关系仍显性、方法常规，没有决定性隐含转换、复杂边界筛选或多状态强耦合。</x:v>
      </x:c>
      <x:c r="J216" s="65" t="str">
        <x:v>三次运行错题并集逐题复核</x:v>
      </x:c>
      <x:c r="K216" s="63" t="str">
        <x:v>如图所示，一束激光由空气射入装有水的容器中，折射后射在容器底部的$B$点，利用注射器往容器中加水，其他条件不变，则激光射在容器底部的位置$(\qquad)$</x:v>
      </x:c>
      <x:c r="L216" s="63" t="str">
        <x:v>A. $A$、$B$两点之间 B. $B$、$C$两点之间 C. $C$、$D$两点之间 D. $B$点左侧</x:v>
      </x:c>
      <x:c r="M216" s="63" t="str">
        <x:v>一束激光由空气射入装有水的容器中，折射后射在容器底部的$B$点，使水面上升后，入射点向左移动，入射角不变，折射角不变，所以折射后的光斑将向左移动，在$B$点左侧。 故选：D。</x:v>
      </x:c>
      <x:c r="N216" s="63" t="str">
        <x:v>https://k12static.xdf.cn/k12/image/externalized/8dea3498-3c10-463b-b65d-0ee1294e92d4.png</x:v>
      </x:c>
      <x:c r="O216" s="63" t="str">
        <x:v>https://k12static.xdf.cn/k12/image/externalized/a9cd0b39-39cb-496f-9139-22467abecc82.png</x:v>
      </x:c>
      <x:c r="P216" s="63" t="str">
        <x:v>1-2步</x:v>
      </x:c>
      <x:c r="Q216" s="63" t="str">
        <x:v>光学声学综合</x:v>
      </x:c>
      <x:c r="R216" s="63" t="str">
        <x:v>双状态</x:v>
      </x:c>
      <x:c r="S216" s="63" t="str">
        <x:v>无约束</x:v>
      </x:c>
      <x:c r="T216" s="63" t="str">
        <x:v>无</x:v>
      </x:c>
      <x:c r="U216" s="63" t="str">
        <x:v>无</x:v>
      </x:c>
      <x:c r="V216" s="63" t="str">
        <x:v>简单因果推理</x:v>
      </x:c>
    </x:row>
    <x:row r="217">
      <x:c r="A217" s="64" t="str">
        <x:v>​2354276152588939264</x:v>
      </x:c>
      <x:c r="B217" s="65" t="str">
        <x:v>基础题</x:v>
      </x:c>
      <x:c r="C217" s="65" t="str">
        <x:v>基础题</x:v>
      </x:c>
      <x:c r="D217" s="65" t="str">
        <x:v>基础题</x:v>
      </x:c>
      <x:c r="E217" s="65" t="str">
        <x:v>保留原GPT裁定</x:v>
      </x:c>
      <x:c r="F217" s="65" t="str">
        <x:v>高</x:v>
      </x:c>
      <x:c r="G217" s="65" t="str">
        <x:v>基础题</x:v>
      </x:c>
      <x:c r="H217" s="65" t="str">
        <x:v>送分题</x:v>
      </x:c>
      <x:c r="I217" s="65" t="str">
        <x:v>题干、解析与结构证据支持基础题：step=1-2步，题型=概念判断，状态=单状态，约束=无约束，推理=简单因果推理。教师、盲评和多次模型证据中未形成足以推翻原裁定的同向结构证据。</x:v>
      </x:c>
      <x:c r="J217" s="65" t="str">
        <x:v>未进入三次错题并集；逐题结构一致性复核</x:v>
      </x:c>
      <x:c r="K217" s="63" t="str">
        <x:v>如图所示是蜡烛通过凸透镜在光屏上的成像情况，以下器材中利用这一成像原理的是（ ）</x:v>
      </x:c>
      <x:c r="L217" s="63" t="str">
        <x:v>A. 放大镜 B. 幻灯机 C. 潜望镜 D. 照相机</x:v>
      </x:c>
      <x:c r="M217" s="63" t="str">
        <x:v>解：由图知，u＞v,凸透镜成倒立、缩小的实像，照相机是根据这个原理制成的。 故选：D。</x:v>
      </x:c>
      <x:c r="N217" s="63" t="str">
        <x:v>https://k12static.xdf.cn/k12/image/externalized/3a4bed51-f022-4424-a76f-33b84fc20f0f.png</x:v>
      </x:c>
      <x:c r="O217" s="63" t="str">
        <x:v>https://k12static.xdf.cn/k12/image/externalized/1267984c-6f84-4787-bea7-337ac9b0bace.png</x:v>
      </x:c>
      <x:c r="P217" s="63" t="str">
        <x:v>1-2步</x:v>
      </x:c>
      <x:c r="Q217" s="63" t="str">
        <x:v>概念判断</x:v>
      </x:c>
      <x:c r="R217" s="63" t="str">
        <x:v>单状态</x:v>
      </x:c>
      <x:c r="S217" s="63" t="str">
        <x:v>无约束</x:v>
      </x:c>
      <x:c r="T217" s="63" t="str">
        <x:v>无</x:v>
      </x:c>
      <x:c r="U217" s="63" t="str">
        <x:v>无</x:v>
      </x:c>
      <x:c r="V217" s="63" t="str">
        <x:v>简单因果推理</x:v>
      </x:c>
    </x:row>
    <x:row r="218">
      <x:c r="A218" s="64" t="str">
        <x:v>​2359044212427087872</x:v>
      </x:c>
      <x:c r="B218" s="65" t="str">
        <x:v>中等题</x:v>
      </x:c>
      <x:c r="C218" s="65" t="str">
        <x:v>中等题</x:v>
      </x:c>
      <x:c r="D218" s="65" t="str">
        <x:v>中等题</x:v>
      </x:c>
      <x:c r="E218" s="65" t="str">
        <x:v>保留原GPT裁定</x:v>
      </x:c>
      <x:c r="F218" s="65" t="str">
        <x:v>高</x:v>
      </x:c>
      <x:c r="G218" s="65" t="str">
        <x:v>中等题</x:v>
      </x:c>
      <x:c r="H218" s="65" t="str">
        <x:v>拔高题</x:v>
      </x:c>
      <x:c r="I218" s="65" t="str">
        <x:v>题干、解析与结构证据支持中等题：step=3-5步，题型=实验探究，状态=单状态，约束=无约束，推理=多层因果推理。教师、盲评和多次模型证据中未形成足以推翻原裁定的同向结构证据。</x:v>
      </x:c>
      <x:c r="J218" s="65" t="str">
        <x:v>未进入三次错题并集；逐题结构一致性复核</x:v>
      </x:c>
      <x:c r="K218" s="63" t="str">
        <x:v>图甲是某实验小组探究“杠杆的平衡条件”的实验装置。 （1）挂钩码前，杠杆在图甲所示的位置静止，此时杠杆处于 ________ （选填“平衡”或“非平衡”）状态；要想使杠杆在水平位置平衡，接下来应将杠杆两端的螺母向 ________ （选填“左”或“右”）侧调节。 （2）图乙是一个平衡的杠杆，此时若推动右侧钩码的悬线（如图丙所示），就会发现杠杆 ________ （选填“左端下沉”、“仍然平衡”或“右端下沉”）。 （3）在探究过程中，需要进行多次实验的目的是 ________ 。 （4）某同学提出，若支点不在杠杆的中点，杠杆的平衡条件是否仍然成立？于是该小组利用图丁所示的装置进行探究，在杠杆O点处挂上2个钩码，用弹簧测力计在A点处竖直向上拉，使杠杆在水平位置平衡，此时弹簧测力计示数为 ________ N。以弹簧测力计的拉力为动力F1，钩码处绳子拉力为阻力F2，多次改变动力作用点的位置进行实验发现：当杠杆水平平衡时，F1L1总是 ________ （选填“大于”、“等于”或“小于”）F2L2，其原因可能是 ________ 。 （5）图丁中，弹簧测力计处在A点位置时，此杠杆属于 ________ （选填“省力”或“费力”）杠杆，请举出它在生活生产中的一个应用实例： ________ 。</x:v>
      </x:c>
      <x:c r="L218" s="63" t="str"/>
      <x:c r="M218" s="63" t="str">
        <x:v>解（1）挂钩码前，杠杆在如图甲所示的位置静止，此时杠杆处于平衡状态； 由图甲知，杠杆的左端较高，所以接下来应将两端的螺母向左调节，使杠杆保持水平并静止； （2）图乙中支点在中心时，杠杆平衡，根据杠杆平衡条件知F左L左=F右L右，图丙中改变了右侧拉力的力臂，使右侧拉力的力臂减小，故此时F左L左＞F右L右，故左端会下沉； （3）本实验进行多次实验，是为避免偶然性，得出普遍结论； （4）分度值为0.1N，弹簧测力计示数为2.3N； 图丁中，设杠杆的重力为G，力臂为LG，当杠杆平衡时，根据杠杆的平衡条件：F1L1=F2L2+GLG， 由丁图可知LG≠0，所以杠杆自重对杠杆平衡有影响，此时F1L1＞F2L2； （5）由图丁可知此时L1＜L2，故为费力杠杆，生活中常见的镊子、钓鱼竿等都是费力杠杆。 故答案为：（1）平衡；左 （2）左端下沉； （3）避免偶然性，寻找普遍规律； （4）2.3；大于；杠杆自重对杠杆平衡有影响； （5）费力；钓鱼竿（或镊子等）。</x:v>
      </x:c>
      <x:c r="N218" s="63" t="str">
        <x:v>https://k12static.xdf.cn/k12/image/externalized/092365b0-8df8-43f4-aa45-4deb8a7eff22.png</x:v>
      </x:c>
      <x:c r="O218" s="63" t="str">
        <x:v>https://k12static.xdf.cn/k12/image/externalized/3241e0a4-6b0e-4f02-8104-b36919f5bd6c.png</x:v>
      </x:c>
      <x:c r="P218" s="63" t="str">
        <x:v>3-5步</x:v>
      </x:c>
      <x:c r="Q218" s="63" t="str">
        <x:v>实验探究</x:v>
      </x:c>
      <x:c r="R218" s="63" t="str">
        <x:v>单状态</x:v>
      </x:c>
      <x:c r="S218" s="63" t="str">
        <x:v>无约束</x:v>
      </x:c>
      <x:c r="T218" s="63" t="str">
        <x:v>控制变量或故障分析</x:v>
      </x:c>
      <x:c r="U218" s="63" t="str">
        <x:v>无</x:v>
      </x:c>
      <x:c r="V218" s="63" t="str">
        <x:v>多层因果推理</x:v>
      </x:c>
    </x:row>
    <x:row r="219">
      <x:c r="A219" s="64" t="str">
        <x:v>​2359112776585080832</x:v>
      </x:c>
      <x:c r="B219" s="65" t="str">
        <x:v>中等题</x:v>
      </x:c>
      <x:c r="C219" s="65" t="str">
        <x:v>中等题</x:v>
      </x:c>
      <x:c r="D219" s="65" t="str">
        <x:v>中等题</x:v>
      </x:c>
      <x:c r="E219" s="65" t="str">
        <x:v>保留原GPT裁定</x:v>
      </x:c>
      <x:c r="F219" s="65" t="str">
        <x:v>高</x:v>
      </x:c>
      <x:c r="G219" s="65" t="str">
        <x:v>中等题</x:v>
      </x:c>
      <x:c r="H219" s="65" t="str">
        <x:v>拔高题</x:v>
      </x:c>
      <x:c r="I219" s="65" t="str">
        <x:v>题干、解析与结构证据支持中等题：step=3-5步，题型=电路综合，状态=单状态，约束=单一约束，推理=多层因果推理。教师、盲评和多次模型证据中未形成足以推翻原裁定的同向结构证据。</x:v>
      </x:c>
      <x:c r="J219" s="65" t="str">
        <x:v>未进入三次错题并集；逐题结构一致性复核</x:v>
      </x:c>
      <x:c r="K219" s="63" t="str">
        <x:v>下列各图，不能测出电阻RX的阻值的是（电阻R0已知）（ ）</x:v>
      </x:c>
      <x:c r="L219" s="63" t="str"/>
      <x:c r="M219" s="63" t="str">
        <x:v>解：A、电压表可以直接测量Rx的电压，电流表可以直接测量Rx的电流，根据Rx=$\frac{{U}_{x}}{{I}_{x}}$可求出电阻，不符合题意。 B、闭合开关S1，断开S2时，电压表测出Rx两端的电压Ux；开关S1，S2都闭合时电压表测电源的电压；根据串联电路电压特点求出R0两端的电压，根据欧姆定律求出电路中电流，求出电阻RX的阻值，不符合题意。 C、图中电流表能测通过R0的电流，电阻R0的阻值已知，根据U=IR可求出电阻R0两端的电压U0，由并联电路的电压特点可知Ux=U0，但不能测出通过Rx的电流，故不能测出电阻Rx的阻值，符合题意。 D、只闭合S1时，调节滑片到适当的位置，读出电流表的示数；然后断开S1，闭合S2，此时不能移动滑片，调节变阻箱，使电流表的示数不变，则两种情况下滑动变阻器的阻值不变、电路中的总电阻相等，则Rx的阻值和变阻箱的示数相等，不符合题意。 故选：C。</x:v>
      </x:c>
      <x:c r="N219" s="63" t="str">
        <x:v>https://k12static.xdf.cn/k12/image/externalized/2cfe2440-861f-406b-8568-58eac4ac3e8e.png</x:v>
      </x:c>
      <x:c r="O219" s="63" t="str">
        <x:v>https://k12static.xdf.cn/k12/image/externalized/faf51a6d-d415-4cdb-806d-0ca5408d1fef.png</x:v>
      </x:c>
      <x:c r="P219" s="63" t="str">
        <x:v>3-5步</x:v>
      </x:c>
      <x:c r="Q219" s="63" t="str">
        <x:v>电路综合</x:v>
      </x:c>
      <x:c r="R219" s="63" t="str">
        <x:v>单状态</x:v>
      </x:c>
      <x:c r="S219" s="63" t="str">
        <x:v>单一约束</x:v>
      </x:c>
      <x:c r="T219" s="63" t="str">
        <x:v>方案设计或误差评价</x:v>
      </x:c>
      <x:c r="U219" s="63" t="str">
        <x:v>无</x:v>
      </x:c>
      <x:c r="V219" s="63" t="str">
        <x:v>多层因果推理</x:v>
      </x:c>
    </x:row>
    <x:row r="220">
      <x:c r="A220" s="64" t="str">
        <x:v>​2366000541728792576</x:v>
      </x:c>
      <x:c r="B220" s="65" t="str">
        <x:v>送分题</x:v>
      </x:c>
      <x:c r="C220" s="65" t="str">
        <x:v>送分题</x:v>
      </x:c>
      <x:c r="D220" s="65" t="str">
        <x:v>送分题</x:v>
      </x:c>
      <x:c r="E220" s="65" t="str">
        <x:v>逐题复核后保留GPT裁定</x:v>
      </x:c>
      <x:c r="F220" s="65" t="str">
        <x:v>高</x:v>
      </x:c>
      <x:c r="G220" s="65" t="str">
        <x:v>送分题</x:v>
      </x:c>
      <x:c r="H220" s="65" t="str">
        <x:v>送分题</x:v>
      </x:c>
      <x:c r="I220" s="65" t="str">
        <x:v>核心只需识别一个唯一、熟悉且关系显性的教材模板（教材概念与常规物理关系），没有第二次独立物理决策；背景、选项数量或机械作答动作不增加难度。</x:v>
      </x:c>
      <x:c r="J220" s="65" t="str">
        <x:v>三次运行错题并集逐题复核</x:v>
      </x:c>
      <x:c r="K220" s="63" t="str">
        <x:v>“吃鱼不如取鱼乐”在钓鱼时，常看到大鱼被拉离水面的过程中钓鱼竿被大鱼拉弯而像一把弯曲的弓，使鱼竿弯曲的力的施力物体是（ ）</x:v>
      </x:c>
      <x:c r="L220" s="63" t="str">
        <x:v>A. 鱼 B. 地球 C. 鱼线 D. 钓鱼的人</x:v>
      </x:c>
      <x:c r="M220" s="63" t="str">
        <x:v>解：在拉出水中的鱼的过程中，与鱼竿相互作用的只有系在鱼竿尖的鱼线，故对鱼竿施力的物体为系在鱼竿尖的鱼线。 故选：C。</x:v>
      </x:c>
      <x:c r="N220" s="63" t="str">
        <x:v>https://k12static.xdf.cn/k12/image/externalized/486d5765-1f87-4782-b183-427c20aae5e1.png</x:v>
      </x:c>
      <x:c r="O220" s="63" t="str">
        <x:v>https://k12static.xdf.cn/k12/image/externalized/6188d925-72b1-4b86-a812-323fd472807d.png</x:v>
      </x:c>
      <x:c r="P220" s="63" t="str">
        <x:v>1-2步</x:v>
      </x:c>
      <x:c r="Q220" s="63" t="str">
        <x:v>概念判断</x:v>
      </x:c>
      <x:c r="R220" s="63" t="str">
        <x:v>单状态</x:v>
      </x:c>
      <x:c r="S220" s="63" t="str">
        <x:v>无约束</x:v>
      </x:c>
      <x:c r="T220" s="63" t="str">
        <x:v>无</x:v>
      </x:c>
      <x:c r="U220" s="63" t="str">
        <x:v>无</x:v>
      </x:c>
      <x:c r="V220" s="63" t="str">
        <x:v>简单因果推理</x:v>
      </x:c>
    </x:row>
    <x:row r="221">
      <x:c r="A221" s="64" t="str">
        <x:v>​2373153967956135936</x:v>
      </x:c>
      <x:c r="B221" s="65" t="str">
        <x:v>基础题</x:v>
      </x:c>
      <x:c r="C221" s="65" t="str">
        <x:v>基础题</x:v>
      </x:c>
      <x:c r="D221" s="65" t="str">
        <x:v>基础题</x:v>
      </x:c>
      <x:c r="E221" s="65" t="str">
        <x:v>保留原GPT裁定</x:v>
      </x:c>
      <x:c r="F221" s="65" t="str">
        <x:v>高</x:v>
      </x:c>
      <x:c r="G221" s="65" t="str">
        <x:v>送分题</x:v>
      </x:c>
      <x:c r="H221" s="65" t="str">
        <x:v>基础题</x:v>
      </x:c>
      <x:c r="I221" s="65" t="str">
        <x:v>题干、解析与结构证据支持基础题：step=1-2步，题型=概念判断，状态=双状态，约束=无约束，推理=简单因果推理。教师、盲评和多次模型证据中未形成足以推翻原裁定的同向结构证据。</x:v>
      </x:c>
      <x:c r="J221" s="65" t="str">
        <x:v>未进入三次错题并集；逐题结构一致性复核</x:v>
      </x:c>
      <x:c r="K221" s="63" t="str">
        <x:v>如图所示，一个装满水的饮料瓶，正放在水平桌面上时，瓶底对桌面的压力为Fa，压强为pa，倒放在水平桌面上时，瓶盖对桌面的压力为Fb，压强为pb，则（ ）</x:v>
      </x:c>
      <x:c r="L221" s="63" t="str">
        <x:v>A. Fa=Fb pa＜pb B. Fa＞Fb pa=pb C. Fa=Fb pa=pb D. Fa＜Fb pa＜pb</x:v>
      </x:c>
      <x:c r="M221" s="63" t="str">
        <x:v>解：压力的判断：正放时，瓶底对桌面的压力等于瓶子和水的重力之和；倒放时，瓶盖对桌面的压力等于瓶子和水的重力之和；所以压力相等； 由于瓶盖的面积小于瓶底的面积，根据公式P=$\frac{F}{S}$可知，倒放时，对桌面的压强大。 故选：A。</x:v>
      </x:c>
      <x:c r="N221" s="63" t="str">
        <x:v>https://k12static.xdf.cn/k12/image/externalized/59b80e2b-b7ce-4a1a-99f4-74d11c14abf2.png</x:v>
      </x:c>
      <x:c r="O221" s="63" t="str">
        <x:v>https://k12static.xdf.cn/k12/image/externalized/971a70c9-9df5-494c-be3e-a6d22d6d9424.png</x:v>
      </x:c>
      <x:c r="P221" s="63" t="str">
        <x:v>1-2步</x:v>
      </x:c>
      <x:c r="Q221" s="63" t="str">
        <x:v>概念判断</x:v>
      </x:c>
      <x:c r="R221" s="63" t="str">
        <x:v>双状态</x:v>
      </x:c>
      <x:c r="S221" s="63" t="str">
        <x:v>无约束</x:v>
      </x:c>
      <x:c r="T221" s="63" t="str">
        <x:v>无</x:v>
      </x:c>
      <x:c r="U221" s="63" t="str">
        <x:v>无</x:v>
      </x:c>
      <x:c r="V221" s="63" t="str">
        <x:v>简单因果推理</x:v>
      </x:c>
    </x:row>
    <x:row r="222">
      <x:c r="A222" s="64" t="str">
        <x:v>​2373176742923776000</x:v>
      </x:c>
      <x:c r="B222" s="65" t="str">
        <x:v>中等题</x:v>
      </x:c>
      <x:c r="C222" s="65" t="str">
        <x:v>中等题</x:v>
      </x:c>
      <x:c r="D222" s="65" t="str">
        <x:v>中等题</x:v>
      </x:c>
      <x:c r="E222" s="65" t="str">
        <x:v>逐题复核后保留GPT裁定</x:v>
      </x:c>
      <x:c r="F222" s="65" t="str">
        <x:v>中</x:v>
      </x:c>
      <x:c r="G222" s="65" t="str">
        <x:v>中等题</x:v>
      </x:c>
      <x:c r="H222" s="65" t="str">
        <x:v>基础题</x:v>
      </x:c>
      <x:c r="I222" s="65" t="str">
        <x:v>存在约3—4步常规连续分析、共享过程或完整标准实验任务，关系仍显性。 题目证据：最长连续链包含3个有效物理决策：分别判断液体对瓶底压强、锥形瓶平衡条件、桌面压强和相互作用力，核心任务是辨析固体压强和液体压强的计算方法、平衡力与相互作用力的区别，属于同一力学问题下的多个概念和规律辨析，不存在决定性转换或全链耦合。</x:v>
      </x:c>
      <x:c r="J222" s="65" t="str">
        <x:v>三次运行错题并集逐题复核</x:v>
      </x:c>
      <x:c r="K222" s="63" t="str">
        <x:v>图是实验用的锥形瓶，将锥形瓶放在面积为S0的水平桌面上，已知锥形瓶的质量为m1、底面积为S1；当往锥形瓶中倒入密度为ρ、质量为m2的液体后，液面高度为h,则下列说法正确的是（ ）</x:v>
      </x:c>
      <x:c r="L222" s="63" t="str">
        <x:v>A. 液体对容器底的压强为ρgh B. 锥形瓶所受的重力与水平桌面对锥形瓶的支持力是一对平衡力 C. 锥形瓶对水平桌面的压强为$\frac{({m}_{1}+{m}_{2})g}{{S}_{1}}$ D. 液体对瓶底的压力与桌子对瓶底的支持力是一对相互作用力</x:v>
      </x:c>
      <x:c r="M222" s="63" t="str">
        <x:v>解：A、液体的密度为ρ，液面高度为h,由液体压强的计算公式，因此液体对容器底部的压强为P=ρgh,该选项说法正确； B、由于锥形瓶内盛有一定质量的水，因此锥形瓶所受的重力小于水平桌面对锥形瓶的支持力，不符合二力平衡的条件，该选项说法不正确； C、锥形瓶对水平桌面的压力等于瓶子和液体的重力之和，即F=G容器+G液=（m1+m2）g； 受力面积等于锥形瓶的底面积S1，锥形瓶对水平桌面的压强为P=$\frac{F}{S}$=$\frac{({m}_{1}+{m}_{2})g}{{S}_{1}}$，该选项说法正确； D、液体对瓶底的压力与瓶底对液体的支持力是一对相互作用力，瓶底对桌子的压力和桌子对瓶底的支持力是一对相互作用力，该选项说法不正确。 故选：AC。</x:v>
      </x:c>
      <x:c r="N222" s="63" t="str">
        <x:v>https://k12static.xdf.cn/k12/image/externalized/e7fd8f06-aea6-45f6-a963-09720a548bcc.png</x:v>
      </x:c>
      <x:c r="O222" s="63" t="str">
        <x:v>https://k12static.xdf.cn/k12/image/externalized/32ee956e-178a-4df1-aebf-a7874c05d73a.png</x:v>
      </x:c>
      <x:c r="P222" s="63" t="str">
        <x:v>3-5步</x:v>
      </x:c>
      <x:c r="Q222" s="63" t="str">
        <x:v>概念判断</x:v>
      </x:c>
      <x:c r="R222" s="63" t="str">
        <x:v>单状态</x:v>
      </x:c>
      <x:c r="S222" s="63" t="str">
        <x:v>单一约束</x:v>
      </x:c>
      <x:c r="T222" s="63" t="str">
        <x:v>无</x:v>
      </x:c>
      <x:c r="U222" s="63" t="str">
        <x:v>无</x:v>
      </x:c>
      <x:c r="V222" s="63" t="str">
        <x:v>多层因果推理</x:v>
      </x:c>
    </x:row>
    <x:row r="223">
      <x:c r="A223" s="64" t="str">
        <x:v>​2375987240738574336</x:v>
      </x:c>
      <x:c r="B223" s="65" t="str">
        <x:v>基础题</x:v>
      </x:c>
      <x:c r="C223" s="65" t="str">
        <x:v>基础题</x:v>
      </x:c>
      <x:c r="D223" s="65" t="str">
        <x:v>基础题</x:v>
      </x:c>
      <x:c r="E223" s="65" t="str">
        <x:v>保留原GPT裁定</x:v>
      </x:c>
      <x:c r="F223" s="65" t="str">
        <x:v>高</x:v>
      </x:c>
      <x:c r="G223" s="65" t="str">
        <x:v>送分题</x:v>
      </x:c>
      <x:c r="H223" s="65" t="str">
        <x:v>中等题</x:v>
      </x:c>
      <x:c r="I223" s="65" t="str">
        <x:v>题干、解析与结构证据支持基础题：step=1-2步，题型=概念判断，状态=单状态，约束=无约束，推理=简单因果推理。教师、盲评和多次模型证据中未形成足以推翻原裁定的同向结构证据。</x:v>
      </x:c>
      <x:c r="J223" s="65" t="str">
        <x:v>未进入三次错题并集；逐题结构一致性复核</x:v>
      </x:c>
      <x:c r="K223" s="63" t="str">
        <x:v>下列关于信息的传递的说法中，正确的是（ ）</x:v>
      </x:c>
      <x:c r="L223" s="63" t="str">
        <x:v>A. 烽火、旗语、电报、电话传递信息都是数字通信 B. 广播电台靠稳定的电流而发射电磁波，打开收音机听到的声音就是靠电磁波传来的 C. 青岛交通广播频道FM89.70的频率为89.70MHz,在空气中，这个频道的波长约3.34m D. 我国自主研发的北斗卫星导航系统是通过光纤通信实现高质量定位、导航和授时服务</x:v>
      </x:c>
      <x:c r="M223" s="63" t="str">
        <x:v>解：A：模拟信号（电流）的频率、振幅变化的情况跟声音的频率、振幅变化的情况完全一样，“模仿”着声信号的“一举一动”。这种电流传递的信号叫做模拟信号，使用模拟信号的通信方式叫做模拟通信，如电话的话筒把声音信号转化成电流模拟信号；用不同符号的不同组合表示的信号，叫做数字信号，这种通信方式叫做数字通信。如烽火、旗语、长短不同的声音、长短不同的亮光，甚至可以用电压（或电流）的有无、磁体的南北极、或者“0”“1”两个不同的数字，来组成各种数字信号，用来传递丰富多彩的声音、图像等各种信息。故A不符合题意。 B：手机，电视、广播电台、雷达、导航、WIFI、蓝牙等都是利用电磁波传递信息的；电磁波是由迅速变化的电流产生的，稳定的电流不能产生电磁波。故B不符合题意。 C：根据公式c=λf可知 $λ=\frac{c}{f}=\frac{3.0×1{0}^{8}m/s}{89.7×1{0}^{6}Hz}≈3.34m$。故C符合题意。 D：北斗卫星导航系统不是通过光纤通信的，不可能从卫星到地面建一条长长的光缆；卫星通信是通过电磁波传递信息的。故D不符合题意。 故选：C。</x:v>
      </x:c>
      <x:c r="N223" s="63" t="str">
        <x:v>https://k12static.xdf.cn/k12/image/externalized/e4a4e930-27c1-496b-9a77-d99ebaae136c.png</x:v>
      </x:c>
      <x:c r="O223" s="63" t="str">
        <x:v>https://k12static.xdf.cn/k12/image/externalized/b6a6a677-31dc-4162-ad0b-1c77e213b86e.png</x:v>
      </x:c>
      <x:c r="P223" s="63" t="str">
        <x:v>1-2步</x:v>
      </x:c>
      <x:c r="Q223" s="63" t="str">
        <x:v>概念判断</x:v>
      </x:c>
      <x:c r="R223" s="63" t="str">
        <x:v>单状态</x:v>
      </x:c>
      <x:c r="S223" s="63" t="str">
        <x:v>无约束</x:v>
      </x:c>
      <x:c r="T223" s="63" t="str">
        <x:v>无</x:v>
      </x:c>
      <x:c r="U223" s="63" t="str">
        <x:v>无</x:v>
      </x:c>
      <x:c r="V223" s="63" t="str">
        <x:v>简单因果推理</x:v>
      </x:c>
    </x:row>
    <x:row r="224">
      <x:c r="A224" s="64" t="str">
        <x:v>​2381965925342535680</x:v>
      </x:c>
      <x:c r="B224" s="65" t="str">
        <x:v>基础题</x:v>
      </x:c>
      <x:c r="C224" s="65" t="str">
        <x:v>基础题</x:v>
      </x:c>
      <x:c r="D224" s="65" t="str">
        <x:v>基础题</x:v>
      </x:c>
      <x:c r="E224" s="65" t="str">
        <x:v>逐题复核后保留GPT裁定</x:v>
      </x:c>
      <x:c r="F224" s="65" t="str">
        <x:v>高</x:v>
      </x:c>
      <x:c r="G224" s="65" t="str">
        <x:v>中等题</x:v>
      </x:c>
      <x:c r="H224" s="65" t="str">
        <x:v>基础题</x:v>
      </x:c>
      <x:c r="I224" s="65" t="str">
        <x:v>最高难任务为1—2步显性应用、规范操作或简单因果，没有连续模型转换。 题目证据：最高难部分实际有效推理约2步：第一步根据天平平衡得到总质量相等，第二步整理出甲乙质量关系，结合体积相等利用密度公式得到密度比。五维中知识量为2个关联知识点，过程对象为单状态，数学工具为简单等式变形，情境为常规物理变式，思维层次为简单应用。任务为根据天平平衡条件结合密度公式推导密度比，属于显性应用后的简单推导，没有决定性转换或多状态耦合。</x:v>
      </x:c>
      <x:c r="J224" s="65" t="str">
        <x:v>三次运行错题并集逐题复核</x:v>
      </x:c>
      <x:c r="K224" s="63" t="str">
        <x:v>由甲、乙两种物质分别制成体积相等的甲、乙两种实心球，按照如图所示方式摆放在已调节平衡的天平左右盘内，天平仍平衡。则甲、乙物质的密度之比为（ ）</x:v>
      </x:c>
      <x:c r="L224" s="63" t="str">
        <x:v>A. 3：4 B. 4：3 C. 2：1 D. 1：2</x:v>
      </x:c>
      <x:c r="M224" s="63" t="str">
        <x:v>解：乙两种物质分别制成体积相等的甲、乙两种实心球，按照如图所示方式摆放在已调节平衡的天平左右盘内，天平仍平衡，可在左右盘中小球的总质量相等，即 2m甲+m乙=m甲+3m乙 即m甲=2m乙 根据密度公式有 ρ甲V=2ρ乙V ρ甲：ρ乙=2：1 故选C。</x:v>
      </x:c>
      <x:c r="N224" s="63" t="str">
        <x:v>https://k12static.xdf.cn/k12/image/externalized/0e006334-b6b2-489c-8c0d-61a49e8e9530.png</x:v>
      </x:c>
      <x:c r="O224" s="63" t="str">
        <x:v>https://k12static.xdf.cn/k12/image/externalized/ccaa9bbf-4829-409f-8385-364bbaa9ad11.png</x:v>
      </x:c>
      <x:c r="P224" s="63" t="str">
        <x:v>1-2步</x:v>
      </x:c>
      <x:c r="Q224" s="63" t="str">
        <x:v>概念判断</x:v>
      </x:c>
      <x:c r="R224" s="63" t="str">
        <x:v>单状态</x:v>
      </x:c>
      <x:c r="S224" s="63" t="str">
        <x:v>无约束</x:v>
      </x:c>
      <x:c r="T224" s="63" t="str">
        <x:v>无</x:v>
      </x:c>
      <x:c r="U224" s="63" t="str">
        <x:v>无</x:v>
      </x:c>
      <x:c r="V224" s="63" t="str">
        <x:v>简单因果推理</x:v>
      </x:c>
    </x:row>
    <x:row r="225">
      <x:c r="A225" s="64" t="str">
        <x:v>​2382538901816709120</x:v>
      </x:c>
      <x:c r="B225" s="65" t="str">
        <x:v>中等题</x:v>
      </x:c>
      <x:c r="C225" s="65" t="str">
        <x:v>中等题</x:v>
      </x:c>
      <x:c r="D225" s="65" t="str">
        <x:v>中等题</x:v>
      </x:c>
      <x:c r="E225" s="65" t="str">
        <x:v>保留原GPT裁定</x:v>
      </x:c>
      <x:c r="F225" s="65" t="str">
        <x:v>高</x:v>
      </x:c>
      <x:c r="G225" s="65" t="str">
        <x:v>中等题</x:v>
      </x:c>
      <x:c r="H225" s="65" t="str">
        <x:v>基础题</x:v>
      </x:c>
      <x:c r="I225" s="65" t="str">
        <x:v>题干、解析与结构证据支持中等题：step=3-5步，题型=概念判断，状态=单状态，约束=单一约束，推理=多层因果推理。教师、盲评和多次模型证据中未形成足以推翻原裁定的同向结构证据。</x:v>
      </x:c>
      <x:c r="J225" s="65" t="str">
        <x:v>未进入三次错题并集；逐题结构一致性复核</x:v>
      </x:c>
      <x:c r="K225" s="63" t="str">
        <x:v>做值日时，小阳将一桶水从一楼提到二楼，一楼到二楼的高度是h,水的重力是3G，桶的重力是G，小阳的重力是6G，在此上楼的整个过程中，关于做功的说法，正确的是（ ）</x:v>
      </x:c>
      <x:c r="L225" s="63" t="str">
        <x:v>A. 做的有用功是4Gh B. 做的额外功是6Gh C. 做的总功是6Gh D. 机械效率是30%</x:v>
      </x:c>
      <x:c r="M225" s="63" t="str">
        <x:v>解： A、小阳目的是提水，对水做的功为有用功，W有用=G水h=3Gh,故A错； B、对人和桶做的功为额外功，W额=（G人+G桶）h=（6G+G）h=7Gh,故B错； C、小阳把水、桶、自身提升做的功为总功，W总=（G水+G人+G桶）h=（3G+6G+G）h=10Gh,故C错； D、η=$\frac{{W}_{有用}}{{W}_{总}}$×100%=$\frac{3Gh}{10Gh}$×100%=30%，故D正确。 故选：D。</x:v>
      </x:c>
      <x:c r="N225" s="63" t="str">
        <x:v>https://k12static.xdf.cn/k12/image/externalized/4f68fa38-6d21-4a2d-9466-5aa4b61039bc.png</x:v>
      </x:c>
      <x:c r="O225" s="63" t="str">
        <x:v>https://k12static.xdf.cn/k12/image/externalized/4a5aa7ea-f1c1-4865-9827-fc42a67a578a.png</x:v>
      </x:c>
      <x:c r="P225" s="63" t="str">
        <x:v>3-5步</x:v>
      </x:c>
      <x:c r="Q225" s="63" t="str">
        <x:v>概念判断</x:v>
      </x:c>
      <x:c r="R225" s="63" t="str">
        <x:v>单状态</x:v>
      </x:c>
      <x:c r="S225" s="63" t="str">
        <x:v>单一约束</x:v>
      </x:c>
      <x:c r="T225" s="63" t="str">
        <x:v>无</x:v>
      </x:c>
      <x:c r="U225" s="63" t="str">
        <x:v>无</x:v>
      </x:c>
      <x:c r="V225" s="63" t="str">
        <x:v>多层因果推理</x:v>
      </x:c>
    </x:row>
    <x:row r="226">
      <x:c r="A226" s="64" t="str">
        <x:v>​2384548036214837248</x:v>
      </x:c>
      <x:c r="B226" s="65" t="str">
        <x:v>中等题</x:v>
      </x:c>
      <x:c r="C226" s="65" t="str">
        <x:v>中等题</x:v>
      </x:c>
      <x:c r="D226" s="65" t="str">
        <x:v>中等题</x:v>
      </x:c>
      <x:c r="E226" s="65" t="str">
        <x:v>保留原GPT裁定</x:v>
      </x:c>
      <x:c r="F226" s="65" t="str">
        <x:v>中</x:v>
      </x:c>
      <x:c r="G226" s="65" t="str">
        <x:v>中等题</x:v>
      </x:c>
      <x:c r="H226" s="65" t="str">
        <x:v>基础题</x:v>
      </x:c>
      <x:c r="I226" s="65" t="str">
        <x:v>题干、解析与结构证据支持中等题：step=3-5步，题型=图像表格分析，状态=单状态，约束=无约束，推理=多层因果推理。教师、盲评和多次模型证据中未形成足以推翻原裁定的同向结构证据。</x:v>
      </x:c>
      <x:c r="J226" s="65" t="str">
        <x:v>未进入三次错题并集；逐题结构一致性复核</x:v>
      </x:c>
      <x:c r="K226" s="63" t="str">
        <x:v>在研究甲、乙两种物质的质量和体积关系时，得出如图所示的图像。则（ ）</x:v>
      </x:c>
      <x:c r="L226" s="63" t="str">
        <x:v>A. 甲的密度比乙的密度大 B. 乙的质量为5g时，体积是1.25cm3 C. 甲、乙质量相同时，V甲：V乙=1：2 D. 物质的质量越大，体积越大，密度也越大</x:v>
      </x:c>
      <x:c r="M226" s="63" t="str">
        <x:v>解：图象中横轴表示体积，纵轴表示质量， A、由图可知，甲的质量m甲=4.0g时，其体积V甲=2.0cm3，则甲的密度ρ甲=$\frac{{m}_{甲}}{{V}_{甲}}=\frac{4.0g}{2.0c{m}^{3}}$=2g/cm3， 乙的质量m乙=4.0g时，其体积V乙=1.0cm3，则乙的密度ρ乙=$\frac{{m}_{乙}}{{V}_{乙}}=\frac{4.0g}{1.0c{m}^{3}}$=4g/cm3， 可见，甲的密度比乙的密度小，故A错误； B、根据密度公式得，乙的质量为5g时，体积是V'=$\frac{m'}{{ρ}_{乙}}=\frac{5g}{4g/c{m}^{3}}$=1.25cm3，故B正确； C、由图可知，质量相等时，甲的体积大，乙的体积小，故C错误； D、密度跟物质种类有关，跟质量和体积没有关系，故D错误。 故选：B。</x:v>
      </x:c>
      <x:c r="N226" s="63" t="str">
        <x:v>https://k12static.xdf.cn/k12/image/externalized/66e79ac4-800f-4939-989c-0c2b9b7c0866.png</x:v>
      </x:c>
      <x:c r="O226" s="63" t="str">
        <x:v>https://k12static.xdf.cn/k12/image/externalized/72a7d43b-5856-43f9-8740-eb23c1954f21.png</x:v>
      </x:c>
      <x:c r="P226" s="63" t="str">
        <x:v>3-5步</x:v>
      </x:c>
      <x:c r="Q226" s="63" t="str">
        <x:v>图像表格分析</x:v>
      </x:c>
      <x:c r="R226" s="63" t="str">
        <x:v>单状态</x:v>
      </x:c>
      <x:c r="S226" s="63" t="str">
        <x:v>无约束</x:v>
      </x:c>
      <x:c r="T226" s="63" t="str">
        <x:v>无</x:v>
      </x:c>
      <x:c r="U226" s="63" t="str">
        <x:v>直接读数</x:v>
      </x:c>
      <x:c r="V226" s="63" t="str">
        <x:v>多层因果推理</x:v>
      </x:c>
    </x:row>
    <x:row r="227">
      <x:c r="A227" s="64" t="str">
        <x:v>​2406277912982757376</x:v>
      </x:c>
      <x:c r="B227" s="65" t="str">
        <x:v>基础题</x:v>
      </x:c>
      <x:c r="C227" s="65" t="str">
        <x:v>基础题</x:v>
      </x:c>
      <x:c r="D227" s="65" t="str">
        <x:v>基础题</x:v>
      </x:c>
      <x:c r="E227" s="65" t="str">
        <x:v>保留原GPT裁定</x:v>
      </x:c>
      <x:c r="F227" s="65" t="str">
        <x:v>高</x:v>
      </x:c>
      <x:c r="G227" s="65" t="str">
        <x:v>基础题</x:v>
      </x:c>
      <x:c r="H227" s="65" t="str">
        <x:v>送分题</x:v>
      </x:c>
      <x:c r="I227" s="65" t="str">
        <x:v>题干、解析与结构证据支持基础题：step=1-2步，题型=概念判断，状态=单状态，约束=无约束，推理=简单因果推理。教师、盲评和多次模型证据中未形成足以推翻原裁定的同向结构证据。</x:v>
      </x:c>
      <x:c r="J227" s="65" t="str">
        <x:v>未进入三次错题并集；逐题结构一致性复核</x:v>
      </x:c>
      <x:c r="K227" s="63" t="str">
        <x:v>在《吕氏春秋•察今》中记载了刻舟求剑的故事，其中有这样的文字“舟已行矣；而剑不行；求剑若此；不亦惑乎？”。从物理学角度看，“剑不行”所选择的参照物是（ ）</x:v>
      </x:c>
      <x:c r="L227" s="63" t="str">
        <x:v>A. 舟 B. 流水 C. 剑 D. 岸</x:v>
      </x:c>
      <x:c r="M227" s="63" t="str">
        <x:v>解：由题意知，舟已行矣，而剑不行，意思是舟已经向前行驶了，但剑没有行进，“剑不行”即剑相对于参照物是静止的。 A．以舟为参照物，剑相对于舟的位置发生变化，即剑相对于舟是运动的，故A不正确； B．以流水为参照物，剑相对于流水的位置发生变化，即剑相对于流水是运动的，故B不正确； C．物体不能选择自己作为参照物，故C不正确； D．以岸为参照物，剑相对于岸的位置没有发生变化，即剑相对于岸是静止的，故D正确。 故选：D。</x:v>
      </x:c>
      <x:c r="N227" s="63" t="str">
        <x:v>https://k12static.xdf.cn/k12/image/externalized/36715004-bffa-453e-a445-1176e95a0edf.png</x:v>
      </x:c>
      <x:c r="O227" s="63" t="str">
        <x:v>https://k12static.xdf.cn/k12/image/externalized/b65337cb-da34-46b7-b29c-cf0131669a4b.png</x:v>
      </x:c>
      <x:c r="P227" s="63" t="str">
        <x:v>1-2步</x:v>
      </x:c>
      <x:c r="Q227" s="63" t="str">
        <x:v>概念判断</x:v>
      </x:c>
      <x:c r="R227" s="63" t="str">
        <x:v>单状态</x:v>
      </x:c>
      <x:c r="S227" s="63" t="str">
        <x:v>无约束</x:v>
      </x:c>
      <x:c r="T227" s="63" t="str">
        <x:v>无</x:v>
      </x:c>
      <x:c r="U227" s="63" t="str">
        <x:v>无</x:v>
      </x:c>
      <x:c r="V227" s="63" t="str">
        <x:v>简单因果推理</x:v>
      </x:c>
    </x:row>
    <x:row r="228">
      <x:c r="A228" s="64" t="str">
        <x:v>​2416702542409678848</x:v>
      </x:c>
      <x:c r="B228" s="65" t="str">
        <x:v>中等题</x:v>
      </x:c>
      <x:c r="C228" s="65" t="str">
        <x:v>中等题</x:v>
      </x:c>
      <x:c r="D228" s="65" t="str">
        <x:v>中等题</x:v>
      </x:c>
      <x:c r="E228" s="65" t="str">
        <x:v>保留原GPT裁定</x:v>
      </x:c>
      <x:c r="F228" s="65" t="str">
        <x:v>高</x:v>
      </x:c>
      <x:c r="G228" s="65" t="str">
        <x:v>拔高题</x:v>
      </x:c>
      <x:c r="H228" s="65" t="str">
        <x:v>中等题</x:v>
      </x:c>
      <x:c r="I228" s="65" t="str">
        <x:v>题干、解析与结构证据支持中等题：step=3-5步，题型=力学综合，状态=单状态，约束=单一约束，推理=多层因果推理。教师、盲评和多次模型证据中未形成足以推翻原裁定的同向结构证据。</x:v>
      </x:c>
      <x:c r="J228" s="65" t="str">
        <x:v>未进入三次错题并集；逐题结构一致性复核</x:v>
      </x:c>
      <x:c r="K228" s="63" t="str">
        <x:v>如图所示，重600N的物体在大小为100N的水平拉力作用下，以0.1m/s的速度沿水平地面向左匀速直线运动了10s,滑轮组的机械效率为60%。在此过程中下列选项正确的是（ ）</x:v>
      </x:c>
      <x:c r="L228" s="63" t="str">
        <x:v>A. 物体与地面间的滑动摩擦力为100N B. 拉力F做的功为200J C. 额外功的功率是8W D. 绳子自由端移动的速度为0.3m/s</x:v>
      </x:c>
      <x:c r="M228" s="63" t="str">
        <x:v>解：B、根据图示可知，n=2，物体移动的距离s物=vt=0.1m/s×10s=1m,绳子自由端移动的距离s绳=2×1m=2m,拉力F做的功W总=Fs绳=100N×2m=200J，故B正确； A、物体与地面间的滑动摩擦力做的功为有用功，W有用=W总η=200J×60%=120J，物体与地面间的滑动摩擦力f=$\frac{{W}_{有用}}{{s}_{物}}$=$\frac{120J}{1m}$=120N，故A错误； C、额外功W额=W总-W有用=200J-120J=80J，额外功的功率P=$\frac{{W}_{额}}{t}$=$\frac{80J}{10s}$=8W，故C正确； D、绳子自由端移动的速度v′=$\frac{{s}_{绳}}{t}$=$\frac{2m}{10s}$=0.2m/s,故D错误。 故选：BC。</x:v>
      </x:c>
      <x:c r="N228" s="63" t="str">
        <x:v>https://k12static.xdf.cn/k12/image/externalized/0d488856-f2be-4725-9f56-681a262d5461.png</x:v>
      </x:c>
      <x:c r="O228" s="63" t="str">
        <x:v>https://k12static.xdf.cn/k12/image/externalized/50372012-6142-4fdf-9924-33741317bfd7.png</x:v>
      </x:c>
      <x:c r="P228" s="63" t="str">
        <x:v>3-5步</x:v>
      </x:c>
      <x:c r="Q228" s="63" t="str">
        <x:v>力学综合</x:v>
      </x:c>
      <x:c r="R228" s="63" t="str">
        <x:v>单状态</x:v>
      </x:c>
      <x:c r="S228" s="63" t="str">
        <x:v>单一约束</x:v>
      </x:c>
      <x:c r="T228" s="63" t="str">
        <x:v>无</x:v>
      </x:c>
      <x:c r="U228" s="63" t="str">
        <x:v>无</x:v>
      </x:c>
      <x:c r="V228" s="63" t="str">
        <x:v>多层因果推理</x:v>
      </x:c>
    </x:row>
    <x:row r="229">
      <x:c r="A229" s="64" t="str">
        <x:v>​2420989802168766464</x:v>
      </x:c>
      <x:c r="B229" s="65" t="str">
        <x:v>基础题</x:v>
      </x:c>
      <x:c r="C229" s="65" t="str">
        <x:v>基础题</x:v>
      </x:c>
      <x:c r="D229" s="65" t="str">
        <x:v>基础题</x:v>
      </x:c>
      <x:c r="E229" s="65" t="str">
        <x:v>逐题复核后保留GPT裁定</x:v>
      </x:c>
      <x:c r="F229" s="65" t="str">
        <x:v>中</x:v>
      </x:c>
      <x:c r="G229" s="65" t="str">
        <x:v>送分题</x:v>
      </x:c>
      <x:c r="H229" s="65" t="str">
        <x:v>基础题</x:v>
      </x:c>
      <x:c r="I229" s="65" t="str">
        <x:v>最高难任务为1—2步显性应用、规范操作或简单因果，没有连续模型转换。 题目证据：最长连续链实际有效物理决策为1步，考查功的两个必要因素概念，围绕功的做功条件辨析不同表述的正确性，属于概念直接应用，无多过程、多约束或复杂推理。</x:v>
      </x:c>
      <x:c r="J229" s="65" t="str">
        <x:v>三次运行错题并集逐题复核</x:v>
      </x:c>
      <x:c r="K229" s="63" t="str">
        <x:v>下列说法正确的是（ ）</x:v>
      </x:c>
      <x:c r="L229" s="63" t="str">
        <x:v>A. 作用在物体上的力越大，物体通过的距离越长，力所做的功就越大 B. 功等于力跟物体通过的距离的乘积 C. 物体受到力的作用，同时通过一定的距离，力对物体不一定做功 D. 以上说法都不对</x:v>
      </x:c>
      <x:c r="M229" s="63" t="str">
        <x:v>解： A、根据做功的两个因素可知，距离必须是在力的方向上通过的，虽然力越大、距离越长，当力的方向与移动距离的方向垂直时，力就没有做功；故A错误； B、功等于力乘以在力的方向上通过的距离，故B错误； C、物体受到力的作用，同时通过一定的距离，力对物体不一定做功，如在水平路面上提着一桶水行走，力的方向与距离的方向垂直，力做的功为零，故C正确。 综上所述，D错误。 故选：C。</x:v>
      </x:c>
      <x:c r="N229" s="63" t="str">
        <x:v>https://k12static.xdf.cn/k12/image/externalized/6089f1ce-19ad-461f-a6d5-4e8d5efa12bd.png</x:v>
      </x:c>
      <x:c r="O229" s="63" t="str">
        <x:v>https://k12static.xdf.cn/k12/image/externalized/2e35eb65-fb05-4e32-ba76-795b4f969d46.png</x:v>
      </x:c>
      <x:c r="P229" s="63" t="str">
        <x:v>1-2步</x:v>
      </x:c>
      <x:c r="Q229" s="63" t="str">
        <x:v>概念判断</x:v>
      </x:c>
      <x:c r="R229" s="63" t="str">
        <x:v>单状态</x:v>
      </x:c>
      <x:c r="S229" s="63" t="str">
        <x:v>无约束</x:v>
      </x:c>
      <x:c r="T229" s="63" t="str">
        <x:v>无</x:v>
      </x:c>
      <x:c r="U229" s="63" t="str">
        <x:v>无</x:v>
      </x:c>
      <x:c r="V229" s="63" t="str">
        <x:v>多层因果推理</x:v>
      </x:c>
    </x:row>
    <x:row r="230">
      <x:c r="A230" s="64" t="str">
        <x:v>​2426713258612019200</x:v>
      </x:c>
      <x:c r="B230" s="65" t="str">
        <x:v>基础题</x:v>
      </x:c>
      <x:c r="C230" s="65" t="str">
        <x:v>基础题</x:v>
      </x:c>
      <x:c r="D230" s="65" t="str">
        <x:v>基础题</x:v>
      </x:c>
      <x:c r="E230" s="65" t="str">
        <x:v>保留原GPT裁定</x:v>
      </x:c>
      <x:c r="F230" s="65" t="str">
        <x:v>高</x:v>
      </x:c>
      <x:c r="G230" s="65" t="str">
        <x:v>中等题</x:v>
      </x:c>
      <x:c r="H230" s="65" t="str">
        <x:v>基础题</x:v>
      </x:c>
      <x:c r="I230" s="65" t="str">
        <x:v>题干、解析与结构证据支持基础题：step=1-2步，题型=光学声学综合，状态=单状态，约束=无约束，推理=简单因果推理。教师、盲评和多次模型证据中未形成足以推翻原裁定的同向结构证据。</x:v>
      </x:c>
      <x:c r="J230" s="65" t="str">
        <x:v>未进入三次错题并集；逐题结构一致性复核</x:v>
      </x:c>
      <x:c r="K230" s="63" t="str">
        <x:v>某电磁波波形如图所示，该电磁波的波长是 m,频率是 Hz。</x:v>
      </x:c>
      <x:c r="L230" s="63" t="str"/>
      <x:c r="M230" s="63" t="str">
        <x:v>解：图中给出的是1个波长的距离，所以波长λ=1cm=0.01m。 电磁波传播的速度c=3×108m/s, 由公式c=λf得： f=$\frac{c}{λ}$=$\frac{3×1{0}^{8}m/s}{0.01m}$=3×1010Hz。 故答案为：0.01；3×1010。</x:v>
      </x:c>
      <x:c r="N230" s="63" t="str">
        <x:v>https://k12static.xdf.cn/k12/image/externalized/1ab2468c-e7a9-432c-87d4-1ac3590bb424.png</x:v>
      </x:c>
      <x:c r="O230" s="63" t="str">
        <x:v>https://k12static.xdf.cn/k12/image/externalized/fd156ed6-3a8a-4ea0-98e2-6e891084ed0b.png</x:v>
      </x:c>
      <x:c r="P230" s="63" t="str">
        <x:v>1-2步</x:v>
      </x:c>
      <x:c r="Q230" s="63" t="str">
        <x:v>光学声学综合</x:v>
      </x:c>
      <x:c r="R230" s="63" t="str">
        <x:v>单状态</x:v>
      </x:c>
      <x:c r="S230" s="63" t="str">
        <x:v>无约束</x:v>
      </x:c>
      <x:c r="T230" s="63" t="str">
        <x:v>无</x:v>
      </x:c>
      <x:c r="U230" s="63" t="str">
        <x:v>直接读数</x:v>
      </x:c>
      <x:c r="V230" s="63" t="str">
        <x:v>简单因果推理</x:v>
      </x:c>
    </x:row>
    <x:row r="231">
      <x:c r="A231" s="64" t="str">
        <x:v>​2426912555327610880</x:v>
      </x:c>
      <x:c r="B231" s="65" t="str">
        <x:v>中等题</x:v>
      </x:c>
      <x:c r="C231" s="65" t="str">
        <x:v>中等题</x:v>
      </x:c>
      <x:c r="D231" s="65" t="str">
        <x:v>中等题</x:v>
      </x:c>
      <x:c r="E231" s="65" t="str">
        <x:v>逐题复核后保留GPT裁定</x:v>
      </x:c>
      <x:c r="F231" s="65" t="str">
        <x:v>高</x:v>
      </x:c>
      <x:c r="G231" s="65" t="str">
        <x:v>基础题</x:v>
      </x:c>
      <x:c r="H231" s="65" t="str">
        <x:v>中等题</x:v>
      </x:c>
      <x:c r="I231" s="65" t="str">
        <x:v>存在约3—4步常规连续分析、共享过程或完整标准实验任务，关系仍显性。 题目证据：最高难选项实际有效推理约3步。五维中过程/对象和思维层次落在中等档，知识量与数学工具为低难度支撑，情境不额外增难。真实任务是结合实验给出的两个连续操作现象，辨析四个选项中哪一个对应完整的探究问题，需要同时匹配两个变量的探究价值，判断表述合理性，属于围绕同一探究主题的逻辑辨析。</x:v>
      </x:c>
      <x:c r="J231" s="65" t="str">
        <x:v>三次运行错题并集逐题复核</x:v>
      </x:c>
      <x:c r="K231" s="63" t="str">
        <x:v>小凯同学用两手食指夹住一只铅笔的两头静止，发现两手指的凹陷程度不同，感觉不同；如果再稍用些力，发现同一个手指凹陷程度更深一些，更疼一些。小凯针对以上描述提出了以下四个问题，其中最具有探究价值且易于探究的是（ ） ​</x:v>
      </x:c>
      <x:c r="L231" s="63" t="str">
        <x:v>A. 压力的作用效果与哪些因素有关 B. 压力的作用效果与受力面积有什么关系 C. 压强的大小与压力大小和受力面积有什么关系 D. 压力的作用效果与压力大小和受力面积有什么关系</x:v>
      </x:c>
      <x:c r="M231" s="63" t="str">
        <x:v>解：小凯同学用两手食指夹住一只铅笔的两头静止，铅笔处于静止状态，在水平方向上受到两手指的压力为一对平衡力，大小相等，根据力的相互性，铅笔对两手指的压力相同，而受力面积不同，发现两手指的凹陷程度不同，感觉不同，故可研究压力的作用效果与压力大小有什么关系； 如果再稍用些力，则压力变大，对同一个手指来说，受力面积不变，因同一个手指凹陷程度更深一些，更疼一些，故可研究压力的作用效果与压力大小有什么关系。即最具有探究价值且易于探究的是：压力的作用效果与压力大小和受力面积有什么关系。 故选：D。</x:v>
      </x:c>
      <x:c r="N231" s="63" t="str">
        <x:v>https://k12static.xdf.cn/k12/image/externalized/4a7a8d84-e843-4e33-93bd-f85257cfcb68.png</x:v>
      </x:c>
      <x:c r="O231" s="63" t="str">
        <x:v>https://k12static.xdf.cn/k12/image/externalized/a324306b-af10-42c2-830c-7209ac7db7bc.png</x:v>
      </x:c>
      <x:c r="P231" s="63" t="str">
        <x:v>3-5步</x:v>
      </x:c>
      <x:c r="Q231" s="63" t="str">
        <x:v>概念判断</x:v>
      </x:c>
      <x:c r="R231" s="63" t="str">
        <x:v>双状态</x:v>
      </x:c>
      <x:c r="S231" s="63" t="str">
        <x:v>无约束</x:v>
      </x:c>
      <x:c r="T231" s="63" t="str">
        <x:v>无</x:v>
      </x:c>
      <x:c r="U231" s="63" t="str">
        <x:v>无</x:v>
      </x:c>
      <x:c r="V231" s="63" t="str">
        <x:v>多层因果推理</x:v>
      </x:c>
    </x:row>
    <x:row r="232">
      <x:c r="A232" s="64" t="str">
        <x:v>​2437027317649530880</x:v>
      </x:c>
      <x:c r="B232" s="65" t="str">
        <x:v>中等题</x:v>
      </x:c>
      <x:c r="C232" s="65" t="str">
        <x:v>中等题</x:v>
      </x:c>
      <x:c r="D232" s="65" t="str">
        <x:v>中等题</x:v>
      </x:c>
      <x:c r="E232" s="65" t="str">
        <x:v>保留原GPT裁定</x:v>
      </x:c>
      <x:c r="F232" s="65" t="str">
        <x:v>高</x:v>
      </x:c>
      <x:c r="G232" s="65" t="str">
        <x:v>中等题</x:v>
      </x:c>
      <x:c r="H232" s="65" t="str">
        <x:v>中等题</x:v>
      </x:c>
      <x:c r="I232" s="65" t="str">
        <x:v>题干、解析与结构证据支持中等题：step=1-2步，题型=概念判断，状态=单状态，约束=单一约束，推理=多层因果推理。教师、盲评和多次模型证据中未形成足以推翻原裁定的同向结构证据。</x:v>
      </x:c>
      <x:c r="J232" s="65" t="str">
        <x:v>未进入三次错题并集；逐题结构一致性复核</x:v>
      </x:c>
      <x:c r="K232" s="63" t="str">
        <x:v>如图所示，叠放在一起的物体A和B，在大小为F的恒力作用下沿水平面做匀速直线运动，则下列结论中正确的是（ ）</x:v>
      </x:c>
      <x:c r="L232" s="63" t="str">
        <x:v>A. 物体 A 对 B 的摩擦力与物体 B 对 A 的摩擦力是一对相互作用力 B. 物体 B 的重力与地面对 B 的支持力是一对平衡力 C. 物体 B 的重力与地面对 B 的支持力是一对相互作用力 D. 地面一定是粗糙的</x:v>
      </x:c>
      <x:c r="M232" s="63" t="str">
        <x:v>解：A、叠放在一起的物体A和B，在大小为F的恒力作用下沿水平面做匀速直线运动，AB之间没有相对运动的趋势，故AB间没有摩擦力，故A错误； B、物体 B 的重力与地面对 B 的支持力大小不等，不是一对平衡力。故B错误； C、物体 B 的重力与地面对 B 的支持力大小不等，不是一对相互作用力，故C错误； D、以AB整体为研究对象，在水平方向受地面的摩擦和拉力F，这两个力相互平衡，则f=F，故地面一定是粗糙的，故D正确。 故选：D。</x:v>
      </x:c>
      <x:c r="N232" s="63" t="str">
        <x:v>https://k12static.xdf.cn/k12/image/externalized/11af6df5-b551-4a8b-a161-b66e494271bc.png</x:v>
      </x:c>
      <x:c r="O232" s="63" t="str">
        <x:v>https://k12static.xdf.cn/k12/image/externalized/b6f47bb3-3d32-432c-81b4-6acc3905e630.png</x:v>
      </x:c>
      <x:c r="P232" s="63" t="str">
        <x:v>1-2步</x:v>
      </x:c>
      <x:c r="Q232" s="63" t="str">
        <x:v>概念判断</x:v>
      </x:c>
      <x:c r="R232" s="63" t="str">
        <x:v>单状态</x:v>
      </x:c>
      <x:c r="S232" s="63" t="str">
        <x:v>单一约束</x:v>
      </x:c>
      <x:c r="T232" s="63" t="str">
        <x:v>无</x:v>
      </x:c>
      <x:c r="U232" s="63" t="str">
        <x:v>无</x:v>
      </x:c>
      <x:c r="V232" s="63" t="str">
        <x:v>多层因果推理</x:v>
      </x:c>
    </x:row>
    <x:row r="233">
      <x:c r="A233" s="64" t="str">
        <x:v>​2444269675631927296</x:v>
      </x:c>
      <x:c r="B233" s="65" t="str">
        <x:v>基础题</x:v>
      </x:c>
      <x:c r="C233" s="65" t="str">
        <x:v>基础题</x:v>
      </x:c>
      <x:c r="D233" s="65" t="str">
        <x:v>基础题</x:v>
      </x:c>
      <x:c r="E233" s="65" t="str">
        <x:v>逐题复核后保留GPT裁定</x:v>
      </x:c>
      <x:c r="F233" s="65" t="str">
        <x:v>高</x:v>
      </x:c>
      <x:c r="G233" s="65" t="str">
        <x:v>基础题</x:v>
      </x:c>
      <x:c r="H233" s="65" t="str">
        <x:v>基础题</x:v>
      </x:c>
      <x:c r="I233" s="65" t="str">
        <x:v>最高难任务为1—2步显性应用、规范操作或简单因果，没有连续模型转换。 题目证据：各小问均为1步有效推理，最长连续链仅1步；五维锚定均符合基础题标准，各小问相互独立，每问对应一个独立的基础物理概念，无复杂连续分析或综合耦合。主要易错点是第一问容易混淆布朗运动本身和它反映的分子运动，其余均为文本信息与教材结论的直接对应。</x:v>
      </x:c>
      <x:c r="J233" s="65" t="str">
        <x:v>三次运行错题并集逐题复核</x:v>
      </x:c>
      <x:c r="K233" s="63" t="str">
        <x:v>请仔细阅读下文，并回答文后问题。 证明液体、气体分子做杂乱无章运动的最著名的实验，是英国植物学家布朗发现的布朗运动。1827年，布朗把花粉放入水中，然后取出一滴这种悬浮液放在显微镜下观察，发现花粉小颗粒在水中像着了魔似的不停运动，而且每个小颗粒的运动方向和速度大小都改变得很快，不会停下来。这些小颗粒实际上是由上万个分子组成的分子团，由于受液体分子撞击不平衡，从而表现出无规则运动的状况。 （1）布朗运动是 ________ 运动。 A．分子 B．原子 C．花粉 （2）布朗运动实质上反映了 ________ 的运动。 （3）如何使布朗运动加快？答： ________ 。 （4）此文中用到的物理研究方法是 ________ 。</x:v>
      </x:c>
      <x:c r="L233" s="63" t="str"/>
      <x:c r="M233" s="63" t="str">
        <x:v>解：（1）由题意可知，布朗运动是花粉的运动，不是分子或原子的运动。故只有C正确； （2）布朗运动实质上反映了水分子的运动，即通过花粉的运动进行间接的观察； （3）因为分子的运动与温度有关，温度越高，分子运动越剧烈，所以使布朗运动加快的办法可以是提高温度； （4）在本实验中，通过花粉的运动反映水分子的运动，是一种转换法的运用。 故答案为：（1）C； （2）水分子； （3）提高温度； （4）转换法。</x:v>
      </x:c>
      <x:c r="N233" s="63" t="str">
        <x:v>https://k12static.xdf.cn/k12/image/externalized/18b4afa2-4534-4bc3-80cf-c3fbcb8f4aa0.png</x:v>
      </x:c>
      <x:c r="O233" s="63" t="str">
        <x:v>https://k12static.xdf.cn/k12/image/externalized/303363e3-2c11-4216-b579-ed37e5c8d717.png</x:v>
      </x:c>
      <x:c r="P233" s="63" t="str">
        <x:v>1-2步</x:v>
      </x:c>
      <x:c r="Q233" s="63" t="str">
        <x:v>概念判断</x:v>
      </x:c>
      <x:c r="R233" s="63" t="str">
        <x:v>单状态</x:v>
      </x:c>
      <x:c r="S233" s="63" t="str">
        <x:v>无约束</x:v>
      </x:c>
      <x:c r="T233" s="63" t="str">
        <x:v>无</x:v>
      </x:c>
      <x:c r="U233" s="63" t="str">
        <x:v>无</x:v>
      </x:c>
      <x:c r="V233" s="63" t="str">
        <x:v>直接套用</x:v>
      </x:c>
    </x:row>
    <x:row r="234">
      <x:c r="A234" s="64" t="str">
        <x:v>​2444280901085450240</x:v>
      </x:c>
      <x:c r="B234" s="65" t="str">
        <x:v>中等题</x:v>
      </x:c>
      <x:c r="C234" s="65" t="str">
        <x:v>中等题</x:v>
      </x:c>
      <x:c r="D234" s="65" t="str">
        <x:v>中等题</x:v>
      </x:c>
      <x:c r="E234" s="65" t="str">
        <x:v>逐题复核后保留GPT裁定</x:v>
      </x:c>
      <x:c r="F234" s="65" t="str">
        <x:v>高</x:v>
      </x:c>
      <x:c r="G234" s="65" t="str">
        <x:v>拔高题</x:v>
      </x:c>
      <x:c r="H234" s="65" t="str">
        <x:v>中等题</x:v>
      </x:c>
      <x:c r="I234" s="65" t="str">
        <x:v>存在约3—4步常规连续分析、共享过程或完整标准实验任务，关系仍显性。 题目证据：最长连续链实际有效物理决策为2步：第一步根据匀速运动关系r=vT联立给定公式v=Hr推导T的表达式，第二步代入光年单位换算完成数值计算。五维锚定：知识量为匀速运动速度公式与新信息公式的简单关联，过程为单对象匀速运动，数学工具仅为公式联立和单位换算，情境为宇宙膨胀科普背景不增理解负担，思维层次属于简单应用，对应基础/中等区间。核心任务是公式联立推导和单位换算，无多状态、多约束或决定性转换。</x:v>
      </x:c>
      <x:c r="J234" s="65" t="str">
        <x:v>三次运行错题并集逐题复核</x:v>
      </x:c>
      <x:c r="K234" s="63" t="str">
        <x:v>天文观测表明，几乎所有远处的恒星（或星系）都以各自的速度背离我们而运动，离我们越远的星体，背离我们运动的速度（称为退行速度）越大；也就是说，宇宙在膨胀，不同星体的退行速度v和它们离我们的距离r成正比，即v=Hr,式中H为一常量，已由天文观察测定，为解释上述现象，有人提出一种理论，认为宇宙是从一个大爆炸的火球开始形成的，假设大爆炸后各星体以不同的速度向外匀速运动，并设想我们就位于其中心，则速度大的星体现在离我们越远，这一结果与上述天文观测一致，由上述理论和天文观测结果，可估算宇宙年龄T，其计算式为T= ，根据过去观测，哈勃常数H=3×10-2m/（s•l.y），其中1.y.（光年）是光在1年中行进的距离，由此估算宇宙的年龄约为 年。</x:v>
      </x:c>
      <x:c r="L234" s="63" t="str"/>
      <x:c r="M234" s="63" t="str">
        <x:v>解：不同的星体的退行速度v和它们离我们的距离r成正比，即v=Hr； 假设大爆炸后各星体即以不同的速度向外匀速运动，则有：r=vT； 联立求解可得到时间T=$\frac{1}{H}$，一光年=3×108m/s•年 代入数据T=$\frac{3×1{0}^{8}m/s\bullet y}{3×1{0}^{-2}m/s}$=1010年=100亿年。 故答案为：$\frac{1}{H}$；100亿。</x:v>
      </x:c>
      <x:c r="N234" s="63" t="str">
        <x:v>https://k12static.xdf.cn/k12/image/externalized/e18cf400-144b-424c-8ceb-b832ead86522.png</x:v>
      </x:c>
      <x:c r="O234" s="63" t="str">
        <x:v>https://k12static.xdf.cn/k12/image/externalized/3178b9c9-49fd-480b-8ebc-2a18b14c7744.png</x:v>
      </x:c>
      <x:c r="P234" s="63" t="str">
        <x:v>3-5步</x:v>
      </x:c>
      <x:c r="Q234" s="63" t="str">
        <x:v>跨模块综合</x:v>
      </x:c>
      <x:c r="R234" s="63" t="str">
        <x:v>单状态</x:v>
      </x:c>
      <x:c r="S234" s="63" t="str">
        <x:v>单一约束</x:v>
      </x:c>
      <x:c r="T234" s="63" t="str">
        <x:v>无</x:v>
      </x:c>
      <x:c r="U234" s="63" t="str">
        <x:v>无</x:v>
      </x:c>
      <x:c r="V234" s="63" t="str">
        <x:v>多层因果推理</x:v>
      </x:c>
    </x:row>
    <x:row r="235">
      <x:c r="A235" s="64" t="str">
        <x:v>​2446718954919993344</x:v>
      </x:c>
      <x:c r="B235" s="65" t="str">
        <x:v>中等题</x:v>
      </x:c>
      <x:c r="C235" s="65" t="str">
        <x:v>中等题</x:v>
      </x:c>
      <x:c r="D235" s="65" t="str">
        <x:v>中等题</x:v>
      </x:c>
      <x:c r="E235" s="65" t="str">
        <x:v>保留原GPT裁定</x:v>
      </x:c>
      <x:c r="F235" s="65" t="str">
        <x:v>高</x:v>
      </x:c>
      <x:c r="G235" s="65" t="str">
        <x:v>中等题</x:v>
      </x:c>
      <x:c r="H235" s="65" t="str">
        <x:v>拔高题</x:v>
      </x:c>
      <x:c r="I235" s="65" t="str">
        <x:v>题干、解析与结构证据支持中等题：step=3-5步，题型=力学综合，状态=单状态，约束=单一约束，推理=多层因果推理。教师、盲评和多次模型证据中未形成足以推翻原裁定的同向结构证据。</x:v>
      </x:c>
      <x:c r="J235" s="65" t="str">
        <x:v>未进入三次错题并集；逐题结构一致性复核</x:v>
      </x:c>
      <x:c r="K235" s="63" t="str">
        <x:v>用细绳系住厚度不均匀的木板的O处，木板恰好处于静止状态，且上表面保持水平．如图所示，两玩具车同时从O点附近分别向木板的两端匀速运动，要使木板在此过程始终保持平衡，必须满足的条件是（ ）</x:v>
      </x:c>
      <x:c r="L235" s="63" t="str">
        <x:v>A. 两车的质量相等 B. 两车的速度大小相等 C. 质量较小的车速度较大 D. 两车同时到达木板两端</x:v>
      </x:c>
      <x:c r="M235" s="63" t="str">
        <x:v>解： 木板原来是平衡的，两玩具车同时从O点附近分别向木板的两端匀速运动， 若保持木板平衡根据杠杆的平衡条件： G1L1=G2L2， 即：m1v1t=m2v2t, m1v1=m2v2， A、两车的质量相等，速度不同则不能平衡，故A错误； B、车的速度大小相等，质量不同不能平衡，故B错误； C、质量较小的车速度较大，故C正确； D、须满足$\frac{{G}_{左}}{{G}_{右}}$与两端距支点距离$\frac{{L}_{右}}{{L}_{左}}$相等才能平衡，故D错误． 故选：C．</x:v>
      </x:c>
      <x:c r="N235" s="63" t="str">
        <x:v>https://k12static.xdf.cn/k12/image/externalized/dd86baef-018a-4fd9-8094-5c9f89e398c2.png</x:v>
      </x:c>
      <x:c r="O235" s="63" t="str">
        <x:v>https://k12static.xdf.cn/k12/image/externalized/c0d41c89-e97b-40a2-b432-0a29d0a0dc67.png</x:v>
      </x:c>
      <x:c r="P235" s="63" t="str">
        <x:v>3-5步</x:v>
      </x:c>
      <x:c r="Q235" s="63" t="str">
        <x:v>力学综合</x:v>
      </x:c>
      <x:c r="R235" s="63" t="str">
        <x:v>单状态</x:v>
      </x:c>
      <x:c r="S235" s="63" t="str">
        <x:v>单一约束</x:v>
      </x:c>
      <x:c r="T235" s="63" t="str">
        <x:v>无</x:v>
      </x:c>
      <x:c r="U235" s="63" t="str">
        <x:v>无</x:v>
      </x:c>
      <x:c r="V235" s="63" t="str">
        <x:v>多层因果推理</x:v>
      </x:c>
    </x:row>
    <x:row r="236">
      <x:c r="A236" s="64" t="str">
        <x:v>​2448657553976307712</x:v>
      </x:c>
      <x:c r="B236" s="65" t="str">
        <x:v>拔高题</x:v>
      </x:c>
      <x:c r="C236" s="65" t="str">
        <x:v>拔高题</x:v>
      </x:c>
      <x:c r="D236" s="65" t="str">
        <x:v>拔高题</x:v>
      </x:c>
      <x:c r="E236" s="65" t="str">
        <x:v>逐题复核后保留GPT裁定</x:v>
      </x:c>
      <x:c r="F236" s="65" t="str">
        <x:v>高</x:v>
      </x:c>
      <x:c r="G236" s="65" t="str">
        <x:v>压轴题</x:v>
      </x:c>
      <x:c r="H236" s="65" t="str">
        <x:v>拔高题</x:v>
      </x:c>
      <x:c r="I236" s="65" t="str">
        <x:v>存在决定性反推/等效/误差/几何转换，或同一装置中的5—6步高密度综合链。 题目证据：原标偏高。最长有效链为3-5步、题型为光学声学综合、涉及多状态、推理为多层因果推理；未出现，裁定为拔高题。 复核证据：独立盲评与三次模型中有3/4支持拔高题。</x:v>
      </x:c>
      <x:c r="J236" s="65" t="str">
        <x:v>三次运行错题并集逐题复核</x:v>
      </x:c>
      <x:c r="K236" s="63" t="str">
        <x:v>如图所示，凸透镜的焦距为5厘米，在透镜左侧10厘米处，有一个与主光轴垂直的物体AB，在透镜右侧15厘米处放一个平面镜，镜面与凸透镜的主光轴垂直，则该光具组中，物体AB的成像情况是（ ）</x:v>
      </x:c>
      <x:c r="L236" s="63" t="str">
        <x:v>A. 一个正立实像，一个倒立实像，一个正立虚像 B. 一个正立实像，一个正立虚像，一个倒立虚像 C. 一个倒立实像，一个正立虚像，一个倒立虚像 D. 一个正立实像，一个倒立实像，一个倒立虚像</x:v>
      </x:c>
      <x:c r="M236" s="63" t="str">
        <x:v>解：如图，①物体AB在凸透镜的二倍焦距处，得到倒立等大的实像A1B1。 ②实像A1B1如果不用光屏呈接，空气是比较干净时，眼睛从侧面是无法看到的，但是确实是存在的，实像A1B1又在平面镜中成像，相对A1B1来讲是正立的虚像A2B2。 ③虚像A2B2是反射光线的反向延长线会聚形成的，这些反射光线又经凸透镜成相对于A2B2倒立、缩小的实像A3B3。 AB经凸透镜两次成像，像为A1B1和A3B3，经平面镜一次成像，像为A2B2，三次成像相对于AB来讲，A1B1是倒立、等大的实像，A2B2是倒立、等大的虚像，A3B3是正立、缩小的实像。 故选：D。</x:v>
      </x:c>
      <x:c r="N236" s="63" t="str">
        <x:v>https://k12static.xdf.cn/k12/image/externalized/4a2b40d9-cc59-4a97-87f5-b27659dcdf79.png</x:v>
      </x:c>
      <x:c r="O236" s="63" t="str">
        <x:v>https://k12static.xdf.cn/k12/image/externalized/ceb318db-e482-4b38-ad16-72d0a933fa4e.png</x:v>
      </x:c>
      <x:c r="P236" s="63" t="str">
        <x:v>3-5步</x:v>
      </x:c>
      <x:c r="Q236" s="63" t="str">
        <x:v>光学声学综合</x:v>
      </x:c>
      <x:c r="R236" s="63" t="str">
        <x:v>多状态</x:v>
      </x:c>
      <x:c r="S236" s="63" t="str">
        <x:v>无约束</x:v>
      </x:c>
      <x:c r="T236" s="63" t="str">
        <x:v>无</x:v>
      </x:c>
      <x:c r="U236" s="63" t="str">
        <x:v>无</x:v>
      </x:c>
      <x:c r="V236" s="63" t="str">
        <x:v>多层因果推理</x:v>
      </x:c>
    </x:row>
    <x:row r="237">
      <x:c r="A237" s="64" t="str">
        <x:v>​2457550218900586496</x:v>
      </x:c>
      <x:c r="B237" s="65" t="str">
        <x:v>基础题</x:v>
      </x:c>
      <x:c r="C237" s="65" t="str">
        <x:v>基础题</x:v>
      </x:c>
      <x:c r="D237" s="65" t="str">
        <x:v>基础题</x:v>
      </x:c>
      <x:c r="E237" s="65" t="str">
        <x:v>保留原GPT裁定</x:v>
      </x:c>
      <x:c r="F237" s="65" t="str">
        <x:v>高</x:v>
      </x:c>
      <x:c r="G237" s="65" t="str">
        <x:v>中等题</x:v>
      </x:c>
      <x:c r="H237" s="65" t="str">
        <x:v>基础题</x:v>
      </x:c>
      <x:c r="I237" s="65" t="str">
        <x:v>题干、解析与结构证据支持基础题：step=1-2步，题型=力学综合，状态=单状态，约束=单一约束，推理=简单因果推理。教师、盲评和多次模型证据中未形成足以推翻原裁定的同向结构证据。</x:v>
      </x:c>
      <x:c r="J237" s="65" t="str">
        <x:v>未进入三次错题并集；逐题结构一致性复核</x:v>
      </x:c>
      <x:c r="K237" s="63" t="str">
        <x:v>如图所示，不计滑轮自重及绳子与滑轮之间的摩擦，三个弹簧测力计拉力FA、FB、Fc三者的关系正确的是（ ）</x:v>
      </x:c>
      <x:c r="L237" s="63" t="str">
        <x:v>A. FA：FB：Fc=3：2：1 B. FA：FB：Fc=1：2：3 C. FA：FB：Fc=6：3：2 D. FA：FB：Fc=2：3：6</x:v>
      </x:c>
      <x:c r="M237" s="63" t="str">
        <x:v>解；根据每段绳子承担的力的情况，分析三个弹簧测力计拉力FA、FB、Fc三者的关系，如下图： 设每段绳子承担F的力，FC承担3段绳子的拉力，FC=3F；FB承担2段绳子的拉力；FB=2F；FA承担一段绳子的拉力，FA=F。 故FA：FB：FC=F：2F：3F=1：2：3，故B正确，ACD错误。 故选：B。</x:v>
      </x:c>
      <x:c r="N237" s="63" t="str">
        <x:v>https://k12static.xdf.cn/k12/image/externalized/5d6319ac-1331-471d-9ab9-513aaeb5aef1.png</x:v>
      </x:c>
      <x:c r="O237" s="63" t="str">
        <x:v>https://k12static.xdf.cn/k12/image/externalized/78bb1a68-feee-45f6-afb4-eb8fa0fea0ee.png</x:v>
      </x:c>
      <x:c r="P237" s="63" t="str">
        <x:v>1-2步</x:v>
      </x:c>
      <x:c r="Q237" s="63" t="str">
        <x:v>力学综合</x:v>
      </x:c>
      <x:c r="R237" s="63" t="str">
        <x:v>单状态</x:v>
      </x:c>
      <x:c r="S237" s="63" t="str">
        <x:v>单一约束</x:v>
      </x:c>
      <x:c r="T237" s="63" t="str">
        <x:v>无</x:v>
      </x:c>
      <x:c r="U237" s="63" t="str">
        <x:v>无</x:v>
      </x:c>
      <x:c r="V237" s="63" t="str">
        <x:v>简单因果推理</x:v>
      </x:c>
    </x:row>
    <x:row r="238">
      <x:c r="A238" s="64" t="str">
        <x:v>​2464545826479869952</x:v>
      </x:c>
      <x:c r="B238" s="65" t="str">
        <x:v>拔高题</x:v>
      </x:c>
      <x:c r="C238" s="65" t="str">
        <x:v>拔高题</x:v>
      </x:c>
      <x:c r="D238" s="65" t="str">
        <x:v>拔高题</x:v>
      </x:c>
      <x:c r="E238" s="65" t="str">
        <x:v>逐题复核后保留GPT裁定</x:v>
      </x:c>
      <x:c r="F238" s="65" t="str">
        <x:v>高</x:v>
      </x:c>
      <x:c r="G238" s="65" t="str">
        <x:v>拔高题</x:v>
      </x:c>
      <x:c r="H238" s="65" t="str">
        <x:v>拔高题</x:v>
      </x:c>
      <x:c r="I238" s="65" t="str">
        <x:v>最高难任务在图表信息提取与关系反推中包含图线反推、状态转换、误差评价、几何/等效转换、方程联立或参数反求等决定性卡点，整体约5—6个有效决策；尚未形成压轴所需的完整复杂约束网络。</x:v>
      </x:c>
      <x:c r="J238" s="65" t="str">
        <x:v>三次运行错题并集逐题复核</x:v>
      </x:c>
      <x:c r="K238" s="63" t="str">
        <x:v>为研究钢球在液体中运动时所受阻力的大小，让钢球从某一高度竖直落下进入液体中运动，用闪光照相方法拍摄钢球在不同时刻的位置。如图所示为拍摄中的一段图片。由图像可知，钢球进入液体后，其运动的速度变化情况为 。已知钢球在液体中运动时所受阻力f=kv2，闪光照相机的闪光时间间隔为Δt,图中刻度尺的最小刻度为s0，钢球的质量为m,则阻力常数k的表达式为k= 。（请用题中所给字母和物理常量表示）</x:v>
      </x:c>
      <x:c r="L238" s="63" t="str"/>
      <x:c r="M238" s="63" t="str">
        <x:v>解：由题中闪光照片示意图可知：钢球在液体中从某一高度下落，相同的时间下落的高度，先减小，后不变，所以其运动的速度变化情况为：先减小，后不变； 由平衡条件可得：G=f,即mg=kv2......① 从闪光照片中知，后四个位置之间的距离为s=6s0，经过后四个位置用的时间为t=3Δt, 钢球匀速运动的速度：v=$\frac{s}{t}=\frac{6{s}_{0}}{3\Delta t}=\frac{2{s}_{0}}{\Delta t}$......② 联立①②可得：k=$\frac{f}{{v}^{2}}$=$\frac{mg}{(\frac{2{s}_{0}}{\Delta t})^{2}}=\frac{mg\Delta {t}^{2}}{4{{s}_{0}}^{2}}$。 故答案为：先减小，后不变；$\frac{mg\Delta {t}^{2}}{4{{s}_{0}}^{2}}$。</x:v>
      </x:c>
      <x:c r="N238" s="63" t="str">
        <x:v>https://k12static.xdf.cn/k12/image/externalized/b6ec1366-46ec-4ff4-a658-2d2116f38ca2.png</x:v>
      </x:c>
      <x:c r="O238" s="63" t="str">
        <x:v>https://k12static.xdf.cn/k12/image/externalized/27b69d28-6b2f-4855-923f-5595f4588c10.png</x:v>
      </x:c>
      <x:c r="P238" s="63" t="str">
        <x:v>3-5步</x:v>
      </x:c>
      <x:c r="Q238" s="63" t="str">
        <x:v>力学综合</x:v>
      </x:c>
      <x:c r="R238" s="63" t="str">
        <x:v>双状态</x:v>
      </x:c>
      <x:c r="S238" s="63" t="str">
        <x:v>单一约束</x:v>
      </x:c>
      <x:c r="T238" s="63" t="str">
        <x:v>无</x:v>
      </x:c>
      <x:c r="U238" s="63" t="str">
        <x:v>多组比较归纳</x:v>
      </x:c>
      <x:c r="V238" s="63" t="str">
        <x:v>多层因果推理</x:v>
      </x:c>
    </x:row>
    <x:row r="239">
      <x:c r="A239" s="64" t="str">
        <x:v>​2467430435151216640</x:v>
      </x:c>
      <x:c r="B239" s="65" t="str">
        <x:v>基础题</x:v>
      </x:c>
      <x:c r="C239" s="65" t="str">
        <x:v>基础题</x:v>
      </x:c>
      <x:c r="D239" s="65" t="str">
        <x:v>基础题</x:v>
      </x:c>
      <x:c r="E239" s="65" t="str">
        <x:v>逐题复核后保留GPT裁定</x:v>
      </x:c>
      <x:c r="F239" s="65" t="str">
        <x:v>高</x:v>
      </x:c>
      <x:c r="G239" s="65" t="str">
        <x:v>送分题</x:v>
      </x:c>
      <x:c r="H239" s="65" t="str">
        <x:v>基础题</x:v>
      </x:c>
      <x:c r="I239" s="65" t="str">
        <x:v>最高难任务为1—2步显性应用、规范操作或简单因果，没有连续模型转换。 题目证据：最长连续链包含2个有效物理决策：先计算原杠杆两侧力矩，再计算增加钩码后两侧力矩并比较大小。五维锚定：知识量为单个杠杆平衡知识点，过程/对象为原平衡和新平衡双状态，数学工具为简单乘法比较，情境为常规杠杆变式，思维层次为简单应用。任务结构为两个状态力矩大小比较，符合基础题延伸到中等的边界特征。</x:v>
      </x:c>
      <x:c r="J239" s="65" t="str">
        <x:v>三次运行错题并集逐题复核</x:v>
      </x:c>
      <x:c r="K239" s="63" t="str">
        <x:v>如图所示，杠杆处于平衡状态，如果在杠杆两侧挂钩码处各增加一个质量相同的钩码，杠杆会（ ）</x:v>
      </x:c>
      <x:c r="L239" s="63" t="str">
        <x:v>A. 左端下降 B. 右端下降 C. 仍然平衡 D. 无法判断</x:v>
      </x:c>
      <x:c r="M239" s="63" t="str">
        <x:v>解： 设一个钩码重为G，一格为L， 原来：2G×3L=3G×2L，杠杆平衡， 现在：3G×3L＞4G×2L，所以杠杆不再平衡，杠杆向逆时针方向转动，即左端下沉。 故选：A。</x:v>
      </x:c>
      <x:c r="N239" s="63" t="str">
        <x:v>https://k12static.xdf.cn/k12/image/externalized/7735c7f9-3a80-4fde-8d10-218ad8dae2b1.png</x:v>
      </x:c>
      <x:c r="O239" s="63" t="str">
        <x:v>https://k12static.xdf.cn/k12/image/externalized/3acd8df1-e901-4c26-945b-16adc48a12bc.png</x:v>
      </x:c>
      <x:c r="P239" s="63" t="str">
        <x:v>1-2步</x:v>
      </x:c>
      <x:c r="Q239" s="63" t="str">
        <x:v>力学综合</x:v>
      </x:c>
      <x:c r="R239" s="63" t="str">
        <x:v>双状态</x:v>
      </x:c>
      <x:c r="S239" s="63" t="str">
        <x:v>单一约束</x:v>
      </x:c>
      <x:c r="T239" s="63" t="str">
        <x:v>无</x:v>
      </x:c>
      <x:c r="U239" s="63" t="str">
        <x:v>无</x:v>
      </x:c>
      <x:c r="V239" s="63" t="str">
        <x:v>简单因果推理</x:v>
      </x:c>
    </x:row>
    <x:row r="240">
      <x:c r="A240" s="64" t="str">
        <x:v>​2474356036380160000</x:v>
      </x:c>
      <x:c r="B240" s="65" t="str">
        <x:v>送分题</x:v>
      </x:c>
      <x:c r="C240" s="65" t="str">
        <x:v>送分题</x:v>
      </x:c>
      <x:c r="D240" s="65" t="str">
        <x:v>送分题</x:v>
      </x:c>
      <x:c r="E240" s="65" t="str">
        <x:v>保留原GPT裁定</x:v>
      </x:c>
      <x:c r="F240" s="65" t="str">
        <x:v>高</x:v>
      </x:c>
      <x:c r="G240" s="65" t="str">
        <x:v>基础题</x:v>
      </x:c>
      <x:c r="H240" s="65" t="str">
        <x:v>送分题</x:v>
      </x:c>
      <x:c r="I240" s="65" t="str">
        <x:v>题干、解析与结构证据支持送分题：step=1-2步，题型=概念判断，状态=单状态，约束=无约束，推理=直接套用。教师、盲评和多次模型证据中未形成足以推翻原裁定的同向结构证据。</x:v>
      </x:c>
      <x:c r="J240" s="65" t="str">
        <x:v>未进入三次错题并集；逐题结构一致性复核</x:v>
      </x:c>
      <x:c r="K240" s="63" t="str">
        <x:v>如图所示，铅笔长度测量结果记录正确的是（ ）</x:v>
      </x:c>
      <x:c r="L240" s="63" t="str">
        <x:v>A. 12.0cm B. 12.2cm C. 12.02cm D. 12.20cm</x:v>
      </x:c>
      <x:c r="M240" s="63" t="str">
        <x:v>解：图示刻度尺1cm又分为10个小刻度，故最小刻度值为1mm；末端刻度值为12.02cm,物体长度为12.02cm,故ABD错误，C正确。 故选：C。</x:v>
      </x:c>
      <x:c r="N240" s="63" t="str">
        <x:v>https://k12static.xdf.cn/k12/image/externalized/5735ca12-a5e6-4514-b329-cde9b865929c.png</x:v>
      </x:c>
      <x:c r="O240" s="63" t="str">
        <x:v>https://k12static.xdf.cn/k12/image/externalized/5964df04-a625-4d67-bfc0-808b70742ac7.png</x:v>
      </x:c>
      <x:c r="P240" s="63" t="str">
        <x:v>1-2步</x:v>
      </x:c>
      <x:c r="Q240" s="63" t="str">
        <x:v>概念判断</x:v>
      </x:c>
      <x:c r="R240" s="63" t="str">
        <x:v>单状态</x:v>
      </x:c>
      <x:c r="S240" s="63" t="str">
        <x:v>无约束</x:v>
      </x:c>
      <x:c r="T240" s="63" t="str">
        <x:v>基础操作或读数</x:v>
      </x:c>
      <x:c r="U240" s="63" t="str">
        <x:v>无</x:v>
      </x:c>
      <x:c r="V240" s="63" t="str">
        <x:v>直接套用</x:v>
      </x:c>
    </x:row>
    <x:row r="241">
      <x:c r="A241" s="64" t="str">
        <x:v>​2480450833095610368</x:v>
      </x:c>
      <x:c r="B241" s="65" t="str">
        <x:v>中等题</x:v>
      </x:c>
      <x:c r="C241" s="65" t="str">
        <x:v>中等题</x:v>
      </x:c>
      <x:c r="D241" s="65" t="str">
        <x:v>中等题</x:v>
      </x:c>
      <x:c r="E241" s="65" t="str">
        <x:v>保留原GPT裁定</x:v>
      </x:c>
      <x:c r="F241" s="65" t="str">
        <x:v>高</x:v>
      </x:c>
      <x:c r="G241" s="65" t="str">
        <x:v>中等题</x:v>
      </x:c>
      <x:c r="H241" s="65" t="str">
        <x:v>中等题</x:v>
      </x:c>
      <x:c r="I241" s="65" t="str">
        <x:v>题干、解析与结构证据支持中等题：step=3-5步，题型=概念判断，状态=多状态，约束=单一约束，推理=多层因果推理。教师、盲评和多次模型证据中未形成足以推翻原裁定的同向结构证据。</x:v>
      </x:c>
      <x:c r="J241" s="65" t="str">
        <x:v>未进入三次错题并集；逐题结构一致性复核</x:v>
      </x:c>
      <x:c r="K241" s="63" t="str">
        <x:v>如图甲所示，小雨在水平地面上用力推木箱，推力随时间变化的图像如图乙所示，木箱速度随时间变化的图像如图丙所示，以下对于这一过程的分析中错误的是（ ）</x:v>
      </x:c>
      <x:c r="L241" s="63" t="str">
        <x:v>A. 0～1s内木箱没有动，因为人对木箱的推力小于地面给木箱的摩擦力 B. 1s～2s内木箱受到的摩擦力大小为4N C. 2s～3s内木箱匀速运动，说明推力和摩擦力相等，都是4N D. 如果3s后人停止用力，木箱马上静止</x:v>
      </x:c>
      <x:c r="M241" s="63" t="str">
        <x:v>解：A、由图丙分析可知，木箱在0～1s内木箱在水平方向受到推力与摩擦力而静止，处于平衡状态，由平衡条件可知，推力等于摩擦力，故A错误； BC、由图丙可知，在2s～3s内木箱做匀速直线运动，处于平衡状态，由平衡条件可知，木箱受到的滑动摩擦力f=F，由图乙可知，在2～3s内推力F=4N，则木箱受到的滑动摩擦力f=F=4N；由图丙可知，木箱在1～2s内做加速运动，受到的摩擦力为滑动摩擦力，滑动摩擦力与推力大小无关，物体间接触面与物体间压力不变，物体受到的滑动摩擦力不变，则1s～2s内木箱受到的摩擦力大小为4N，故BC正确； D、如果3s后人停止用力，箱子具有一定的速度，由于惯性不能立即停止，故D错误； 故选：BC。</x:v>
      </x:c>
      <x:c r="N241" s="63" t="str">
        <x:v>https://k12static.xdf.cn/k12/image/externalized/5f166a2e-d939-4b7a-af15-3e74931b462a.png</x:v>
      </x:c>
      <x:c r="O241" s="63" t="str">
        <x:v>https://k12static.xdf.cn/k12/image/externalized/ec565173-f2cf-482d-b3fb-1c6119c57f25.png</x:v>
      </x:c>
      <x:c r="P241" s="63" t="str">
        <x:v>3-5步</x:v>
      </x:c>
      <x:c r="Q241" s="63" t="str">
        <x:v>概念判断</x:v>
      </x:c>
      <x:c r="R241" s="63" t="str">
        <x:v>多状态</x:v>
      </x:c>
      <x:c r="S241" s="63" t="str">
        <x:v>单一约束</x:v>
      </x:c>
      <x:c r="T241" s="63" t="str">
        <x:v>无</x:v>
      </x:c>
      <x:c r="U241" s="63" t="str">
        <x:v>多组比较归纳</x:v>
      </x:c>
      <x:c r="V241" s="63" t="str">
        <x:v>多层因果推理</x:v>
      </x:c>
    </x:row>
    <x:row r="242">
      <x:c r="A242" s="64" t="str">
        <x:v>​2484955630163218432</x:v>
      </x:c>
      <x:c r="B242" s="65" t="str">
        <x:v>中等题</x:v>
      </x:c>
      <x:c r="C242" s="65" t="str">
        <x:v>中等题</x:v>
      </x:c>
      <x:c r="D242" s="65" t="str">
        <x:v>中等题</x:v>
      </x:c>
      <x:c r="E242" s="65" t="str">
        <x:v>保留原GPT裁定</x:v>
      </x:c>
      <x:c r="F242" s="65" t="str">
        <x:v>高</x:v>
      </x:c>
      <x:c r="G242" s="65" t="str">
        <x:v>中等题</x:v>
      </x:c>
      <x:c r="H242" s="65" t="str">
        <x:v>中等题</x:v>
      </x:c>
      <x:c r="I242" s="65" t="str">
        <x:v>题干、解析与结构证据支持中等题：step=3-5步，题型=力学综合，状态=双状态，约束=单一约束，推理=多层因果推理。教师、盲评和多次模型证据中未形成足以推翻原裁定的同向结构证据。</x:v>
      </x:c>
      <x:c r="J242" s="65" t="str">
        <x:v>未进入三次错题并集；逐题结构一致性复核</x:v>
      </x:c>
      <x:c r="K242" s="63" t="str">
        <x:v>水平桌面上两个底面积相同的容器中，分别盛有甲、乙两种液体。将两个完全相同的小球M、N分别放入两个容器中，静止时两球状态如图所示，两容器内液面相平。下列分析正确的是（ ）</x:v>
      </x:c>
      <x:c r="L242" s="63" t="str">
        <x:v>A. 两小球所受浮力FM＜FN B. 两种液体的密度ρ甲＜ρ乙 C. 两种液体对容器底部的压强p甲=p乙 D. 两种液体对容器底部的压力F甲＞F乙</x:v>
      </x:c>
      <x:c r="M242" s="63" t="str">
        <x:v>解： A、小球 M 在甲液体中漂浮，则浮力FM=GM，小球 N 在乙液体中悬浮，则浮力FN=GN，由于小球M、N 完全相同，即GM=GN，则有FM=FN，故 A错误； B、小球 M 在甲液体中漂浮，则密度ρM＜ρ甲，小球 N 在乙液体中悬浮，则密度ρN=ρ乙，由于小球M、N 完全相同，即ρM=ρN，则有ρ甲＞ρ乙，故B错误； C、由B选项分析可知：ρ甲＞ρ乙，两容器液面相平即容器底部深度h相同，根据液体压强计算公式 p=ρgh 可知，p甲＞p乙，故C错误； D、由C选项分析得容器底部液体压强p甲＞p乙，两容器底面积相同，由压力计算公式 F=pS 得，容器底部受到液体压力F甲＞F乙，故D正确。 故选：D。</x:v>
      </x:c>
      <x:c r="N242" s="63" t="str">
        <x:v>https://k12static.xdf.cn/k12/image/externalized/1b5da3c4-d94f-4269-b276-2395bdf161e2.png</x:v>
      </x:c>
      <x:c r="O242" s="63" t="str">
        <x:v>https://k12static.xdf.cn/k12/image/externalized/f84bf0bb-bcec-4d5e-95e7-59c56b13033c.png</x:v>
      </x:c>
      <x:c r="P242" s="63" t="str">
        <x:v>3-5步</x:v>
      </x:c>
      <x:c r="Q242" s="63" t="str">
        <x:v>力学综合</x:v>
      </x:c>
      <x:c r="R242" s="63" t="str">
        <x:v>双状态</x:v>
      </x:c>
      <x:c r="S242" s="63" t="str">
        <x:v>单一约束</x:v>
      </x:c>
      <x:c r="T242" s="63" t="str">
        <x:v>无</x:v>
      </x:c>
      <x:c r="U242" s="63" t="str">
        <x:v>无</x:v>
      </x:c>
      <x:c r="V242" s="63" t="str">
        <x:v>多层因果推理</x:v>
      </x:c>
    </x:row>
    <x:row r="243">
      <x:c r="A243" s="64" t="str">
        <x:v>​2486348818208612352</x:v>
      </x:c>
      <x:c r="B243" s="65" t="str">
        <x:v>基础题</x:v>
      </x:c>
      <x:c r="C243" s="65" t="str">
        <x:v>基础题</x:v>
      </x:c>
      <x:c r="D243" s="65" t="str">
        <x:v>基础题</x:v>
      </x:c>
      <x:c r="E243" s="65" t="str">
        <x:v>保留原GPT裁定</x:v>
      </x:c>
      <x:c r="F243" s="65" t="str">
        <x:v>中</x:v>
      </x:c>
      <x:c r="G243" s="65" t="str">
        <x:v>中等题</x:v>
      </x:c>
      <x:c r="H243" s="65" t="str">
        <x:v>基础题</x:v>
      </x:c>
      <x:c r="I243" s="65" t="str">
        <x:v>题干、解析与结构证据支持基础题：step=1-2步，题型=概念判断，状态=单状态，约束=无约束，推理=简单因果推理。教师、盲评和多次模型证据中未形成足以推翻原裁定的同向结构证据。</x:v>
      </x:c>
      <x:c r="J243" s="65" t="str">
        <x:v>未进入三次错题并集；逐题结构一致性复核</x:v>
      </x:c>
      <x:c r="K243" s="63" t="str">
        <x:v>电冰箱是常用的家用电器，它工作时相关说法正确的是（ ）</x:v>
      </x:c>
      <x:c r="L243" s="63" t="str">
        <x:v>A. 使用三孔插座的目的是防止金属外壳带电 B. 电冰箱内的食物通过电流做功来改变内能 C. 打开电冰箱门，持续工作不能降低室温 D. 制冷剂在蒸发器内发生了汽化吸收热量</x:v>
      </x:c>
      <x:c r="M243" s="63" t="str">
        <x:v>解：A、三孔插座的正确接法是“左零右火上接地”，使用三孔插座的目的是防止金属外壳带电后导致人触电，故A错误； B、电冰箱内的食物通过热传递来改变内能，故B错误； C、打开电冰箱门，持续工作不能降低室温，因为电冰箱通过电流做功将冰箱内部的热量搬运到室内，会导致室内温度升高，故C正确； D、制冷剂在蒸发器内发生了汽化吸收热量，故D正确。 故选：CD。</x:v>
      </x:c>
      <x:c r="N243" s="63" t="str">
        <x:v>https://k12static.xdf.cn/k12/image/externalized/0a595e37-0133-4e6d-9b18-a8b71509d178.png</x:v>
      </x:c>
      <x:c r="O243" s="63" t="str">
        <x:v>https://k12static.xdf.cn/k12/image/externalized/e5d50aa8-7efa-43dc-874a-d8ed2e53d271.png</x:v>
      </x:c>
      <x:c r="P243" s="63" t="str">
        <x:v>1-2步</x:v>
      </x:c>
      <x:c r="Q243" s="63" t="str">
        <x:v>概念判断</x:v>
      </x:c>
      <x:c r="R243" s="63" t="str">
        <x:v>单状态</x:v>
      </x:c>
      <x:c r="S243" s="63" t="str">
        <x:v>无约束</x:v>
      </x:c>
      <x:c r="T243" s="63" t="str">
        <x:v>无</x:v>
      </x:c>
      <x:c r="U243" s="63" t="str">
        <x:v>无</x:v>
      </x:c>
      <x:c r="V243" s="63" t="str">
        <x:v>简单因果推理</x:v>
      </x:c>
    </x:row>
    <x:row r="244">
      <x:c r="A244" s="64" t="str">
        <x:v>​2487881186992771072</x:v>
      </x:c>
      <x:c r="B244" s="65" t="str">
        <x:v>中等题</x:v>
      </x:c>
      <x:c r="C244" s="65" t="str">
        <x:v>中等题</x:v>
      </x:c>
      <x:c r="D244" s="65" t="str">
        <x:v>中等题</x:v>
      </x:c>
      <x:c r="E244" s="65" t="str">
        <x:v>保留原GPT裁定</x:v>
      </x:c>
      <x:c r="F244" s="65" t="str">
        <x:v>高</x:v>
      </x:c>
      <x:c r="G244" s="65" t="str">
        <x:v>中等题</x:v>
      </x:c>
      <x:c r="H244" s="65" t="str">
        <x:v>中等题</x:v>
      </x:c>
      <x:c r="I244" s="65" t="str">
        <x:v>题干、解析与结构证据支持中等题：step=3-5步，题型=力学综合，状态=双状态，约束=单一约束，推理=多层因果推理。教师、盲评和多次模型证据中未形成足以推翻原裁定的同向结构证据。</x:v>
      </x:c>
      <x:c r="J244" s="65" t="str">
        <x:v>未进入三次错题并集；逐题结构一致性复核</x:v>
      </x:c>
      <x:c r="K244" s="63" t="str">
        <x:v>陈诚将完全相同的两个小球A、B分别放入盛有不同液体的容器甲、乙容器中，容器放在水平桌面上，小球静止时如图所示，此时两容器中液面相平，则（ ）</x:v>
      </x:c>
      <x:c r="L244" s="63" t="str">
        <x:v>A. A球所受浮力大 B. B球所受浮力大 C. 甲容器容器底所受液体压强大 D. 乙容器容器底所受液体压强大</x:v>
      </x:c>
      <x:c r="M244" s="63" t="str">
        <x:v>解：（1）∵A球漂浮，B球悬浮， ∴A、B小球受到的浮力： F甲=F乙=G，故A、B选项错。 （2）∵A球漂浮， ∴ρA＞ρ球， ∵B球悬浮， ∴ρB=ρ球， ∴两种液体的密度： ρA＞ρB； 又∵两容器液面等高，p=ρgh, ∴两种液体对容器底压强： p甲＞p乙，故C选项正确，D选项错。 故选：C。</x:v>
      </x:c>
      <x:c r="N244" s="63" t="str">
        <x:v>https://k12static.xdf.cn/k12/image/externalized/ce8f34ca-b3c8-4096-ae41-8f20dfedacbc.png</x:v>
      </x:c>
      <x:c r="O244" s="63" t="str">
        <x:v>https://k12static.xdf.cn/k12/image/externalized/659d9cc5-9798-47ff-bdb2-01cfa858a5c2.png</x:v>
      </x:c>
      <x:c r="P244" s="63" t="str">
        <x:v>3-5步</x:v>
      </x:c>
      <x:c r="Q244" s="63" t="str">
        <x:v>力学综合</x:v>
      </x:c>
      <x:c r="R244" s="63" t="str">
        <x:v>双状态</x:v>
      </x:c>
      <x:c r="S244" s="63" t="str">
        <x:v>单一约束</x:v>
      </x:c>
      <x:c r="T244" s="63" t="str">
        <x:v>无</x:v>
      </x:c>
      <x:c r="U244" s="63" t="str">
        <x:v>无</x:v>
      </x:c>
      <x:c r="V244" s="63" t="str">
        <x:v>多层因果推理</x:v>
      </x:c>
    </x:row>
    <x:row r="245">
      <x:c r="A245" s="64" t="str">
        <x:v>​2488000956399161344</x:v>
      </x:c>
      <x:c r="B245" s="65" t="str">
        <x:v>中等题</x:v>
      </x:c>
      <x:c r="C245" s="65" t="str">
        <x:v>中等题</x:v>
      </x:c>
      <x:c r="D245" s="65" t="str">
        <x:v>中等题</x:v>
      </x:c>
      <x:c r="E245" s="65" t="str">
        <x:v>保留原GPT裁定</x:v>
      </x:c>
      <x:c r="F245" s="65" t="str">
        <x:v>高</x:v>
      </x:c>
      <x:c r="G245" s="65" t="str">
        <x:v>中等题</x:v>
      </x:c>
      <x:c r="H245" s="65" t="str">
        <x:v>中等题</x:v>
      </x:c>
      <x:c r="I245" s="65" t="str">
        <x:v>题干、解析与结构证据支持中等题：step=3-5步，题型=概念判断，状态=双状态，约束=单一约束，推理=多层因果推理。教师、盲评和多次模型证据中未形成足以推翻原裁定的同向结构证据。</x:v>
      </x:c>
      <x:c r="J245" s="65" t="str">
        <x:v>未进入三次错题并集；逐题结构一致性复核</x:v>
      </x:c>
      <x:c r="K245" s="63" t="str">
        <x:v>如图所示，将一个由某种材料制成的空心球放入甲液体中时，小球漂浮：当把它放入乙液体中时，小球悬浮。则下列判断不正确的是（ ）</x:v>
      </x:c>
      <x:c r="L245" s="63" t="str">
        <x:v>A. 球在甲、乙两种液体中受到的浮力相等 B. 甲液体的密度大于乙液体的密度 C. 该材料的密度一定大于乙液体的密度 D. 该材料的密度一定小于甲液体的密度</x:v>
      </x:c>
      <x:c r="M245" s="63" t="str">
        <x:v>解：A、因为物体在甲中漂浮、乙中悬浮，所以浮力都等于自身的重力，即物体在甲、乙两烧杯中受到的浮力相等，故A正确； B、根据F浮=ρ液gv排可知，在浮力相同时，乙杯中的v排大，所以乙液体的密度小，故B正确； C、球在乙中悬浮，说明球的密度与液体乙的密度相等；则该材料的密度一定大于乙液体的密度；故C正确； D、球在甲中漂浮，说明球的密度小于甲液体的密度，则材料的密度可能小于、等于或大于甲液体的密度；故D错误； 故选：D。</x:v>
      </x:c>
      <x:c r="N245" s="63" t="str">
        <x:v>https://k12static.xdf.cn/k12/image/externalized/1a1f265d-6c66-4091-a770-8facfe886d21.png</x:v>
      </x:c>
      <x:c r="O245" s="63" t="str">
        <x:v>https://k12static.xdf.cn/k12/image/externalized/204bddab-7783-47e7-b703-d57688732948.png</x:v>
      </x:c>
      <x:c r="P245" s="63" t="str">
        <x:v>3-5步</x:v>
      </x:c>
      <x:c r="Q245" s="63" t="str">
        <x:v>概念判断</x:v>
      </x:c>
      <x:c r="R245" s="63" t="str">
        <x:v>双状态</x:v>
      </x:c>
      <x:c r="S245" s="63" t="str">
        <x:v>单一约束</x:v>
      </x:c>
      <x:c r="T245" s="63" t="str">
        <x:v>无</x:v>
      </x:c>
      <x:c r="U245" s="63" t="str">
        <x:v>无</x:v>
      </x:c>
      <x:c r="V245" s="63" t="str">
        <x:v>多层因果推理</x:v>
      </x:c>
    </x:row>
    <x:row r="246">
      <x:c r="A246" s="64" t="str">
        <x:v>​2490531852398977024</x:v>
      </x:c>
      <x:c r="B246" s="65" t="str">
        <x:v>基础题</x:v>
      </x:c>
      <x:c r="C246" s="65" t="str">
        <x:v>基础题</x:v>
      </x:c>
      <x:c r="D246" s="65" t="str">
        <x:v>基础题</x:v>
      </x:c>
      <x:c r="E246" s="65" t="str">
        <x:v>保留原GPT裁定</x:v>
      </x:c>
      <x:c r="F246" s="65" t="str">
        <x:v>高</x:v>
      </x:c>
      <x:c r="G246" s="65" t="str">
        <x:v>基础题</x:v>
      </x:c>
      <x:c r="H246" s="65" t="str">
        <x:v>基础题</x:v>
      </x:c>
      <x:c r="I246" s="65" t="str">
        <x:v>题干、解析与结构证据支持基础题：step=1-2步，题型=概念判断，状态=单状态，约束=无约束，推理=简单因果推理。教师、盲评和多次模型证据中未形成足以推翻原裁定的同向结构证据。</x:v>
      </x:c>
      <x:c r="J246" s="65" t="str">
        <x:v>未进入三次错题并集；逐题结构一致性复核</x:v>
      </x:c>
      <x:c r="K246" s="63" t="str">
        <x:v>关于如图所示的温度计，说法正确的是（ ）</x:v>
      </x:c>
      <x:c r="L246" s="63" t="str">
        <x:v>A. 使用前要用力向下甩 B. 该温度计的量程是20-100℃ C. 在使用它测量液体温度时，可以离开被测液体读数 D. 在玻璃泡上涂上与室温相同的酒精，它的示数将会下降</x:v>
      </x:c>
      <x:c r="M246" s="63" t="str">
        <x:v>A、使用前不需要用力向下甩，故A错误； B、观察图示中的温度计知：该温度计的量程是-20℃～110℃，故B错误； C、使用温度计测量液体的温度，读数时玻璃泡要继续留在被测液体中，故C错误； D、在玻璃泡上涂上与室温相同的酒精，酒精蒸发吸收热量，它的示数将会下降，故D正确。 故选：D。</x:v>
      </x:c>
      <x:c r="N246" s="63" t="str">
        <x:v>https://k12static.xdf.cn/k12/image/externalized/a6978e9d-f00b-4c71-bf3e-d030dc35a8ee.png</x:v>
      </x:c>
      <x:c r="O246" s="63" t="str">
        <x:v>https://k12static.xdf.cn/k12/image/externalized/72c43261-ae9f-42d8-991a-67969670fa05.png</x:v>
      </x:c>
      <x:c r="P246" s="63" t="str">
        <x:v>1-2步</x:v>
      </x:c>
      <x:c r="Q246" s="63" t="str">
        <x:v>概念判断</x:v>
      </x:c>
      <x:c r="R246" s="63" t="str">
        <x:v>单状态</x:v>
      </x:c>
      <x:c r="S246" s="63" t="str">
        <x:v>无约束</x:v>
      </x:c>
      <x:c r="T246" s="63" t="str">
        <x:v>无</x:v>
      </x:c>
      <x:c r="U246" s="63" t="str">
        <x:v>无</x:v>
      </x:c>
      <x:c r="V246" s="63" t="str">
        <x:v>简单因果推理</x:v>
      </x:c>
    </x:row>
    <x:row r="247">
      <x:c r="A247" s="64" t="str">
        <x:v>​2490546183295553536</x:v>
      </x:c>
      <x:c r="B247" s="65" t="str">
        <x:v>基础题</x:v>
      </x:c>
      <x:c r="C247" s="65" t="str">
        <x:v>基础题</x:v>
      </x:c>
      <x:c r="D247" s="65" t="str">
        <x:v>基础题</x:v>
      </x:c>
      <x:c r="E247" s="65" t="str">
        <x:v>逐题复核后保留GPT裁定</x:v>
      </x:c>
      <x:c r="F247" s="65" t="str">
        <x:v>高</x:v>
      </x:c>
      <x:c r="G247" s="65" t="str">
        <x:v>中等题</x:v>
      </x:c>
      <x:c r="H247" s="65" t="str">
        <x:v>基础题</x:v>
      </x:c>
      <x:c r="I247" s="65" t="str">
        <x:v>最高难任务为1—2步显性应用、规范操作或简单因果，没有连续模型转换。 题目证据：最长连续链每个选项仅1个有效决策，五维锚定知识量为同模块2-3个关联知识点，过程/对象为单静态情境，无运算需求，情境为常见生活装置不增理解负担，思维层次为简单应用。任务为辨析四个选项对蒸发制冷影响因素和装置原理的描述，没有连续多步推理要求。</x:v>
      </x:c>
      <x:c r="J247" s="65" t="str">
        <x:v>三次运行错题并集逐题复核</x:v>
      </x:c>
      <x:c r="K247" s="63" t="str">
        <x:v>盛一盆水，在盆里放两块高出水面的砖，砖上搁一只比盆小点的篮子。篮子里装上熟食，再把一个纱布袋罩在篮子上，并使袋口的边缘浸入水里（如图），就做成了一个简易冰箱。针对这个装置，下列说法中不正确的是（ ）</x:v>
      </x:c>
      <x:c r="L247" s="63" t="str">
        <x:v>A. 简易冰箱能制冷是因为水蒸发吸热 B. 简易冰箱与电冰箱的工作原理一样，在工作时都有汽化和液化现象 C. 将该装置放在通风的地方，制冷效果更好 D. 篮子上罩着纱布袋是为了增大蒸发面积</x:v>
      </x:c>
      <x:c r="M247" s="63" t="str">
        <x:v>解：A、简易冰箱能制冷是因为水蒸发吸热，故A正确； B、简易冰箱的工作原理与冰箱的工作原理相同都是利用了汽化吸热的原理，但简易冰箱没用到液化放热，故B错误； C、加快液体表面的空气的流动速度，可以加快蒸发，故将该装置放在通风的地方，制冷效果更好，故C正确； D、加大表面积可以加快蒸发，因此篮子上罩着纱布袋是为了增大蒸发面积，加快蒸发，故D正确。 故选：B。</x:v>
      </x:c>
      <x:c r="N247" s="63" t="str">
        <x:v>https://k12static.xdf.cn/k12/image/externalized/446067ac-c4ce-4cef-8fb2-6d4252b3043f.png</x:v>
      </x:c>
      <x:c r="O247" s="63" t="str">
        <x:v>https://k12static.xdf.cn/k12/image/externalized/37e9edb1-cd8f-41b1-849c-e271ce45c195.png</x:v>
      </x:c>
      <x:c r="P247" s="63" t="str">
        <x:v>1-2步</x:v>
      </x:c>
      <x:c r="Q247" s="63" t="str">
        <x:v>概念判断</x:v>
      </x:c>
      <x:c r="R247" s="63" t="str">
        <x:v>单状态</x:v>
      </x:c>
      <x:c r="S247" s="63" t="str">
        <x:v>无约束</x:v>
      </x:c>
      <x:c r="T247" s="63" t="str">
        <x:v>无</x:v>
      </x:c>
      <x:c r="U247" s="63" t="str">
        <x:v>无</x:v>
      </x:c>
      <x:c r="V247" s="63" t="str">
        <x:v>简单因果推理</x:v>
      </x:c>
    </x:row>
    <x:row r="248">
      <x:c r="A248" s="64" t="str">
        <x:v>​2492586339569586176</x:v>
      </x:c>
      <x:c r="B248" s="65" t="str">
        <x:v>中等题</x:v>
      </x:c>
      <x:c r="C248" s="65" t="str">
        <x:v>中等题</x:v>
      </x:c>
      <x:c r="D248" s="65" t="str">
        <x:v>中等题</x:v>
      </x:c>
      <x:c r="E248" s="65" t="str">
        <x:v>保留原GPT裁定</x:v>
      </x:c>
      <x:c r="F248" s="65" t="str">
        <x:v>高</x:v>
      </x:c>
      <x:c r="G248" s="65" t="str">
        <x:v>中等题</x:v>
      </x:c>
      <x:c r="H248" s="65" t="str">
        <x:v>拔高题</x:v>
      </x:c>
      <x:c r="I248" s="65" t="str">
        <x:v>题干、解析与结构证据支持中等题：step=3-5步，题型=力学综合，状态=单状态，约束=单一约束，推理=多层因果推理。教师、盲评和多次模型证据中未形成足以推翻原裁定的同向结构证据。</x:v>
      </x:c>
      <x:c r="J248" s="65" t="str">
        <x:v>未进入三次错题并集；逐题结构一致性复核</x:v>
      </x:c>
      <x:c r="K248" s="63" t="str">
        <x:v>如图甲所示，虚线框内是由两个相同的滑轮安装成的滑轮组。利用该滑轮组提升质量为$27kg$的物体所用的拉力为$100N$．物体和绳子自由端的运动情况如图乙所示。不计绳重和摩擦，则$(\qquad)$</x:v>
      </x:c>
      <x:c r="L248" s="63" t="str">
        <x:v>A. 拉力的功率为$50W$ B. 滑轮组中动滑轮重$10N$ C. 该滑轮组的机械效率为$90\%$ D. 绳子自由端移动的速度为$0.5m/s$</x:v>
      </x:c>
      <x:c r="M248" s="63" t="str">
        <x:v>B、由图乙可知，物体上升高度$h=2m$时，绳子自由端移动距离$s=6m$， 由此可知，绳子的段数$n=\dfrac{s}{h}=\dfrac{6m}{2m}=3$， 物体重力：$G=mg=27kg\times 10N/kg=270N$， 不计绳重和摩擦，由$F=\dfrac{1}{n}\left( G+{{G}_{动}} \right)$可得，滑轮组中动滑轮重：${{G}_{动}}=nF-G=3\times 100N-270N=30N$，故 B 错误； AD、由图可知，${{v}_{绳}}=\dfrac{s}{t}=\dfrac{6m}{4s}=1.5m/s$； 拉力的功率：$P=\dfrac{{{W}_{总}}}{t}=\dfrac{Fs}{t}=Fv=100N\times 1.5m/s=150W$，故 AD 错误； C、不计绳重和摩擦，该滑轮组的机械效率： $\eta =\dfrac{{{W}_{有用}}}{{{W}_{总}}}\times 100\%=\dfrac{Gh}{Fs}\times 100\%=\dfrac{G}{3F}\times 100\%=\dfrac{270N}{3\times 100N}\times 100\%=90\%$，故 C 正确。 故选：C。</x:v>
      </x:c>
      <x:c r="N248" s="63" t="str">
        <x:v>https://k12static.xdf.cn/k12/image/externalized/dfd1b31e-7653-44e9-8158-8bf67aca1212.png</x:v>
      </x:c>
      <x:c r="O248" s="63" t="str">
        <x:v>https://k12static.xdf.cn/k12/image/externalized/15bb9649-5bb9-427a-8e5d-f78ebf3d4187.png</x:v>
      </x:c>
      <x:c r="P248" s="63" t="str">
        <x:v>3-5步</x:v>
      </x:c>
      <x:c r="Q248" s="63" t="str">
        <x:v>力学综合</x:v>
      </x:c>
      <x:c r="R248" s="63" t="str">
        <x:v>单状态</x:v>
      </x:c>
      <x:c r="S248" s="63" t="str">
        <x:v>单一约束</x:v>
      </x:c>
      <x:c r="T248" s="63" t="str">
        <x:v>无</x:v>
      </x:c>
      <x:c r="U248" s="63" t="str">
        <x:v>直接读数</x:v>
      </x:c>
      <x:c r="V248" s="63" t="str">
        <x:v>多层因果推理</x:v>
      </x:c>
    </x:row>
    <x:row r="249">
      <x:c r="A249" s="64" t="str">
        <x:v>​2494933301115256832</x:v>
      </x:c>
      <x:c r="B249" s="65" t="str">
        <x:v>中等题</x:v>
      </x:c>
      <x:c r="C249" s="65" t="str">
        <x:v>中等题</x:v>
      </x:c>
      <x:c r="D249" s="65" t="str">
        <x:v>中等题</x:v>
      </x:c>
      <x:c r="E249" s="65" t="str">
        <x:v>逐题复核后保留GPT裁定</x:v>
      </x:c>
      <x:c r="F249" s="65" t="str">
        <x:v>高</x:v>
      </x:c>
      <x:c r="G249" s="65" t="str">
        <x:v>中等题</x:v>
      </x:c>
      <x:c r="H249" s="65" t="str">
        <x:v>中等题</x:v>
      </x:c>
      <x:c r="I249" s="65" t="str">
        <x:v>存在约3—4步常规连续分析、共享过程或完整标准实验任务，关系仍显性。 题目证据：最长连续链实际有效物理决策为2步，五维锚定落在基础到中等区间：知识量为浮沉条件和重力大小关系两个关联知识点，过程为漂浮和沉底两个状态，无复杂数学工具，情境为常规生活物理情境，思维层次为简单应用推理。任务为对两个状态的浮力与重力关系进行常规比较。</x:v>
      </x:c>
      <x:c r="J249" s="65" t="str">
        <x:v>三次运行错题并集逐题复核</x:v>
      </x:c>
      <x:c r="K249" s="63" t="str">
        <x:v>如图所示，水平桌面上有两个完全相同的杯子，盛有等质量的水。将橘子放入甲杯中静止后，所受浮力为Fn1，取出后剥皮再放入乙杯中静止后，所受浮力为Fn2。下列分析正确的是（ ）</x:v>
      </x:c>
      <x:c r="L249" s="63" t="str">
        <x:v>A. Fn1=Fn2 B. Fn1＞Fn2 C. Fn1＜Fn2 D. 无法确定</x:v>
      </x:c>
      <x:c r="M249" s="63" t="str">
        <x:v>解：由甲图可知，橘子处于漂浮状态，受力平衡，根据浮沉条件可知，橘子受浮力：Fn1=G1； 因将甲图中的橘子取出后剥皮再放入乙杯中，乙杯中的橘子重力变小，即：G2＜G1； 由于乙杯中橘子沉底，所受浮力：Fn2＜G2；所以，Fn1＞Fn2。 故选：B。</x:v>
      </x:c>
      <x:c r="N249" s="63" t="str">
        <x:v>https://k12static.xdf.cn/k12/image/externalized/a32f1b1f-b556-4250-bdd3-50ae214d6a4f.png</x:v>
      </x:c>
      <x:c r="O249" s="63" t="str">
        <x:v>https://k12static.xdf.cn/k12/image/externalized/7b0746c8-54e5-47a9-86d7-5ce8e0071287.png</x:v>
      </x:c>
      <x:c r="P249" s="63" t="str">
        <x:v>3-5步</x:v>
      </x:c>
      <x:c r="Q249" s="63" t="str">
        <x:v>概念判断</x:v>
      </x:c>
      <x:c r="R249" s="63" t="str">
        <x:v>双状态</x:v>
      </x:c>
      <x:c r="S249" s="63" t="str">
        <x:v>无约束</x:v>
      </x:c>
      <x:c r="T249" s="63" t="str">
        <x:v>无</x:v>
      </x:c>
      <x:c r="U249" s="63" t="str">
        <x:v>无</x:v>
      </x:c>
      <x:c r="V249" s="63" t="str">
        <x:v>多层因果推理</x:v>
      </x:c>
    </x:row>
    <x:row r="250">
      <x:c r="A250" s="64" t="str">
        <x:v>​2496344549877612544</x:v>
      </x:c>
      <x:c r="B250" s="65" t="str">
        <x:v>中等题</x:v>
      </x:c>
      <x:c r="C250" s="65" t="str">
        <x:v>中等题</x:v>
      </x:c>
      <x:c r="D250" s="65" t="str">
        <x:v>中等题</x:v>
      </x:c>
      <x:c r="E250" s="65" t="str">
        <x:v>保留原GPT裁定</x:v>
      </x:c>
      <x:c r="F250" s="65" t="str">
        <x:v>高</x:v>
      </x:c>
      <x:c r="G250" s="65" t="str">
        <x:v>基础题</x:v>
      </x:c>
      <x:c r="H250" s="65" t="str">
        <x:v>中等题</x:v>
      </x:c>
      <x:c r="I250" s="65" t="str">
        <x:v>题干、解析与结构证据支持中等题：step=3-5步，题型=概念判断，状态=单状态，约束=单一约束，推理=多层因果推理。教师、盲评和多次模型证据中未形成足以推翻原裁定的同向结构证据。</x:v>
      </x:c>
      <x:c r="J250" s="65" t="str">
        <x:v>未进入三次错题并集；逐题结构一致性复核</x:v>
      </x:c>
      <x:c r="K250" s="63" t="str">
        <x:v>已知声音在铁、水和空气中的传播速度分别为5200米/秒、1560米/秒、340米/秒，人耳能分辨前后两次声音的时间间隔大于0.1秒。有一段长18米的铁管装满水。将你的耳朵贴在装满水的铁管一端，请人在另一端敲击一下，你能听到的敲击声的次数是（ ）</x:v>
      </x:c>
      <x:c r="L250" s="63" t="str">
        <x:v>A. 1次 B. 2次 C. 3次 D. 4次</x:v>
      </x:c>
      <x:c r="M250" s="63" t="str">
        <x:v>解：声音在铁、水、空气中传播18m所用的时间分别为： t1=$\frac{s}{{v}_{1}}$=$\frac{18m}{5200m/s}$≈0.003s； t2=$\frac{s}{{v}_{2}}$=$\frac{18m}{1500m/s}$≈0.012s； t3=$\frac{s}{{v}_{3}}$=$\frac{18m}{340m/s}$≈0.053s； 由三次时间比较可以看出，相差不到0.1s,所以人耳是分辨不出来的，只能听到混在一起的一次声音。 故选：A。</x:v>
      </x:c>
      <x:c r="N250" s="63" t="str">
        <x:v>https://k12static.xdf.cn/k12/image/externalized/bfefb88e-4634-4eb7-a56c-9abfee1ed0b7.png</x:v>
      </x:c>
      <x:c r="O250" s="63" t="str">
        <x:v>https://k12static.xdf.cn/k12/image/externalized/2ef0e148-faab-4ae2-bfae-384537eaba9d.png</x:v>
      </x:c>
      <x:c r="P250" s="63" t="str">
        <x:v>3-5步</x:v>
      </x:c>
      <x:c r="Q250" s="63" t="str">
        <x:v>概念判断</x:v>
      </x:c>
      <x:c r="R250" s="63" t="str">
        <x:v>单状态</x:v>
      </x:c>
      <x:c r="S250" s="63" t="str">
        <x:v>单一约束</x:v>
      </x:c>
      <x:c r="T250" s="63" t="str">
        <x:v>无</x:v>
      </x:c>
      <x:c r="U250" s="63" t="str">
        <x:v>无</x:v>
      </x:c>
      <x:c r="V250" s="63" t="str">
        <x:v>多层因果推理</x:v>
      </x:c>
    </x:row>
    <x:row r="251">
      <x:c r="A251" s="64" t="str">
        <x:v>​2496372112958517248</x:v>
      </x:c>
      <x:c r="B251" s="65" t="str">
        <x:v>基础题</x:v>
      </x:c>
      <x:c r="C251" s="65" t="str">
        <x:v>基础题</x:v>
      </x:c>
      <x:c r="D251" s="65" t="str">
        <x:v>基础题</x:v>
      </x:c>
      <x:c r="E251" s="65" t="str">
        <x:v>保留原GPT裁定</x:v>
      </x:c>
      <x:c r="F251" s="65" t="str">
        <x:v>高</x:v>
      </x:c>
      <x:c r="G251" s="65" t="str">
        <x:v>中等题</x:v>
      </x:c>
      <x:c r="H251" s="65" t="str">
        <x:v>基础题</x:v>
      </x:c>
      <x:c r="I251" s="65" t="str">
        <x:v>题干、解析与结构证据支持基础题：step=1-2步，题型=力学综合，状态=单状态，约束=无约束，推理=简单因果推理。教师、盲评和多次模型证据中未形成足以推翻原裁定的同向结构证据。</x:v>
      </x:c>
      <x:c r="J251" s="65" t="str">
        <x:v>未进入三次错题并集；逐题结构一致性复核</x:v>
      </x:c>
      <x:c r="K251" s="63" t="str">
        <x:v>小明在今年的学校运动会百米赛跑中取得了12.5s的好成绩。请你完成下列计算： （1）求小明的平均速度。 （2）如果终点计时员听到发令枪声才计时，则小明百米赛跑的实际成绩是多少秒？（声音在空气中的传播速度为340m/s,保留1位小数）</x:v>
      </x:c>
      <x:c r="L251" s="63" t="str"/>
      <x:c r="M251" s="63" t="str">
        <x:v>解：（1）小明的平均速度为$v=\frac{s}{t}=\frac{100m}{12.5s}=8m/s$； （2）声音在空气中的传播时间为：$t'=\frac{s}{v'}=\frac{100m}{340m/s}≈0.29s$； 如果终点计时员听到发令枪声才计时，即运动员跑了0.29s才开始计时，测得的时间偏小， 所以小明百米赛跑的实际成绩为t1=t+t′=12.5s+0.29s=12.79s。 答：（1）小明的平均速度是8m/s。 （2）如果终点计时员听到发令枪声才计时，则小明百米赛跑的实际成绩是12.79s。</x:v>
      </x:c>
      <x:c r="N251" s="63" t="str">
        <x:v>https://k12static.xdf.cn/k12/image/externalized/27032d0d-78ee-4753-96f6-684693d9ea5f.png</x:v>
      </x:c>
      <x:c r="O251" s="63" t="str">
        <x:v>https://k12static.xdf.cn/k12/image/externalized/d9bdb164-3c9d-456d-8bdb-8f9a682ac753.png</x:v>
      </x:c>
      <x:c r="P251" s="63" t="str">
        <x:v>1-2步</x:v>
      </x:c>
      <x:c r="Q251" s="63" t="str">
        <x:v>力学综合</x:v>
      </x:c>
      <x:c r="R251" s="63" t="str">
        <x:v>单状态</x:v>
      </x:c>
      <x:c r="S251" s="63" t="str">
        <x:v>无约束</x:v>
      </x:c>
      <x:c r="T251" s="63" t="str">
        <x:v>无</x:v>
      </x:c>
      <x:c r="U251" s="63" t="str">
        <x:v>无</x:v>
      </x:c>
      <x:c r="V251" s="63" t="str">
        <x:v>简单因果推理</x:v>
      </x:c>
    </x:row>
    <x:row r="252">
      <x:c r="A252" s="64" t="str">
        <x:v>​2496531855928492032</x:v>
      </x:c>
      <x:c r="B252" s="65" t="str">
        <x:v>中等题</x:v>
      </x:c>
      <x:c r="C252" s="65" t="str">
        <x:v>中等题</x:v>
      </x:c>
      <x:c r="D252" s="65" t="str">
        <x:v>中等题</x:v>
      </x:c>
      <x:c r="E252" s="65" t="str">
        <x:v>逐题复核后保留GPT裁定</x:v>
      </x:c>
      <x:c r="F252" s="65" t="str">
        <x:v>高</x:v>
      </x:c>
      <x:c r="G252" s="65" t="str">
        <x:v>中等题</x:v>
      </x:c>
      <x:c r="H252" s="65" t="str">
        <x:v>中等题</x:v>
      </x:c>
      <x:c r="I252" s="65" t="str">
        <x:v>需要围绕光路、成像条件与几何关系完成常规的3—4个有效决策，或完成一套完整标准实验/共享过程分析。关系仍显性、方法常规，没有决定性隐含转换、复杂边界筛选或多状态强耦合。</x:v>
      </x:c>
      <x:c r="J252" s="65" t="str">
        <x:v>三次运行错题并集逐题复核</x:v>
      </x:c>
      <x:c r="K252" s="63" t="str">
        <x:v>将凸透镜正对太阳光，其下方的纸上呈现一个并非最小的光斑，这时光斑到凸透镜的距离为L，若凸透镜远离纸的过程中光斑一直变大，则该凸透镜的焦距（ ）</x:v>
      </x:c>
      <x:c r="L252" s="63" t="str">
        <x:v>A. 一定小于L B. 一定等于L C. 一定大于L D. 可能小于L，也可能大于L</x:v>
      </x:c>
      <x:c r="M252" s="63" t="str">
        <x:v>解：由于光斑到凸透镜的距离为L时，即像距为l时，纸上呈现一个并非最小的光斑，这个光斑可能是焦点之后的，也可能是焦点之前的光斑，所以凸透镜的焦距f≠l；若凸透镜远离纸的过程中光斑一直变大，说明凸透镜的焦点不在光斑之后，故焦点应在光斑之前，因此f一定小于l。故BCD错误，故A正确。 故选：A。</x:v>
      </x:c>
      <x:c r="N252" s="63" t="str">
        <x:v>https://k12static.xdf.cn/k12/image/externalized/b96b2b64-160c-42ea-9657-1a70ae632b74.png</x:v>
      </x:c>
      <x:c r="O252" s="63" t="str">
        <x:v>https://k12static.xdf.cn/k12/image/externalized/36434063-b182-4638-bdf5-fd5d59701109.png</x:v>
      </x:c>
      <x:c r="P252" s="63" t="str">
        <x:v>3-5步</x:v>
      </x:c>
      <x:c r="Q252" s="63" t="str">
        <x:v>概念判断</x:v>
      </x:c>
      <x:c r="R252" s="63" t="str">
        <x:v>双状态</x:v>
      </x:c>
      <x:c r="S252" s="63" t="str">
        <x:v>单一约束</x:v>
      </x:c>
      <x:c r="T252" s="63" t="str">
        <x:v>无</x:v>
      </x:c>
      <x:c r="U252" s="63" t="str">
        <x:v>无</x:v>
      </x:c>
      <x:c r="V252" s="63" t="str">
        <x:v>逆向推理或临界分析</x:v>
      </x:c>
    </x:row>
    <x:row r="253">
      <x:c r="A253" s="64" t="str">
        <x:v>​2497960119593648128</x:v>
      </x:c>
      <x:c r="B253" s="65" t="str">
        <x:v>中等题</x:v>
      </x:c>
      <x:c r="C253" s="65" t="str">
        <x:v>中等题</x:v>
      </x:c>
      <x:c r="D253" s="65" t="str">
        <x:v>中等题</x:v>
      </x:c>
      <x:c r="E253" s="65" t="str">
        <x:v>保留原GPT裁定</x:v>
      </x:c>
      <x:c r="F253" s="65" t="str">
        <x:v>高</x:v>
      </x:c>
      <x:c r="G253" s="65" t="str">
        <x:v>中等题</x:v>
      </x:c>
      <x:c r="H253" s="65" t="str">
        <x:v>拔高题</x:v>
      </x:c>
      <x:c r="I253" s="65" t="str">
        <x:v>题干、解析与结构证据支持中等题：step=3-5步，题型=概念判断，状态=多状态，约束=单一约束，推理=多层因果推理。教师、盲评和多次模型证据中未形成足以推翻原裁定的同向结构证据。</x:v>
      </x:c>
      <x:c r="J253" s="65" t="str">
        <x:v>未进入三次错题并集；逐题结构一致性复核</x:v>
      </x:c>
      <x:c r="K253" s="63" t="str">
        <x:v>如图是一条刚装好的家庭电路，在未装保险丝之前，先把灯泡L0接在装保险丝的两个接线柱上，当只闭合S1时，L0和L1发光都偏暗；当只闭合S2时，L0正常发光；当只闭合S3时，L0不发光；则下列判断正确的是（四只灯泡的额定电压均为220V）（ ）</x:v>
      </x:c>
      <x:c r="L253" s="63" t="str">
        <x:v>A. 灯泡L1所在支路正常 B. 灯泡L2所在支路短路 C. 灯泡L3所在支路断路 D. 装好保险丝，合上所有开关后，灯泡都能正常发光</x:v>
      </x:c>
      <x:c r="M253" s="63" t="str">
        <x:v>解： A．当只闭合S1时，L0和L1串联在电路中，而L0和L1都偏暗，此时两灯分压，说明两灯的实际电压低于其额定电压，两灯均完好，所以是L1所在支路正常，故A正确； B．当只闭合S2时，L0和L2串联在电路中，L0正常发光，说明L0两端的电压为220V，L2两端的电压为0，所以是L2所在支路存在短路，故B正确； C．当只闭合S3时，L0和L3串联在电路中，L0不发光，而L0完好，说明电路存在断路，所以是L3所在支路断路，故C正确； D．据上面的解答可知，由于L2所在支路存在短路，装好保险丝，合上所有开关后，保险丝将熔断，灯泡不能工作，故D错误。 故选：ABC。</x:v>
      </x:c>
      <x:c r="N253" s="63" t="str">
        <x:v>https://k12static.xdf.cn/k12/image/externalized/4c847acd-4b5d-4117-a09b-4ba7d1bf78f2.png</x:v>
      </x:c>
      <x:c r="O253" s="63" t="str">
        <x:v>https://k12static.xdf.cn/k12/image/externalized/2a06dbfe-b190-419e-a495-2fd3b6de5ad9.png</x:v>
      </x:c>
      <x:c r="P253" s="63" t="str">
        <x:v>3-5步</x:v>
      </x:c>
      <x:c r="Q253" s="63" t="str">
        <x:v>概念判断</x:v>
      </x:c>
      <x:c r="R253" s="63" t="str">
        <x:v>多状态</x:v>
      </x:c>
      <x:c r="S253" s="63" t="str">
        <x:v>单一约束</x:v>
      </x:c>
      <x:c r="T253" s="63" t="str">
        <x:v>无</x:v>
      </x:c>
      <x:c r="U253" s="63" t="str">
        <x:v>无</x:v>
      </x:c>
      <x:c r="V253" s="63" t="str">
        <x:v>多层因果推理</x:v>
      </x:c>
    </x:row>
    <x:row r="254">
      <x:c r="A254" s="64" t="str">
        <x:v>​2505127799622778880</x:v>
      </x:c>
      <x:c r="B254" s="65" t="str">
        <x:v>中等题</x:v>
      </x:c>
      <x:c r="C254" s="65" t="str">
        <x:v>中等题</x:v>
      </x:c>
      <x:c r="D254" s="65" t="str">
        <x:v>中等题</x:v>
      </x:c>
      <x:c r="E254" s="65" t="str">
        <x:v>保留原GPT裁定</x:v>
      </x:c>
      <x:c r="F254" s="65" t="str">
        <x:v>高</x:v>
      </x:c>
      <x:c r="G254" s="65" t="str">
        <x:v>基础题</x:v>
      </x:c>
      <x:c r="H254" s="65" t="str">
        <x:v>中等题</x:v>
      </x:c>
      <x:c r="I254" s="65" t="str">
        <x:v>题干、解析与结构证据支持中等题：step=3-5步，题型=力学综合，状态=单状态，约束=单一约束，推理=多层因果推理。教师、盲评和多次模型证据中未形成足以推翻原裁定的同向结构证据。</x:v>
      </x:c>
      <x:c r="J254" s="65" t="str">
        <x:v>未进入三次错题并集；逐题结构一致性复核</x:v>
      </x:c>
      <x:c r="K254" s="63" t="str">
        <x:v>如图所示为等刻度轻质杠杆，A处挂2牛的物体，若使杠杆在水平位置平衡，则在B处施加的力（ ）</x:v>
      </x:c>
      <x:c r="L254" s="63" t="str">
        <x:v>A. 可能为0.5牛 B. 一定为1牛 C. 一定为4牛 D. 可能为2牛</x:v>
      </x:c>
      <x:c r="M254" s="63" t="str">
        <x:v>解：根据杠杆平衡的条件可知：F1L1=F2L2，求出在B处施加最小的力为：F1=$\frac{2}{4}$×2N=1N；由题意可知，只有杠杆自重等不计，力的方向与杠杆垂直时，力的大小才是1N，但如果力的方向与杠杆不垂直，力臂变小，力增大，则力将会大于1N，即有可能是2N。 故选：D。</x:v>
      </x:c>
      <x:c r="N254" s="63" t="str">
        <x:v>https://k12static.xdf.cn/k12/image/externalized/d6ad7fda-309a-4f03-a4a8-2688c7b9ec2b.png</x:v>
      </x:c>
      <x:c r="O254" s="63" t="str">
        <x:v>https://k12static.xdf.cn/k12/image/externalized/77a3afa1-e182-42b0-944f-13d2ebd98526.png</x:v>
      </x:c>
      <x:c r="P254" s="63" t="str">
        <x:v>3-5步</x:v>
      </x:c>
      <x:c r="Q254" s="63" t="str">
        <x:v>力学综合</x:v>
      </x:c>
      <x:c r="R254" s="63" t="str">
        <x:v>单状态</x:v>
      </x:c>
      <x:c r="S254" s="63" t="str">
        <x:v>单一约束</x:v>
      </x:c>
      <x:c r="T254" s="63" t="str">
        <x:v>无</x:v>
      </x:c>
      <x:c r="U254" s="63" t="str">
        <x:v>无</x:v>
      </x:c>
      <x:c r="V254" s="63" t="str">
        <x:v>多层因果推理</x:v>
      </x:c>
    </x:row>
    <x:row r="255">
      <x:c r="A255" s="64" t="str">
        <x:v>​2506183277131907072</x:v>
      </x:c>
      <x:c r="B255" s="65" t="str">
        <x:v>基础题</x:v>
      </x:c>
      <x:c r="C255" s="65" t="str">
        <x:v>基础题</x:v>
      </x:c>
      <x:c r="D255" s="65" t="str">
        <x:v>基础题</x:v>
      </x:c>
      <x:c r="E255" s="65" t="str">
        <x:v>保留原GPT裁定</x:v>
      </x:c>
      <x:c r="F255" s="65" t="str">
        <x:v>中</x:v>
      </x:c>
      <x:c r="G255" s="65" t="str">
        <x:v>中等题</x:v>
      </x:c>
      <x:c r="H255" s="65" t="str">
        <x:v>基础题</x:v>
      </x:c>
      <x:c r="I255" s="65" t="str">
        <x:v>题干、解析与结构证据支持基础题：step=1-2步，题型=光学声学综合，状态=单状态，约束=无约束，推理=简单因果推理。教师、盲评和多次模型证据中未形成足以推翻原裁定的同向结构证据。</x:v>
      </x:c>
      <x:c r="J255" s="65" t="str">
        <x:v>未进入三次错题并集；逐题结构一致性复核</x:v>
      </x:c>
      <x:c r="K255" s="63" t="str">
        <x:v>如图所示的广告图中有一处科学性的错误，它违背了光的某种规律，下面哪幅原理图能说明它违背的规律？（ ）</x:v>
      </x:c>
      <x:c r="L255" s="63" t="str"/>
      <x:c r="M255" s="63" t="str">
        <x:v>解：在如图的广告中，勺子在液体里的部分所反射的光，经液面折射后进入空气，其折射角大于入射角，所以人们看上去，勺子在液面以下的部分是向上弯折的。 AC所表示的是光从空气斜射入水中，所以不合题意；B表示的是光的传播方向不变，所以不合题意；只有D表示的原理是正确的，能说明图中广告所违背的折射规律。 故选：D。</x:v>
      </x:c>
      <x:c r="N255" s="63" t="str">
        <x:v>https://k12static.xdf.cn/k12/image/externalized/9d3ee6b8-94a3-41bf-b2b7-452054cc71cb.png</x:v>
      </x:c>
      <x:c r="O255" s="63" t="str">
        <x:v>https://k12static.xdf.cn/k12/image/externalized/2ad3752c-1b83-4a41-878d-eedc1853e025.png</x:v>
      </x:c>
      <x:c r="P255" s="63" t="str">
        <x:v>1-2步</x:v>
      </x:c>
      <x:c r="Q255" s="63" t="str">
        <x:v>光学声学综合</x:v>
      </x:c>
      <x:c r="R255" s="63" t="str">
        <x:v>单状态</x:v>
      </x:c>
      <x:c r="S255" s="63" t="str">
        <x:v>无约束</x:v>
      </x:c>
      <x:c r="T255" s="63" t="str">
        <x:v>无</x:v>
      </x:c>
      <x:c r="U255" s="63" t="str">
        <x:v>无</x:v>
      </x:c>
      <x:c r="V255" s="63" t="str">
        <x:v>简单因果推理</x:v>
      </x:c>
    </x:row>
    <x:row r="256">
      <x:c r="A256" s="64" t="str">
        <x:v>​2512014917168046080</x:v>
      </x:c>
      <x:c r="B256" s="65" t="str">
        <x:v>中等题</x:v>
      </x:c>
      <x:c r="C256" s="65" t="str">
        <x:v>中等题</x:v>
      </x:c>
      <x:c r="D256" s="65" t="str">
        <x:v>中等题</x:v>
      </x:c>
      <x:c r="E256" s="65" t="str">
        <x:v>保留原GPT裁定</x:v>
      </x:c>
      <x:c r="F256" s="65" t="str">
        <x:v>高</x:v>
      </x:c>
      <x:c r="G256" s="65" t="str">
        <x:v>中等题</x:v>
      </x:c>
      <x:c r="H256" s="65" t="str">
        <x:v>拔高题</x:v>
      </x:c>
      <x:c r="I256" s="65" t="str">
        <x:v>题干、解析与结构证据支持中等题：step=3-5步，题型=概念判断，状态=单状态，约束=单一约束，推理=多层因果推理。教师、盲评和多次模型证据中未形成足以推翻原裁定的同向结构证据。</x:v>
      </x:c>
      <x:c r="J256" s="65" t="str">
        <x:v>未进入三次错题并集；逐题结构一致性复核</x:v>
      </x:c>
      <x:c r="K256" s="63" t="str">
        <x:v>若声音在空气中的传播速度为v1，在钢轨中的传播速度为v2，有人用锤子敲了一下钢轨的一端，另一人在另一端听到两次声音的时间间隔为t,下列说法中正确的是（ ）</x:v>
      </x:c>
      <x:c r="L256" s="63" t="str">
        <x:v>A. 声音沿钢轨传播的时间为t B. 钢轨的长度为$\frac{{v}_{1}{v}_{2}t}{{v}_{2}-{v}_{1}}$ C. 声音在空气中的传播时间$\frac{{v}_{2}t}{{v}_{1}+{v}_{2}}$ D. 声音沿钢轨传播的时间为$\frac{{v}_{1}t}{{v}_{2}-{v}_{1}}$</x:v>
      </x:c>
      <x:c r="M256" s="63" t="str">
        <x:v>解：（1）设钢轨的长度为L，声音在空气中传播的时间t1=$\frac{L}{{v}_{1}}$； 声音在钢轨中传播的时间为t2=$\frac{L}{{v}_{2}}$； 时间间隔t=t1-t2=$\frac{L}{{v}_{1}}$-$\frac{L}{{v}_{2}}$； 所以钢管的长度L=$\frac{{v}_{1}{v}_{2}t}{{v}_{2}-{v}_{1}}$，故B正确； （2）声音从钢轨从一端传到另一端所用时间为t2=$\frac{L}{{v}_{2}}$=$\frac{\frac{{v}_{1}{v}_{2}t}{{v}_{2}-{v}_{1}}}{{v}_{2}}$=$\frac{{v}_{1}t}{{v}_{2}-{v}_{1}}$，故A错误，D正确； （3）声音在空气中传播的时间为t1=$\frac{L}{{v}_{1}}$=$\frac{\frac{{v}_{1}{v}_{2}t}{{v}_{2}-{v}_{1}}}{{v}_{1}}$=$\frac{{v}_{2}t}{{v}_{2}-{v}_{1}}$，故C错误。 故选：BD。</x:v>
      </x:c>
      <x:c r="N256" s="63" t="str">
        <x:v>https://k12static.xdf.cn/k12/image/externalized/bb5e5c12-808a-484c-8327-c6d5735054ba.png</x:v>
      </x:c>
      <x:c r="O256" s="63" t="str">
        <x:v>https://k12static.xdf.cn/k12/image/externalized/821558de-7e62-4a38-91e4-345e7f879277.png</x:v>
      </x:c>
      <x:c r="P256" s="63" t="str">
        <x:v>3-5步</x:v>
      </x:c>
      <x:c r="Q256" s="63" t="str">
        <x:v>概念判断</x:v>
      </x:c>
      <x:c r="R256" s="63" t="str">
        <x:v>单状态</x:v>
      </x:c>
      <x:c r="S256" s="63" t="str">
        <x:v>单一约束</x:v>
      </x:c>
      <x:c r="T256" s="63" t="str">
        <x:v>无</x:v>
      </x:c>
      <x:c r="U256" s="63" t="str">
        <x:v>无</x:v>
      </x:c>
      <x:c r="V256" s="63" t="str">
        <x:v>多层因果推理</x:v>
      </x:c>
    </x:row>
    <x:row r="257">
      <x:c r="A257" s="64" t="str">
        <x:v>​2512024641254547456</x:v>
      </x:c>
      <x:c r="B257" s="65" t="str">
        <x:v>基础题</x:v>
      </x:c>
      <x:c r="C257" s="65" t="str">
        <x:v>基础题</x:v>
      </x:c>
      <x:c r="D257" s="65" t="str">
        <x:v>基础题</x:v>
      </x:c>
      <x:c r="E257" s="65" t="str">
        <x:v>逐题复核后保留GPT裁定</x:v>
      </x:c>
      <x:c r="F257" s="65" t="str">
        <x:v>中</x:v>
      </x:c>
      <x:c r="G257" s="65" t="str">
        <x:v>中等题</x:v>
      </x:c>
      <x:c r="H257" s="65" t="str">
        <x:v>基础题</x:v>
      </x:c>
      <x:c r="I257" s="65" t="str">
        <x:v>最高难任务为1—2步显性应用、规范操作或简单因果，没有连续模型转换。 题目证据：最长连续有效推理为1-2步，四个选项分别考查长度测量的不同特殊方法，属于同一模块下的多个常规测量方法判断；整题围绕长度特殊测量的不同应用场景，分别考查操作规范，每个选项需要独立判断测量方法的正确性。</x:v>
      </x:c>
      <x:c r="J257" s="65" t="str">
        <x:v>三次运行错题并集逐题复核</x:v>
      </x:c>
      <x:c r="K257" s="63" t="str">
        <x:v>如图所示，下列有关长度的测量正确的是（ ） ​</x:v>
      </x:c>
      <x:c r="L257" s="63" t="str">
        <x:v>A. 如图甲中测量地图上路线的长度，用一根有弹性的棉线重合来测量 B. 如图乙中使用三角板和刻度尺，测出纪念币的直径为2cm C. 如图丙中测自行车通过的路程，可先记下车轮转过的圈数N，再乘以车轮的周长L D. 如图丁中把金属丝密绕在铅笔上N圈，测出密绕部分的长度L，则金属丝直径D=$\frac{L}{N}$</x:v>
      </x:c>
      <x:c r="M257" s="63" t="str">
        <x:v>解：A、如图甲中，测量地图上路线的长度，应用一根没有弹性的曲线重合来测量，故A错误； B、由图乙可知，刻度尺的分度值为1mm,测出纪念币的直径为2.00cm,故B错误； C、自行车车轮的周长可以测出，要测量自行车行驶的路程，可以先记下车轮转过的圈数N，再乘以车轮的周长L，故C确； D、细金属丝的直径太小，甚至小于刻度尺的分度值，无法直接准确测量，所以可以把金属线无间隙地密绕在一根铅笔上若干圈，测出密绕部分的长度L和圈数N，则直径D=$\frac{L}{N}$，故D正确。 故选：CD。</x:v>
      </x:c>
      <x:c r="N257" s="63" t="str">
        <x:v>https://k12static.xdf.cn/k12/image/externalized/c9be8ca3-d813-44d1-96f0-17569b011845.png</x:v>
      </x:c>
      <x:c r="O257" s="63" t="str">
        <x:v>https://k12static.xdf.cn/k12/image/externalized/b25f9b01-3bfd-4cae-87d7-11b1677b5497.png</x:v>
      </x:c>
      <x:c r="P257" s="63" t="str">
        <x:v>1-2步</x:v>
      </x:c>
      <x:c r="Q257" s="63" t="str">
        <x:v>概念判断</x:v>
      </x:c>
      <x:c r="R257" s="63" t="str">
        <x:v>单状态</x:v>
      </x:c>
      <x:c r="S257" s="63" t="str">
        <x:v>无约束</x:v>
      </x:c>
      <x:c r="T257" s="63" t="str">
        <x:v>无</x:v>
      </x:c>
      <x:c r="U257" s="63" t="str">
        <x:v>无</x:v>
      </x:c>
      <x:c r="V257" s="63" t="str">
        <x:v>简单因果推理</x:v>
      </x:c>
    </x:row>
    <x:row r="258">
      <x:c r="A258" s="64" t="str">
        <x:v>​2515952195406446592</x:v>
      </x:c>
      <x:c r="B258" s="65" t="str">
        <x:v>中等题</x:v>
      </x:c>
      <x:c r="C258" s="65" t="str">
        <x:v>中等题</x:v>
      </x:c>
      <x:c r="D258" s="65" t="str">
        <x:v>中等题</x:v>
      </x:c>
      <x:c r="E258" s="65" t="str">
        <x:v>逐题复核后保留GPT裁定</x:v>
      </x:c>
      <x:c r="F258" s="65" t="str">
        <x:v>高</x:v>
      </x:c>
      <x:c r="G258" s="65" t="str">
        <x:v>中等题</x:v>
      </x:c>
      <x:c r="H258" s="65" t="str">
        <x:v>中等题</x:v>
      </x:c>
      <x:c r="I258" s="65" t="str">
        <x:v>需要围绕教材概念与常规物理关系完成常规的3—4个有效决策，或完成一套完整标准实验/共享过程分析。关系仍显性、方法常规，没有决定性隐含转换、复杂边界筛选或多状态强耦合。</x:v>
      </x:c>
      <x:c r="J258" s="65" t="str">
        <x:v>三次运行错题并集逐题复核</x:v>
      </x:c>
      <x:c r="K258" s="63" t="str">
        <x:v>如图，一辆汽车在水平路面上向左匀速行驶，下列说法正确的是（ ）</x:v>
      </x:c>
      <x:c r="L258" s="63" t="str">
        <x:v>A. 汽车的速度可以达到120m/s B. 汽车受到的重力大于地面对它的支持力 C. 汽车受到的支持力是由于轮胎发生形变而产生的 D. 以额定功率运动的汽车，行驶速度越快，汽车的牵引力越大</x:v>
      </x:c>
      <x:c r="M258" s="63" t="str">
        <x:v>解：A、汽车的速度大约为120km/h,不是120m/s,故A错误； B、小汽车高速行驶时，车身上方空气流速快、压强小，下方空气流速慢、压强大，因而车子上方气体的压强小于车子下方气体的压强，产生向上的升力，从而使得汽车对地面的压力小于车的重力，地面对汽车的支持力与汽车对地面的压力是一对相互作用的力，大小相等，所以汽车受到的重力大于地面对它的支持力，故B正确； C、汽车受到的支持力是由于地面发生形变而产生的，故C错误； D、根据P=$\frac{W}{t}$=$\frac{Fs}{t}$=Fv可知：以额定功率运动的汽车，行驶速度越快，汽车的牵引力越小，故D错误。 故选：B。</x:v>
      </x:c>
      <x:c r="N258" s="63" t="str">
        <x:v>https://k12static.xdf.cn/k12/image/externalized/8dff0d6c-d429-4f81-a4c7-012a8586f709.png</x:v>
      </x:c>
      <x:c r="O258" s="63" t="str">
        <x:v>https://k12static.xdf.cn/k12/image/externalized/5646495b-2e25-4ba0-8153-f3e7f9067e42.png</x:v>
      </x:c>
      <x:c r="P258" s="63" t="str">
        <x:v>1-2步</x:v>
      </x:c>
      <x:c r="Q258" s="63" t="str">
        <x:v>概念判断</x:v>
      </x:c>
      <x:c r="R258" s="63" t="str">
        <x:v>单状态</x:v>
      </x:c>
      <x:c r="S258" s="63" t="str">
        <x:v>无约束</x:v>
      </x:c>
      <x:c r="T258" s="63" t="str">
        <x:v>无</x:v>
      </x:c>
      <x:c r="U258" s="63" t="str">
        <x:v>无</x:v>
      </x:c>
      <x:c r="V258" s="63" t="str">
        <x:v>多层因果推理</x:v>
      </x:c>
    </x:row>
    <x:row r="259">
      <x:c r="A259" s="64" t="str">
        <x:v>​2525569660863397888</x:v>
      </x:c>
      <x:c r="B259" s="65" t="str">
        <x:v>拔高题</x:v>
      </x:c>
      <x:c r="C259" s="65" t="str">
        <x:v>拔高题</x:v>
      </x:c>
      <x:c r="D259" s="65" t="str">
        <x:v>拔高题</x:v>
      </x:c>
      <x:c r="E259" s="65" t="str">
        <x:v>逐题复核后保留GPT裁定</x:v>
      </x:c>
      <x:c r="F259" s="65" t="str">
        <x:v>高</x:v>
      </x:c>
      <x:c r="G259" s="65" t="str">
        <x:v>拔高题</x:v>
      </x:c>
      <x:c r="H259" s="65" t="str">
        <x:v>拔高题</x:v>
      </x:c>
      <x:c r="I259" s="65" t="str">
        <x:v>最高难任务在图表信息提取与关系反推中包含图线反推、状态转换、误差评价、几何/等效转换、方程联立或参数反求等决定性卡点，整体约5—6个有效决策；尚未形成压轴所需的完整复杂约束网络。</x:v>
      </x:c>
      <x:c r="J259" s="65" t="str">
        <x:v>三次运行错题并集逐题复核</x:v>
      </x:c>
      <x:c r="K259" s="63" t="str">
        <x:v>如图甲所示，在试管和烧杯中分别放入适量的碎冰，再把试管放入烧杯中，并各放置一支温度计，然后点燃酒精灯。图乙是烧杯中的温度计A的示数随时间变化的图象，已知试管内的冰熔化过程历时4min,则试管中温度计B的示数随时间变化的图象可能正确的是（ ）</x:v>
      </x:c>
      <x:c r="L259" s="63" t="str"/>
      <x:c r="M259" s="63" t="str">
        <x:v>解；由图乙可知，烧杯内的冰熔化时间是8min-4min=4min,在此期间，烧杯内的水持续吸热，温度不变，故烧杯内的冰能达到熔点，由于不能持续吸热，在此期间试管内的冰不能熔化，当烧杯内的冰完全熔化成水后，温度继续升高，这时试管内的冰开始熔化，故试管内的冰从第8min开始熔化，熔化时间为8min+4min=12min,在此期间试管内的冰持续吸热，温度保持不变，12min时完全熔化完后，温度继续升高，故ABD错误，C正确。 故选：C。</x:v>
      </x:c>
      <x:c r="N259" s="63" t="str">
        <x:v>https://k12static.xdf.cn/k12/image/externalized/582389a3-db48-460e-afe7-550afd2c6350.png</x:v>
      </x:c>
      <x:c r="O259" s="63" t="str">
        <x:v>https://k12static.xdf.cn/k12/image/externalized/ef0aead1-9981-4e07-9b0a-423b5412f4df.png</x:v>
      </x:c>
      <x:c r="P259" s="63" t="str">
        <x:v>3-5步</x:v>
      </x:c>
      <x:c r="Q259" s="63" t="str">
        <x:v>概念判断</x:v>
      </x:c>
      <x:c r="R259" s="63" t="str">
        <x:v>双状态</x:v>
      </x:c>
      <x:c r="S259" s="63" t="str">
        <x:v>单一约束</x:v>
      </x:c>
      <x:c r="T259" s="63" t="str">
        <x:v>无</x:v>
      </x:c>
      <x:c r="U259" s="63" t="str">
        <x:v>多组比较归纳</x:v>
      </x:c>
      <x:c r="V259" s="63" t="str">
        <x:v>多层因果推理</x:v>
      </x:c>
    </x:row>
    <x:row r="260">
      <x:c r="A260" s="64" t="str">
        <x:v>​2527164048014925824</x:v>
      </x:c>
      <x:c r="B260" s="65" t="str">
        <x:v>中等题</x:v>
      </x:c>
      <x:c r="C260" s="65" t="str">
        <x:v>中等题</x:v>
      </x:c>
      <x:c r="D260" s="65" t="str">
        <x:v>中等题</x:v>
      </x:c>
      <x:c r="E260" s="65" t="str">
        <x:v>保留原GPT裁定</x:v>
      </x:c>
      <x:c r="F260" s="65" t="str">
        <x:v>高</x:v>
      </x:c>
      <x:c r="G260" s="65" t="str">
        <x:v>基础题</x:v>
      </x:c>
      <x:c r="H260" s="65" t="str">
        <x:v>中等题</x:v>
      </x:c>
      <x:c r="I260" s="65" t="str">
        <x:v>题干、解析与结构证据支持中等题：step=1-2步，题型=实验探究，状态=单状态，约束=无约束，推理=多层因果推理。教师、盲评和多次模型证据中未形成足以推翻原裁定的同向结构证据。</x:v>
      </x:c>
      <x:c r="J260" s="65" t="str">
        <x:v>未进入三次错题并集；逐题结构一致性复核</x:v>
      </x:c>
      <x:c r="K260" s="63" t="str">
        <x:v>如图甲是“探究水沸腾时温度变化的特点”的实验装置。 （1）图甲实验装置的组装顺序应为 ________ （选填“自上而下”或“自下而上”）。 （2）实验中某次温度计的示数如图乙，为 ________ ℃。根据实验数据绘制的水的温度随加热时间变化的图像如图丙，由此可知水沸腾时温度 ________ （填“升高”、“降低”或“不变”），这与 ________ （填“晶体”或“非晶体”）熔化时的温度特点相同，由图可知本实验中水的沸点为 ________ ℃。 （3）实验中发现温度计上部出现许多小水珠，这些小水珠是 ________ 形成的。 （4）撤去酒精后，水仍能继续沸腾一小段时间，其原因是 ________ 。 （5）如果用硬纸片将烧杯盖得十分紧密，且纸片上无排气孔，则水的沸点会 ________ （填“升高”、“降低”或“不变”）。</x:v>
      </x:c>
      <x:c r="L260" s="63" t="str"/>
      <x:c r="M260" s="63" t="str">
        <x:v>解：（1）“探究水沸腾时温度变化的特点”的实验时，需要用酒精灯给水加热，加热时要用酒精灯的外焰加热，所以在安装装置时，必须按照从下到上的顺序进行。 （2）由图乙可知，温度计的分度值为1℃，则该次温度计的示数为92℃。 由图象丙知，水在第2min开始沸腾，沸腾时，不断吸收热量，温度保持98℃不变，这个不变的温度是液体的沸点。晶体熔化时吸热温度不变，由此可知，水沸腾时温度特点与晶体熔化时温度特点相同。 （3）温度计上部出现的小水珠，是由温度较高的水蒸气遇到温度低的温度计液化形成的。 （4）撤去酒精后，石棉网的温度高于水的沸点温度，水能够继续吸收热量，满足水的沸腾条件，所以水仍能继续沸腾一小段时间。 （5）水的沸点与气压有关，气压越高沸点越高。用硬纸片将烧杯盖紧后，随着水上方水蒸气的增多，水上方的气压增高，所以水的沸点会升高。 故答案为：（1）自下而上；（2）92；不变；晶体；98；（3）液化；（4）石棉网的温度高于水的沸点，水能继续吸热；（5）升高。</x:v>
      </x:c>
      <x:c r="N260" s="63" t="str">
        <x:v>https://k12static.xdf.cn/k12/image/externalized/994357e9-abf6-4016-8e2b-7ab5cecf3539.png</x:v>
      </x:c>
      <x:c r="O260" s="63" t="str">
        <x:v>https://k12static.xdf.cn/k12/image/externalized/0f71ffff-45c9-47f7-86b9-1c03a2a43864.png</x:v>
      </x:c>
      <x:c r="P260" s="63" t="str">
        <x:v>1-2步</x:v>
      </x:c>
      <x:c r="Q260" s="63" t="str">
        <x:v>实验探究</x:v>
      </x:c>
      <x:c r="R260" s="63" t="str">
        <x:v>单状态</x:v>
      </x:c>
      <x:c r="S260" s="63" t="str">
        <x:v>无约束</x:v>
      </x:c>
      <x:c r="T260" s="63" t="str">
        <x:v>控制变量或故障分析</x:v>
      </x:c>
      <x:c r="U260" s="63" t="str">
        <x:v>多组比较归纳</x:v>
      </x:c>
      <x:c r="V260" s="63" t="str">
        <x:v>多层因果推理</x:v>
      </x:c>
    </x:row>
    <x:row r="261">
      <x:c r="A261" s="64" t="str">
        <x:v>​2529648819677700096</x:v>
      </x:c>
      <x:c r="B261" s="65" t="str">
        <x:v>压轴题</x:v>
      </x:c>
      <x:c r="C261" s="65" t="str">
        <x:v>压轴题</x:v>
      </x:c>
      <x:c r="D261" s="65" t="str">
        <x:v>压轴题</x:v>
      </x:c>
      <x:c r="E261" s="65" t="str">
        <x:v>逐题复核后保留GPT裁定</x:v>
      </x:c>
      <x:c r="F261" s="65" t="str">
        <x:v>高</x:v>
      </x:c>
      <x:c r="G261" s="65" t="str">
        <x:v>压轴题</x:v>
      </x:c>
      <x:c r="H261" s="65" t="str">
        <x:v>压轴题</x:v>
      </x:c>
      <x:c r="I261" s="65" t="str">
        <x:v>题目把受力、浮力/压强与状态变化组织成多对象、多状态、多约束的共享模型网络，后续任务依赖前述状态/参数，并要求分类、临界/边界、有效解筛选或可行性验证，属于7步以上的完整耦合链。</x:v>
      </x:c>
      <x:c r="J261" s="65" t="str">
        <x:v>三次运行错题并集逐题复核</x:v>
      </x:c>
      <x:c r="K261" s="63" t="str">
        <x:v>小雨受到的重力为640N，他站在水平地面上时对地面的压强为1.6×104Pa。 （1）他用图甲所示滑轮组匀速提升物体A，滑轮组的机械效率为90%（不计绳重和摩擦），此时他对水平地面的压强为6×103Pa.则物体A重力GA=？ （2）如图乙所示，若他用此滑轮组从水下缓慢提起边长为0.3m的正方体B（不计水的阻力、绳重和摩擦），当物体B的下表面所受水的压强为2×103Pa时，求物块此时受到的浮力？ （3）若小雨对水平地面的压强为匀速提升物体A时对水平地面压强的$\frac{1}{2}$，则物体B的密度ρB=？</x:v>
      </x:c>
      <x:c r="L261" s="63" t="str"/>
      <x:c r="M261" s="63" t="str">
        <x:v>解： （1）由p=$\frac{F}{S}$得小雨站立时地面的受力面积： S=$\frac{F}{p}$=$\frac{640N}{1.6×1{0}^{4}Pa}$=0.04m2， 匀速提升物体A时，小雨对地面的压力： F′=p′S=6×103Pa×0.04m2=240N， 小雨对绳子的拉力： F拉=G-F′=640N-240N=400N， 由图知，使用的滑轮组，n=3， 因为此时滑轮组的机械效率η=$\frac{{W}_{有用}}{{W}_{总}}$=$\frac{Gh}{Fs}$=$\frac{Gh}{F3h}$=$\frac{G}{3F}$， 所以物体A的重力： GA=3F拉η=3×400N×90%=1080N； （2）由p=ρgh得物体B下表面所处的深度： h=$\frac{{p}_{下}}{{ρ}_{水}g}$=$\frac{2×1{0}^{3}Pa}{1×1{0}^{3}kg/{m}^{3}×10N/kg}$=0.2m, 物体浸入水中深度： h浸=h=0.2m, 排开水的体积： V排=S底h浸=（0.3m）2×0.2m=0.018m3， 此时物体B受到的浮力： F浮=ρ水gV排=1×103kg/m3×10N/kg×0.018m3=180N； （3）小雨对水平地面的压强p″=$\frac{1}{2}$p′=$\frac{1}{2}$×6×103Pa=3×103Pa, 由p=$\frac{F}{S}$得此时小雨对地面的压力： F″=p″S=3×103Pa×0.04m2=120N， 小雨对绳子的拉力： F拉′=G-F″=640N-120N=520N， 当提升物体A时绳端拉力F=$\frac{1}{3}$（G+G动），则动滑轮重： G动=3F拉-GA=3×400N-1080N=120N， 当提升物体B时拉力F=$\frac{1}{3}$（GB-F浮+G动），则物体B的重力： GB=3F拉′-G动+F浮=3×520N-120N+180N=1620N， 由G=mg=ρVg得物体B的密度： ρ=$\frac{{G}_{B}}{g{V}_{B}}$=$\frac{1620N}{10N/kg×(0.3m)^{3}}$=6×103kg/m3。 答：（1）物体A重力为1080N； （2）如图乙所示，物块此时受到的浮力为180N； （3）物体B的密度为6×103kg/m3。</x:v>
      </x:c>
      <x:c r="N261" s="63" t="str">
        <x:v>https://k12static.xdf.cn/k12/image/externalized/6bc1c990-2419-4c0c-aed4-15df713e1933.png</x:v>
      </x:c>
      <x:c r="O261" s="63" t="str">
        <x:v>https://k12static.xdf.cn/k12/image/externalized/2b5b14e1-021f-4416-9ccf-358fb0390af6.png</x:v>
      </x:c>
      <x:c r="P261" s="63" t="str">
        <x:v>6-8步</x:v>
      </x:c>
      <x:c r="Q261" s="63" t="str">
        <x:v>力学综合</x:v>
      </x:c>
      <x:c r="R261" s="63" t="str">
        <x:v>多状态</x:v>
      </x:c>
      <x:c r="S261" s="63" t="str">
        <x:v>多约束</x:v>
      </x:c>
      <x:c r="T261" s="63" t="str">
        <x:v>无</x:v>
      </x:c>
      <x:c r="U261" s="63" t="str">
        <x:v>无</x:v>
      </x:c>
      <x:c r="V261" s="63" t="str">
        <x:v>多层因果推理</x:v>
      </x:c>
    </x:row>
    <x:row r="262">
      <x:c r="A262" s="64" t="str">
        <x:v>​2530050352983891968</x:v>
      </x:c>
      <x:c r="B262" s="65" t="str">
        <x:v>拔高题</x:v>
      </x:c>
      <x:c r="C262" s="65" t="str">
        <x:v>拔高题</x:v>
      </x:c>
      <x:c r="D262" s="65" t="str">
        <x:v>拔高题</x:v>
      </x:c>
      <x:c r="E262" s="65" t="str">
        <x:v>逐题复核后保留GPT裁定</x:v>
      </x:c>
      <x:c r="F262" s="65" t="str">
        <x:v>高</x:v>
      </x:c>
      <x:c r="G262" s="65" t="str">
        <x:v>基础题</x:v>
      </x:c>
      <x:c r="H262" s="65" t="str">
        <x:v>拔高题</x:v>
      </x:c>
      <x:c r="I262" s="65" t="str">
        <x:v>最高难任务在力学模型、运动/受力与能量关系中包含图线反推、状态转换、误差评价、几何/等效转换、方程联立或参数反求等决定性卡点，整体约5—6个有效决策；尚未形成压轴所需的完整复杂约束网络。</x:v>
      </x:c>
      <x:c r="J262" s="65" t="str">
        <x:v>三次运行错题并集逐题复核</x:v>
      </x:c>
      <x:c r="K262" s="63" t="str">
        <x:v>如图所示，工人利用滑轮组将重物缓慢提起，下列分析正确的是​（ ）</x:v>
      </x:c>
      <x:c r="L262" s="63" t="str">
        <x:v>A. 利用这个滑轮组提重物，既可以省力又可以改变用力方向 B. 工人对绳的拉力和绳对工人的拉力是一对作用力与反作用力 C. 工人受到的重力和支持力是一对平衡力 D. 重物被缓慢拉起的过程，绳子拉力不变</x:v>
      </x:c>
      <x:c r="M262" s="63" t="str">
        <x:v>解：A、使用滑轮组既可以省力，又可以改变力的方向，但要费距离，故A正确； B、工人对绳的拉力和绳对工人的拉力是一对相互作用力，大小相等，故B正确； C、对工人进行受力分析，工人受到的重力、支持力和绳对工人的拉力，处于平衡状态，则工人受到的重力和支持力大小不相等，所以不是一对平衡力，故C错误； D、对滑轮做受力分析有： 则有 FT=$\frac{mg}{2cosθ}$，则随着重物缓慢拉起过程，θ逐渐增大，则FT逐渐增大，故D错误。 故选：AB。</x:v>
      </x:c>
      <x:c r="N262" s="63" t="str">
        <x:v>https://k12static.xdf.cn/k12/image/externalized/588a941d-338c-4317-a4ca-0d4eaf292c17.png</x:v>
      </x:c>
      <x:c r="O262" s="63" t="str">
        <x:v>https://k12static.xdf.cn/k12/image/externalized/78a23eb7-817e-4806-9327-fc5d09177a9e.png</x:v>
      </x:c>
      <x:c r="P262" s="63" t="str">
        <x:v>3-5步</x:v>
      </x:c>
      <x:c r="Q262" s="63" t="str">
        <x:v>概念判断</x:v>
      </x:c>
      <x:c r="R262" s="63" t="str">
        <x:v>单状态</x:v>
      </x:c>
      <x:c r="S262" s="63" t="str">
        <x:v>单一约束</x:v>
      </x:c>
      <x:c r="T262" s="63" t="str">
        <x:v>无</x:v>
      </x:c>
      <x:c r="U262" s="63" t="str">
        <x:v>无</x:v>
      </x:c>
      <x:c r="V262" s="63" t="str">
        <x:v>多层因果推理</x:v>
      </x:c>
    </x:row>
    <x:row r="263">
      <x:c r="A263" s="64" t="str">
        <x:v>​2530221469021331456</x:v>
      </x:c>
      <x:c r="B263" s="65" t="str">
        <x:v>中等题</x:v>
      </x:c>
      <x:c r="C263" s="65" t="str">
        <x:v>中等题</x:v>
      </x:c>
      <x:c r="D263" s="65" t="str">
        <x:v>中等题</x:v>
      </x:c>
      <x:c r="E263" s="65" t="str">
        <x:v>保留原GPT裁定</x:v>
      </x:c>
      <x:c r="F263" s="65" t="str">
        <x:v>高</x:v>
      </x:c>
      <x:c r="G263" s="65" t="str">
        <x:v>中等题</x:v>
      </x:c>
      <x:c r="H263" s="65" t="str">
        <x:v>中等题</x:v>
      </x:c>
      <x:c r="I263" s="65" t="str">
        <x:v>题干、解析与结构证据支持中等题：step=3-5步，题型=力学综合，状态=双状态，约束=无约束，推理=多层因果推理。教师、盲评和多次模型证据中未形成足以推翻原裁定的同向结构证据。</x:v>
      </x:c>
      <x:c r="J263" s="65" t="str">
        <x:v>未进入三次错题并集；逐题结构一致性复核</x:v>
      </x:c>
      <x:c r="K263" s="63" t="str">
        <x:v>在一次活动中，小明和小华先后在同一地面水平拉着物体A做匀速直线运动，如图所示是物体A两次运动的路程随时间变化的图象。下列判断正确的是（ ）</x:v>
      </x:c>
      <x:c r="L263" s="63" t="str">
        <x:v>A. 物体A两次运动的速度：v1＜v2 B. 物体A两次所受的拉力：F1＞F2 C. 0～t1两人拉力对物体所做的功：W1=W2 D. 0～t1两人拉力对物体做功的功率：P1＞P2</x:v>
      </x:c>
      <x:c r="M263" s="63" t="str">
        <x:v>解：A、由图象可知，在相同时间内，物体第一次通过的路程大于第二次通过的路程，所以v1＞v2，故A错误； B、同一物体重力相等，对水平面的压力相等，在同一水平面接触面的粗糙程度相同，因此两次拉动物体时，物体受到的摩擦力相等，由于物体做匀速直线运动，所受到的拉力和摩擦力是一对平衡力，大小相等，所以两次物体所受的拉力F1=F2，故B错误； C、由图象可知，0～t1物体第一次通过的路程大于第二次通过的路程，又因为F1=F2，根据W=Fs可得，0～t1两次拉力对物体所做的功W1＞W2，故C错误； D、已知两次物体所受的拉力F1=F2，v1＞v2，由P=$\frac{W}{t}$=$\frac{Fs}{t}$=Fv可知，0～t1两人拉力对物体做功的功率：P1＞P2，故D正确。 故选：D。</x:v>
      </x:c>
      <x:c r="N263" s="63" t="str">
        <x:v>https://k12static.xdf.cn/k12/image/externalized/660c210d-1f63-4cdf-a63c-2a45298a615c.png</x:v>
      </x:c>
      <x:c r="O263" s="63" t="str">
        <x:v>https://k12static.xdf.cn/k12/image/externalized/2291b522-b8fe-4514-b201-67744179c44a.png</x:v>
      </x:c>
      <x:c r="P263" s="63" t="str">
        <x:v>3-5步</x:v>
      </x:c>
      <x:c r="Q263" s="63" t="str">
        <x:v>力学综合</x:v>
      </x:c>
      <x:c r="R263" s="63" t="str">
        <x:v>双状态</x:v>
      </x:c>
      <x:c r="S263" s="63" t="str">
        <x:v>无约束</x:v>
      </x:c>
      <x:c r="T263" s="63" t="str">
        <x:v>无</x:v>
      </x:c>
      <x:c r="U263" s="63" t="str">
        <x:v>多组比较归纳</x:v>
      </x:c>
      <x:c r="V263" s="63" t="str">
        <x:v>多层因果推理</x:v>
      </x:c>
    </x:row>
    <x:row r="264">
      <x:c r="A264" s="64" t="str">
        <x:v>​2531173671799939072</x:v>
      </x:c>
      <x:c r="B264" s="65" t="str">
        <x:v>基础题</x:v>
      </x:c>
      <x:c r="C264" s="65" t="str">
        <x:v>基础题</x:v>
      </x:c>
      <x:c r="D264" s="65" t="str">
        <x:v>基础题</x:v>
      </x:c>
      <x:c r="E264" s="65" t="str">
        <x:v>逐题复核后保留GPT裁定</x:v>
      </x:c>
      <x:c r="F264" s="65" t="str">
        <x:v>高</x:v>
      </x:c>
      <x:c r="G264" s="65" t="str">
        <x:v>基础题</x:v>
      </x:c>
      <x:c r="H264" s="65" t="str">
        <x:v>基础题</x:v>
      </x:c>
      <x:c r="I264" s="65" t="str">
        <x:v>最高难任务为1—2步显性应用、规范操作或简单因果，没有连续模型转换。 题目证据：最高难选项实际有效推理约2步。五维中知识量为2-3个关联知识点，过程/对象为单对象，数学工具为简单图像比较，情境为课本实验原型，思维层次为简单应用。任务为辨析I-U图像斜率与电阻的关系，比较相同电流或电压下的电阻大小，属于图像数据比较下的电阻规律分析。</x:v>
      </x:c>
      <x:c r="J264" s="65" t="str">
        <x:v>三次运行错题并集逐题复核</x:v>
      </x:c>
      <x:c r="K264" s="63" t="str">
        <x:v>在“探究电流与电压的关系”的实验中，某同学画出了电阻R1和R2的I-U图像如图所示，下列说法正确的是（ ）</x:v>
      </x:c>
      <x:c r="L264" s="63" t="str">
        <x:v>A. R1的斜率大于R2的斜率，R1＞R2 B. 在电压相同的情况下，R1＞R2 C. 在电流相同的情况下，R1＞R2 D. 电流与电压无论怎么变化，R1＜R2</x:v>
      </x:c>
      <x:c r="M264" s="63" t="str">
        <x:v>解：由I-U图象可知，当通过两电阻的电流相等时，U2＞U1， 由I=$\frac{U}{R}$的变形式R=$\frac{U}{I}$可知，R1＜R2，且导体的电阻是导体本身的一种性质，电阻大小与电压大小和电流大小都无关，故ABC错误，D正确。 故选：D。</x:v>
      </x:c>
      <x:c r="N264" s="63" t="str">
        <x:v>https://k12static.xdf.cn/k12/image/externalized/679c2253-939c-48bf-a062-1d4b88c56532.png</x:v>
      </x:c>
      <x:c r="O264" s="63" t="str">
        <x:v>https://k12static.xdf.cn/k12/image/externalized/6c9c8084-d46e-4285-884a-1d920f508478.png</x:v>
      </x:c>
      <x:c r="P264" s="63" t="str">
        <x:v>1-2步</x:v>
      </x:c>
      <x:c r="Q264" s="63" t="str">
        <x:v>概念判断</x:v>
      </x:c>
      <x:c r="R264" s="63" t="str">
        <x:v>单状态</x:v>
      </x:c>
      <x:c r="S264" s="63" t="str">
        <x:v>无约束</x:v>
      </x:c>
      <x:c r="T264" s="63" t="str">
        <x:v>无</x:v>
      </x:c>
      <x:c r="U264" s="63" t="str">
        <x:v>直接读数</x:v>
      </x:c>
      <x:c r="V264" s="63" t="str">
        <x:v>简单因果推理</x:v>
      </x:c>
    </x:row>
    <x:row r="265">
      <x:c r="A265" s="64" t="str">
        <x:v>​2532437288943935488</x:v>
      </x:c>
      <x:c r="B265" s="65" t="str">
        <x:v>基础题</x:v>
      </x:c>
      <x:c r="C265" s="65" t="str">
        <x:v>基础题</x:v>
      </x:c>
      <x:c r="D265" s="65" t="str">
        <x:v>基础题</x:v>
      </x:c>
      <x:c r="E265" s="65" t="str">
        <x:v>保留原GPT裁定</x:v>
      </x:c>
      <x:c r="F265" s="65" t="str">
        <x:v>高</x:v>
      </x:c>
      <x:c r="G265" s="65" t="str">
        <x:v>基础题</x:v>
      </x:c>
      <x:c r="H265" s="65" t="str">
        <x:v>送分题</x:v>
      </x:c>
      <x:c r="I265" s="65" t="str">
        <x:v>题干、解析与结构证据支持基础题：step=1-2步，题型=概念判断，状态=单状态，约束=无约束，推理=简单因果推理。教师、盲评和多次模型证据中未形成足以推翻原裁定的同向结构证据。</x:v>
      </x:c>
      <x:c r="J265" s="65" t="str">
        <x:v>未进入三次错题并集；逐题结构一致性复核</x:v>
      </x:c>
      <x:c r="K265" s="63" t="str">
        <x:v>如图所示的是小东使用放大镜欣赏邮票时的情境。下列光路图能反映其成像原理的是（ ）</x:v>
      </x:c>
      <x:c r="L265" s="63" t="str"/>
      <x:c r="M265" s="63" t="str">
        <x:v>解：放大镜的原理：当物距小于凸透镜的焦距时，成正立放大的虚像。 A、图中是小孔成像现象，原理是光在同种均匀介质中沿直线传播，故A错误； B、图中是平面镜成像，属于光的反射现象，故B错误； C、图中蜡烛与凸透镜的距离小于凸透镜的焦距，因此成正立放大的虚像，故C正确； D、图中蜡烛的位置在凸透镜的焦距与二倍焦距之间，成倒立放大的实像，故D错误。 故选：C。</x:v>
      </x:c>
      <x:c r="N265" s="63" t="str">
        <x:v>https://k12static.xdf.cn/k12/image/externalized/6e4643d1-174b-42ae-b7a5-fe298ba3c021.png</x:v>
      </x:c>
      <x:c r="O265" s="63" t="str">
        <x:v>https://k12static.xdf.cn/k12/image/externalized/f3bcceec-7fd5-4002-9a44-fb87f7ac52a8.png</x:v>
      </x:c>
      <x:c r="P265" s="63" t="str">
        <x:v>1-2步</x:v>
      </x:c>
      <x:c r="Q265" s="63" t="str">
        <x:v>概念判断</x:v>
      </x:c>
      <x:c r="R265" s="63" t="str">
        <x:v>单状态</x:v>
      </x:c>
      <x:c r="S265" s="63" t="str">
        <x:v>无约束</x:v>
      </x:c>
      <x:c r="T265" s="63" t="str">
        <x:v>无</x:v>
      </x:c>
      <x:c r="U265" s="63" t="str">
        <x:v>无</x:v>
      </x:c>
      <x:c r="V265" s="63" t="str">
        <x:v>简单因果推理</x:v>
      </x:c>
    </x:row>
    <x:row r="266">
      <x:c r="A266" s="64" t="str">
        <x:v>​2533831211849109504</x:v>
      </x:c>
      <x:c r="B266" s="65" t="str">
        <x:v>基础题</x:v>
      </x:c>
      <x:c r="C266" s="65" t="str">
        <x:v>基础题</x:v>
      </x:c>
      <x:c r="D266" s="65" t="str">
        <x:v>基础题</x:v>
      </x:c>
      <x:c r="E266" s="65" t="str">
        <x:v>保留原GPT裁定</x:v>
      </x:c>
      <x:c r="F266" s="65" t="str">
        <x:v>中</x:v>
      </x:c>
      <x:c r="G266" s="65" t="str">
        <x:v>基础题</x:v>
      </x:c>
      <x:c r="H266" s="65" t="str">
        <x:v>送分题</x:v>
      </x:c>
      <x:c r="I266" s="65" t="str">
        <x:v>题干、解析与结构证据支持基础题：step=1-2步，题型=概念判断，状态=单状态，约束=无约束，推理=简单因果推理。教师、盲评和多次模型证据中未形成足以推翻原裁定的同向结构证据。</x:v>
      </x:c>
      <x:c r="J266" s="65" t="str">
        <x:v>未进入三次错题并集；逐题结构一致性复核</x:v>
      </x:c>
      <x:c r="K266" s="63" t="str">
        <x:v>在如图所示演示实验中，将分别装有空气和红棕色二氧化氮气体的两个玻璃瓶通过玻璃板对接，二氧化氮的密度大于空气的密度，抽出玻璃板并合上两瓶后，在较长时​间内观察实验现象。以下实例与该实验现象反映的物理本质相同的是（ ）</x:v>
      </x:c>
      <x:c r="L266" s="63" t="str">
        <x:v>A. 夏天雨后，丫髻山上云雾缭绕 B. 将鱼块用调料腌制后再烹饪，鱼块更入味 C. 将两个表面光滑的铅块相互紧压后，它们粘在了一起 D. 将50m的沙和50mL的米混合后，总体积少于100mL</x:v>
      </x:c>
      <x:c r="M266" s="63" t="str">
        <x:v>解：将分别装有空气和红棕色二氧化氮气体的两个玻璃瓶通过玻璃板对接，二氧化氮的密度大于空气的密度，抽出玻璃板并合上两瓶，过一段时间后两瓶气体会混合在一起，且颜色都变得同样均匀，这是扩散现象，说明分子在不停地做无规则运动。 A、夏天雨后，丫髻山上云雾缭绕，云的运动是宏观物体的运动，和分子运动无关，故A错误； B、将鱼块用调料腌制后再烹饪，鱼块更入味，入味是由于分子在不停地做无规则运动，故B正确； C、将两个表面光滑的铅块相互紧压后，它们粘在了一起，这是因为分子间存在着引力的缘故，故C错误； D、将50m的沙和50mL的米混合后，总体积少于100mL，说明沙之间和米之间存在间隙，故D错误。 故选：B。</x:v>
      </x:c>
      <x:c r="N266" s="63" t="str">
        <x:v>https://k12static.xdf.cn/k12/image/externalized/61acaad6-039e-4dfc-be66-c2b38fcccc72.png</x:v>
      </x:c>
      <x:c r="O266" s="63" t="str">
        <x:v>https://k12static.xdf.cn/k12/image/externalized/5920627b-6beb-4e40-9e53-d3ba5fd6945a.png</x:v>
      </x:c>
      <x:c r="P266" s="63" t="str">
        <x:v>1-2步</x:v>
      </x:c>
      <x:c r="Q266" s="63" t="str">
        <x:v>概念判断</x:v>
      </x:c>
      <x:c r="R266" s="63" t="str">
        <x:v>单状态</x:v>
      </x:c>
      <x:c r="S266" s="63" t="str">
        <x:v>无约束</x:v>
      </x:c>
      <x:c r="T266" s="63" t="str">
        <x:v>无</x:v>
      </x:c>
      <x:c r="U266" s="63" t="str">
        <x:v>无</x:v>
      </x:c>
      <x:c r="V266" s="63" t="str">
        <x:v>简单因果推理</x:v>
      </x:c>
    </x:row>
    <x:row r="267">
      <x:c r="A267" s="64" t="str">
        <x:v>​2533858786481577984</x:v>
      </x:c>
      <x:c r="B267" s="65" t="str">
        <x:v>基础题</x:v>
      </x:c>
      <x:c r="C267" s="65" t="str">
        <x:v>基础题</x:v>
      </x:c>
      <x:c r="D267" s="65" t="str">
        <x:v>基础题</x:v>
      </x:c>
      <x:c r="E267" s="65" t="str">
        <x:v>保留原GPT裁定</x:v>
      </x:c>
      <x:c r="F267" s="65" t="str">
        <x:v>高</x:v>
      </x:c>
      <x:c r="G267" s="65" t="str">
        <x:v>中等题</x:v>
      </x:c>
      <x:c r="H267" s="65" t="str">
        <x:v>基础题</x:v>
      </x:c>
      <x:c r="I267" s="65" t="str">
        <x:v>题干、解析与结构证据支持基础题：step=1-2步，题型=概念判断，状态=单状态，约束=无约束，推理=简单因果推理。教师、盲评和多次模型证据中未形成足以推翻原裁定的同向结构证据。</x:v>
      </x:c>
      <x:c r="J267" s="65" t="str">
        <x:v>未进入三次错题并集；逐题结构一致性复核</x:v>
      </x:c>
      <x:c r="K267" s="63" t="str">
        <x:v>下列说法正确的是（ ）</x:v>
      </x:c>
      <x:c r="L267" s="63" t="str">
        <x:v>A. 水的沸点是100摄氏度 B. 物体的温度高，内能一定大 C. 蒸发只在液体的表面发生 D. 分子的内能包含分子的动能和势能</x:v>
      </x:c>
      <x:c r="M267" s="63" t="str">
        <x:v>解：A、在一标准大气压下水的沸点是100摄氏度，缺少“在一标准大气压下”这个前提条件，故A错误； B、物体的内能是由分子热运动的总动能与分子势能的总和。在宏观上表现为，内能与物体的分子数、温度、体积有关。所以，温度高的物体内能不一定比温度低的物体内能大，故B错误； C、蒸发是只在液体表面发生的缓慢的汽化现象，符合题意； D、内能是指物体内部所有分子的动能（即分子无规则热运动动能）和势能（即分子间相互作用能）的总和，并不是针对单个分子；故D错误； 故选：C。</x:v>
      </x:c>
      <x:c r="N267" s="63" t="str">
        <x:v>https://k12static.xdf.cn/k12/image/externalized/38d7db10-44d7-4672-a66c-271092e5970a.png</x:v>
      </x:c>
      <x:c r="O267" s="63" t="str">
        <x:v>https://k12static.xdf.cn/k12/image/externalized/b63726da-a127-4fed-878b-4ba29d03fcd1.png</x:v>
      </x:c>
      <x:c r="P267" s="63" t="str">
        <x:v>1-2步</x:v>
      </x:c>
      <x:c r="Q267" s="63" t="str">
        <x:v>概念判断</x:v>
      </x:c>
      <x:c r="R267" s="63" t="str">
        <x:v>单状态</x:v>
      </x:c>
      <x:c r="S267" s="63" t="str">
        <x:v>无约束</x:v>
      </x:c>
      <x:c r="T267" s="63" t="str">
        <x:v>无</x:v>
      </x:c>
      <x:c r="U267" s="63" t="str">
        <x:v>无</x:v>
      </x:c>
      <x:c r="V267" s="63" t="str">
        <x:v>简单因果推理</x:v>
      </x:c>
    </x:row>
    <x:row r="268">
      <x:c r="A268" s="64" t="str">
        <x:v>​2535518204890275840</x:v>
      </x:c>
      <x:c r="B268" s="65" t="str">
        <x:v>基础题</x:v>
      </x:c>
      <x:c r="C268" s="65" t="str">
        <x:v>基础题</x:v>
      </x:c>
      <x:c r="D268" s="65" t="str">
        <x:v>基础题</x:v>
      </x:c>
      <x:c r="E268" s="65" t="str">
        <x:v>保留原GPT裁定</x:v>
      </x:c>
      <x:c r="F268" s="65" t="str">
        <x:v>高</x:v>
      </x:c>
      <x:c r="G268" s="65" t="str">
        <x:v>中等题</x:v>
      </x:c>
      <x:c r="H268" s="65" t="str">
        <x:v>基础题</x:v>
      </x:c>
      <x:c r="I268" s="65" t="str">
        <x:v>题干、解析与结构证据支持基础题：step=1-2步，题型=概念判断，状态=单状态，约束=无约束，推理=简单因果推理。教师、盲评和多次模型证据中未形成足以推翻原裁定的同向结构证据。</x:v>
      </x:c>
      <x:c r="J268" s="65" t="str">
        <x:v>未进入三次错题并集；逐题结构一致性复核</x:v>
      </x:c>
      <x:c r="K268" s="63" t="str">
        <x:v>下列情况中，属于一对平衡力的是（ ）</x:v>
      </x:c>
      <x:c r="L268" s="63" t="str">
        <x:v>A. 静止在桌面上的书，书对桌面的压力和书的重力 B. 在平直公路上匀速行驶的汽车所受的牵引力和重力 C. 围棋课教学演示时，吸附在竖直悬挂的磁性棋盘上的棋子所受的磁力和支持力 D. 保持挺举动作的举重运动员，运动员的重力和地面对他的支持力</x:v>
      </x:c>
      <x:c r="M268" s="63" t="str">
        <x:v>解： A、静止在桌面上的书，书对桌面的压力和书的重力没有作用在同一个物体上，方向也相同，所以不是平衡力，故A错误； B、在平直公路上匀速行驶的汽车所受的牵引力和重力，这两个力的方向是垂直的，不是平衡力，故B错误； C、围棋课教学演示时，吸附在竖直悬挂的磁性棋盘上的棋子所受的磁力和支持力，这两个大小相等、方向相反、同一直线，作用在同一个物体上，是一对平衡力，故C正确； D、保持挺举动作的举重运动员，运动员的重力要小于地面对他的支持力，不是平衡力，故D错误。 故选：C。</x:v>
      </x:c>
      <x:c r="N268" s="63" t="str">
        <x:v>https://k12static.xdf.cn/k12/image/externalized/6a6375ca-9ab1-4abb-8217-0dbd83134812.png</x:v>
      </x:c>
      <x:c r="O268" s="63" t="str">
        <x:v>https://k12static.xdf.cn/k12/image/externalized/451b69b8-d670-4220-a629-12d81c8a79c7.png</x:v>
      </x:c>
      <x:c r="P268" s="63" t="str">
        <x:v>1-2步</x:v>
      </x:c>
      <x:c r="Q268" s="63" t="str">
        <x:v>概念判断</x:v>
      </x:c>
      <x:c r="R268" s="63" t="str">
        <x:v>单状态</x:v>
      </x:c>
      <x:c r="S268" s="63" t="str">
        <x:v>无约束</x:v>
      </x:c>
      <x:c r="T268" s="63" t="str">
        <x:v>无</x:v>
      </x:c>
      <x:c r="U268" s="63" t="str">
        <x:v>无</x:v>
      </x:c>
      <x:c r="V268" s="63" t="str">
        <x:v>简单因果推理</x:v>
      </x:c>
    </x:row>
    <x:row r="269">
      <x:c r="A269" s="64" t="str">
        <x:v>​2535521634762641408</x:v>
      </x:c>
      <x:c r="B269" s="65" t="str">
        <x:v>基础题</x:v>
      </x:c>
      <x:c r="C269" s="65" t="str">
        <x:v>基础题</x:v>
      </x:c>
      <x:c r="D269" s="65" t="str">
        <x:v>基础题</x:v>
      </x:c>
      <x:c r="E269" s="65" t="str">
        <x:v>保留原GPT裁定</x:v>
      </x:c>
      <x:c r="F269" s="65" t="str">
        <x:v>高</x:v>
      </x:c>
      <x:c r="G269" s="65" t="str">
        <x:v>中等题</x:v>
      </x:c>
      <x:c r="H269" s="65" t="str">
        <x:v>基础题</x:v>
      </x:c>
      <x:c r="I269" s="65" t="str">
        <x:v>题干、解析与结构证据支持基础题：step=1-2步，题型=概念判断，状态=单状态，约束=无约束，推理=简单因果推理。教师、盲评和多次模型证据中未形成足以推翻原裁定的同向结构证据。</x:v>
      </x:c>
      <x:c r="J269" s="65" t="str">
        <x:v>未进入三次错题并集；逐题结构一致性复核</x:v>
      </x:c>
      <x:c r="K269" s="63" t="str">
        <x:v>中华民族有着悠久的文明历史，中国古代人民对于自然现象进行观察和研究，留下了许多有名的诗句、俗语，下列是对相应物理本质的解释，其中正确的是（ ）</x:v>
      </x:c>
      <x:c r="L269" s="63" t="str">
        <x:v>A. “山顶有泉，煮米不成饭”——山顶气压比较高，导致水的沸点较低 B. “小小秤砣压千斤”——秤砣虽小能压千斤，是杠杆平衡条件的应用 C. “磨刀不误砍柴工”——刀刃磨锋利，减小受力面积，从而增大压强 D. “八月秋高风怒号，卷我屋上三重茅”——气体流速增大，压强增大</x:v>
      </x:c>
      <x:c r="M269" s="63" t="str">
        <x:v>解：A、由于大气压随高度的增加而减小，所以在山顶气压低，液体的沸点也低，所以水沸腾时温度低，不能把食物煮熟，故A错误； B、根据杠杆平衡的条件动力×动力臂=阻力×阻力臂，秤砣对秤杆作用的力臂比所挂物对秤杆作用的力臂大的多，则用较小的秤砣可以使挂较重物体的杠杆平衡，与科学知识吻合，故B正确； C、刀刃磨得很多锋利是为了在压力一定时，减小受力面积，增大压强，故C正确； D、风刮过屋顶，屋顶上方的空气流动速度大、压强小；屋内空气流动速度小、压强大，屋顶受到向上的压强大于向下的压强，受到的向上的压力大于向下的压力，产生一个向上的压力差，将茅草吸上去，故D错误。 故选：BC。</x:v>
      </x:c>
      <x:c r="N269" s="63" t="str">
        <x:v>https://k12static.xdf.cn/k12/image/externalized/0753fe93-9a62-428c-b4b9-dfbbd174d727.png</x:v>
      </x:c>
      <x:c r="O269" s="63" t="str">
        <x:v>https://k12static.xdf.cn/k12/image/externalized/cb10c30e-a2a0-4e80-92a1-cc5bb4afefc5.png</x:v>
      </x:c>
      <x:c r="P269" s="63" t="str">
        <x:v>1-2步</x:v>
      </x:c>
      <x:c r="Q269" s="63" t="str">
        <x:v>概念判断</x:v>
      </x:c>
      <x:c r="R269" s="63" t="str">
        <x:v>单状态</x:v>
      </x:c>
      <x:c r="S269" s="63" t="str">
        <x:v>无约束</x:v>
      </x:c>
      <x:c r="T269" s="63" t="str">
        <x:v>无</x:v>
      </x:c>
      <x:c r="U269" s="63" t="str">
        <x:v>无</x:v>
      </x:c>
      <x:c r="V269" s="63" t="str">
        <x:v>简单因果推理</x:v>
      </x:c>
    </x:row>
    <x:row r="270">
      <x:c r="A270" s="64" t="str">
        <x:v>​2538890199542050816</x:v>
      </x:c>
      <x:c r="B270" s="65" t="str">
        <x:v>拔高题</x:v>
      </x:c>
      <x:c r="C270" s="65" t="str">
        <x:v>拔高题</x:v>
      </x:c>
      <x:c r="D270" s="65" t="str">
        <x:v>拔高题</x:v>
      </x:c>
      <x:c r="E270" s="65" t="str">
        <x:v>保留原GPT裁定</x:v>
      </x:c>
      <x:c r="F270" s="65" t="str">
        <x:v>高</x:v>
      </x:c>
      <x:c r="G270" s="65" t="str">
        <x:v>压轴题</x:v>
      </x:c>
      <x:c r="H270" s="65" t="str">
        <x:v>拔高题</x:v>
      </x:c>
      <x:c r="I270" s="65" t="str">
        <x:v>题干、解析与结构证据支持拔高题：step=3-5步，题型=力学综合，状态=单状态，约束=多约束，推理=多层因果推理。教师、盲评和多次模型证据中未形成足以推翻原裁定的同向结构证据。</x:v>
      </x:c>
      <x:c r="J270" s="65" t="str">
        <x:v>未进入三次错题并集；逐题结构一致性复核</x:v>
      </x:c>
      <x:c r="K270" s="63" t="str">
        <x:v>用水平力F1拉动如图所示装置，使木板A在粗糙水平面上向右匀速运动，物块B在木板A上表面相对地面静止，连接B与竖直墙壁之间的水平绳的拉力大小为F2。不计滑轮重和绳重，滑轮轴光滑。则F1与F2的大小关系是（ ）</x:v>
      </x:c>
      <x:c r="L270" s="63" t="str">
        <x:v>A. F1=F2 B. F2＜F1＜2F2 C. F1=2F2 D. F1＞2F2</x:v>
      </x:c>
      <x:c r="M270" s="63" t="str">
        <x:v>解：由图知， （1）动滑轮在水平方向上受到三个力的作用：水平向右的拉力F1，墙壁对它水平向左的拉力F墙，木板A对它水平向左的拉力F木板， 由于木板向右匀速运动，所以F1=F墙+F木板， 由于同一根绳子各处的拉力相等，所以F木板=$\frac{1}{2}$F1， 由于力的作用是相互的，所以动滑轮对木板A的拉力为F动=F木板=$\frac{1}{2}$F1----------①； （2）物块B在水平方向上受到两个力的作用：绳子对它向左的拉力F2，木板A对它向右的摩擦力fA对B；由于物块B保持静止，所以F2=fA对B； 木板A在水平方向上受到三个力的作用：动滑轮对木板向右的拉力F动，物体B对木板向左的摩擦力fB对A，地面对木板向左的摩擦力f地面， 由于木板向右匀速运动，所以F动=fB对A+f地面-----------② 由于力的作用是相互的，所以fB对A=fA对B=F2----------③ 由②③可得F动=F2+f地面， 即$\frac{1}{2}$F1=F2+f地面， 也就是F1=2F2+2f地面， 所以F1＞2F2。 故选：D。</x:v>
      </x:c>
      <x:c r="N270" s="63" t="str">
        <x:v>https://k12static.xdf.cn/k12/image/externalized/74f4286c-d37c-43d4-be27-3c0ff3adf99b.png</x:v>
      </x:c>
      <x:c r="O270" s="63" t="str">
        <x:v>https://k12static.xdf.cn/k12/image/externalized/ac49e5db-fccc-4bc7-bddc-ac85482b56fb.png</x:v>
      </x:c>
      <x:c r="P270" s="63" t="str">
        <x:v>3-5步</x:v>
      </x:c>
      <x:c r="Q270" s="63" t="str">
        <x:v>力学综合</x:v>
      </x:c>
      <x:c r="R270" s="63" t="str">
        <x:v>单状态</x:v>
      </x:c>
      <x:c r="S270" s="63" t="str">
        <x:v>多约束</x:v>
      </x:c>
      <x:c r="T270" s="63" t="str">
        <x:v>无</x:v>
      </x:c>
      <x:c r="U270" s="63" t="str">
        <x:v>无</x:v>
      </x:c>
      <x:c r="V270" s="63" t="str">
        <x:v>多层因果推理</x:v>
      </x:c>
    </x:row>
    <x:row r="271">
      <x:c r="A271" s="64" t="str">
        <x:v>​2558509707486060544</x:v>
      </x:c>
      <x:c r="B271" s="65" t="str">
        <x:v>中等题</x:v>
      </x:c>
      <x:c r="C271" s="65" t="str">
        <x:v>中等题</x:v>
      </x:c>
      <x:c r="D271" s="65" t="str">
        <x:v>中等题</x:v>
      </x:c>
      <x:c r="E271" s="65" t="str">
        <x:v>保留原GPT裁定</x:v>
      </x:c>
      <x:c r="F271" s="65" t="str">
        <x:v>高</x:v>
      </x:c>
      <x:c r="G271" s="65" t="str">
        <x:v>基础题</x:v>
      </x:c>
      <x:c r="H271" s="65" t="str">
        <x:v>中等题</x:v>
      </x:c>
      <x:c r="I271" s="65" t="str">
        <x:v>题干、解析与结构证据支持中等题：step=3-5步，题型=力学综合，状态=单状态，约束=单一约束，推理=多层因果推理。教师、盲评和多次模型证据中未形成足以推翻原裁定的同向结构证据。</x:v>
      </x:c>
      <x:c r="J271" s="65" t="str">
        <x:v>未进入三次错题并集；逐题结构一致性复核</x:v>
      </x:c>
      <x:c r="K271" s="63" t="str">
        <x:v>如图所示的三个滑轮分别拉同一物体沿同一水平地面做匀速直线运动，所用的拉力分别为F1，F2，F3，不计滑轮重及绳与滑轮间摩擦，那么，下列关系式中正确的是（ ）</x:v>
      </x:c>
      <x:c r="L271" s="63" t="str">
        <x:v>A. F1＞F2＞F3 B. F1＜F2＜F3 C. F2＞F1＞F3 D. F2＜F1＜F3</x:v>
      </x:c>
      <x:c r="M271" s="63" t="str">
        <x:v>解：第一个图中滑轮为定滑轮，因为定滑轮相当于一个等臂杠杆，不能省力， 所以根据二力平衡，此时拉力F1=f； 第二个图中滑轮为动滑轮，因为动滑轮可省一半的力， 所以根据二力平衡，此时拉力F2=$\frac{1}{2}$f； 第三个图中滑轮为动滑轮，由二力平衡可知此时的拉力等于两股绳子向左的拉力，即F3=2f； 由此可得F2＜F1＜F3。 故选：D。</x:v>
      </x:c>
      <x:c r="N271" s="63" t="str">
        <x:v>https://k12static.xdf.cn/k12/image/externalized/4c26ef46-17b1-4cb7-8542-34b2b16e665e.png</x:v>
      </x:c>
      <x:c r="O271" s="63" t="str">
        <x:v>https://k12static.xdf.cn/k12/image/externalized/9a6b228d-9020-407a-abf3-1c7022d2e3a9.png</x:v>
      </x:c>
      <x:c r="P271" s="63" t="str">
        <x:v>3-5步</x:v>
      </x:c>
      <x:c r="Q271" s="63" t="str">
        <x:v>力学综合</x:v>
      </x:c>
      <x:c r="R271" s="63" t="str">
        <x:v>单状态</x:v>
      </x:c>
      <x:c r="S271" s="63" t="str">
        <x:v>单一约束</x:v>
      </x:c>
      <x:c r="T271" s="63" t="str">
        <x:v>无</x:v>
      </x:c>
      <x:c r="U271" s="63" t="str">
        <x:v>无</x:v>
      </x:c>
      <x:c r="V271" s="63" t="str">
        <x:v>多层因果推理</x:v>
      </x:c>
    </x:row>
    <x:row r="272">
      <x:c r="A272" s="64" t="str">
        <x:v>​2564457131352829952</x:v>
      </x:c>
      <x:c r="B272" s="65" t="str">
        <x:v>中等题</x:v>
      </x:c>
      <x:c r="C272" s="65" t="str">
        <x:v>中等题</x:v>
      </x:c>
      <x:c r="D272" s="65" t="str">
        <x:v>中等题</x:v>
      </x:c>
      <x:c r="E272" s="65" t="str">
        <x:v>保留原GPT裁定</x:v>
      </x:c>
      <x:c r="F272" s="65" t="str">
        <x:v>高</x:v>
      </x:c>
      <x:c r="G272" s="65" t="str">
        <x:v>基础题</x:v>
      </x:c>
      <x:c r="H272" s="65" t="str">
        <x:v>中等题</x:v>
      </x:c>
      <x:c r="I272" s="65" t="str">
        <x:v>题干、解析与结构证据支持中等题：step=3-5步，题型=概念判断，状态=双状态，约束=单一约束，推理=多层因果推理。教师、盲评和多次模型证据中未形成足以推翻原裁定的同向结构证据。</x:v>
      </x:c>
      <x:c r="J272" s="65" t="str">
        <x:v>未进入三次错题并集；逐题结构一致性复核</x:v>
      </x:c>
      <x:c r="K272" s="63" t="str">
        <x:v>如图所示电路，闭合开关S1、S2，小灯泡L1和L2均正常发光，两电表都有示数。下列判断正确的是（ ）</x:v>
      </x:c>
      <x:c r="L272" s="63" t="str">
        <x:v>A. 电流表A1只测量灯L2的电流 B. 电流表A2的示数比A1的大 C. 灯L2被断路时灯L1也不工作 D. 仅断开S2时两电表示数相同</x:v>
      </x:c>
      <x:c r="M272" s="63" t="str">
        <x:v>解：AB．小灯泡L1和L2并联，电流表A1测干路电流，电流表A2测L1支路电流，根据并联电路电流规律可知电流表A2的示数比A1的小，故AB错误； C．小灯泡L1和L2并联，并联电路各支路独立工作，互不影响，灯L2被断路时灯L1仍正常发光，故C错误； D．仅断开S2时两电表均串联在电路中，电路中仅L1工作，串联电路中电流处处相等，所以两电表示数相同，故D正确。 故选D。</x:v>
      </x:c>
      <x:c r="N272" s="63" t="str">
        <x:v>https://k12static.xdf.cn/k12/image/externalized/ee32e06d-1d65-4f49-b7ba-dd04beb1083e.png</x:v>
      </x:c>
      <x:c r="O272" s="63" t="str">
        <x:v>https://k12static.xdf.cn/k12/image/externalized/462e1b72-9e71-4bd5-8768-43f66e3000e6.png</x:v>
      </x:c>
      <x:c r="P272" s="63" t="str">
        <x:v>3-5步</x:v>
      </x:c>
      <x:c r="Q272" s="63" t="str">
        <x:v>概念判断</x:v>
      </x:c>
      <x:c r="R272" s="63" t="str">
        <x:v>双状态</x:v>
      </x:c>
      <x:c r="S272" s="63" t="str">
        <x:v>单一约束</x:v>
      </x:c>
      <x:c r="T272" s="63" t="str">
        <x:v>无</x:v>
      </x:c>
      <x:c r="U272" s="63" t="str">
        <x:v>无</x:v>
      </x:c>
      <x:c r="V272" s="63" t="str">
        <x:v>多层因果推理</x:v>
      </x:c>
    </x:row>
    <x:row r="273">
      <x:c r="A273" s="64" t="str">
        <x:v>​2565916043587117056</x:v>
      </x:c>
      <x:c r="B273" s="65" t="str">
        <x:v>拔高题</x:v>
      </x:c>
      <x:c r="C273" s="65" t="str">
        <x:v>拔高题</x:v>
      </x:c>
      <x:c r="D273" s="65" t="str">
        <x:v>拔高题</x:v>
      </x:c>
      <x:c r="E273" s="65" t="str">
        <x:v>逐题复核后保留GPT裁定</x:v>
      </x:c>
      <x:c r="F273" s="65" t="str">
        <x:v>高</x:v>
      </x:c>
      <x:c r="G273" s="65" t="str">
        <x:v>中等题</x:v>
      </x:c>
      <x:c r="H273" s="65" t="str">
        <x:v>拔高题</x:v>
      </x:c>
      <x:c r="I273" s="65" t="str">
        <x:v>最高难任务在力学模型、运动/受力与能量关系中包含图线反推、状态转换、误差评价、几何/等效转换、方程联立或参数反求等决定性卡点，整体约5—6个有效决策；尚未形成压轴所需的完整复杂约束网络。</x:v>
      </x:c>
      <x:c r="J273" s="65" t="str">
        <x:v>三次运行错题并集逐题复核</x:v>
      </x:c>
      <x:c r="K273" s="63" t="str">
        <x:v>如图所示，AB=BC，石头对杠杆的阻力F压，且方向垂直于杠杆。如在D端施加不同方向的外力，用杠杆撬起石头（忽略杠杆的质量）。其中F1和F3沿竖直方向，F2和F4垂直于杠杆，则这些外力（ ）</x:v>
      </x:c>
      <x:c r="L273" s="63" t="str">
        <x:v>A. F1最小 B. F2最小 C. F3最小 D. F4最小</x:v>
      </x:c>
      <x:c r="M273" s="63" t="str">
        <x:v>解：根据杠杆平衡条件可知，在阻力跟阻力臂的乘积一定时，动力臂越长，动力越小。 由图可知，以A为支点时，动力的方向向上，有F4、F3两个力，F4的力臂（AD）大于F3的力臂，则F4大于F3； 以C为支点时，动力的方向向下，有F1、F2两个力，F2的力臂（CD）大于F1的力臂，则F2大于F1； AB=BC，则以上两种情况下，阻力和阻力臂的乘积不变，以A为支点时，最长动力臂为AD，以C为支点时，最长动力臂为CD， 显然，AD大于CD，所以动力F4最小。 故选：D。</x:v>
      </x:c>
      <x:c r="N273" s="63" t="str">
        <x:v>https://k12static.xdf.cn/k12/image/externalized/626b9d45-1f9b-4e0a-81f0-80045033da73.png</x:v>
      </x:c>
      <x:c r="O273" s="63" t="str">
        <x:v>https://k12static.xdf.cn/k12/image/externalized/b492a7a8-4340-40d4-abbd-972b834c5dc2.png</x:v>
      </x:c>
      <x:c r="P273" s="63" t="str">
        <x:v>3-5步</x:v>
      </x:c>
      <x:c r="Q273" s="63" t="str">
        <x:v>力学综合</x:v>
      </x:c>
      <x:c r="R273" s="63" t="str">
        <x:v>双状态</x:v>
      </x:c>
      <x:c r="S273" s="63" t="str">
        <x:v>单一约束</x:v>
      </x:c>
      <x:c r="T273" s="63" t="str">
        <x:v>无</x:v>
      </x:c>
      <x:c r="U273" s="63" t="str">
        <x:v>无</x:v>
      </x:c>
      <x:c r="V273" s="63" t="str">
        <x:v>多层因果推理</x:v>
      </x:c>
    </x:row>
    <x:row r="274">
      <x:c r="A274" s="64" t="str">
        <x:v>​2567432008514449408</x:v>
      </x:c>
      <x:c r="B274" s="65" t="str">
        <x:v>基础题</x:v>
      </x:c>
      <x:c r="C274" s="65" t="str">
        <x:v>基础题</x:v>
      </x:c>
      <x:c r="D274" s="65" t="str">
        <x:v>基础题</x:v>
      </x:c>
      <x:c r="E274" s="65" t="str">
        <x:v>保留原GPT裁定</x:v>
      </x:c>
      <x:c r="F274" s="65" t="str">
        <x:v>高</x:v>
      </x:c>
      <x:c r="G274" s="65" t="str">
        <x:v>中等题</x:v>
      </x:c>
      <x:c r="H274" s="65" t="str">
        <x:v>基础题</x:v>
      </x:c>
      <x:c r="I274" s="65" t="str">
        <x:v>题干、解析与结构证据支持基础题：step=1-2步，题型=概念判断，状态=单状态，约束=无约束，推理=简单因果推理。教师、盲评和多次模型证据中未形成足以推翻原裁定的同向结构证据。</x:v>
      </x:c>
      <x:c r="J274" s="65" t="str">
        <x:v>未进入三次错题并集；逐题结构一致性复核</x:v>
      </x:c>
      <x:c r="K274" s="63" t="str">
        <x:v>如图所示，餐厅厨师在制作水果冰淇淋时会向碗中添加沸点为-196℃的液态氮，可以观察到碗中液态氮沸腾，同时碗外壁出现白霜。下列说法正确的是（ ）</x:v>
      </x:c>
      <x:c r="L274" s="63" t="str">
        <x:v>A. 碗中的液态氮在该过程中发生了汽化现象 B. 碗中的冰激凌液在凝固过程中吸收热量 C. 碗中的液态氮不断吸收热量，温度不断升高 D. 碗外壁的白霜是空气遇冷凝华形成的</x:v>
      </x:c>
      <x:c r="M274" s="63" t="str">
        <x:v>解：A、碗中的液态氮在该过程中发生了汽化现象，故A正确； B、碗中的冰激凌液在凝固过程中放出热量，故B错误； C、碗中的液态氮不断吸收热量，温度不变，故C错误； D、碗外壁的白霜是水蒸气遇冷凝华形成的，故D错误。 故选：A。</x:v>
      </x:c>
      <x:c r="N274" s="63" t="str">
        <x:v>https://k12static.xdf.cn/k12/image/externalized/175792c0-4591-418c-9cb7-0feb761ef2fb.png</x:v>
      </x:c>
      <x:c r="O274" s="63" t="str">
        <x:v>https://k12static.xdf.cn/k12/image/externalized/df3c2d1a-bd2b-4ca0-934e-0b1877155800.png</x:v>
      </x:c>
      <x:c r="P274" s="63" t="str">
        <x:v>1-2步</x:v>
      </x:c>
      <x:c r="Q274" s="63" t="str">
        <x:v>概念判断</x:v>
      </x:c>
      <x:c r="R274" s="63" t="str">
        <x:v>单状态</x:v>
      </x:c>
      <x:c r="S274" s="63" t="str">
        <x:v>无约束</x:v>
      </x:c>
      <x:c r="T274" s="63" t="str">
        <x:v>无</x:v>
      </x:c>
      <x:c r="U274" s="63" t="str">
        <x:v>无</x:v>
      </x:c>
      <x:c r="V274" s="63" t="str">
        <x:v>简单因果推理</x:v>
      </x:c>
    </x:row>
    <x:row r="275">
      <x:c r="A275" s="64" t="str">
        <x:v>​2568580420553977856</x:v>
      </x:c>
      <x:c r="B275" s="65" t="str">
        <x:v>送分题</x:v>
      </x:c>
      <x:c r="C275" s="65" t="str">
        <x:v>送分题</x:v>
      </x:c>
      <x:c r="D275" s="65" t="str">
        <x:v>送分题</x:v>
      </x:c>
      <x:c r="E275" s="65" t="str">
        <x:v>保留原GPT裁定</x:v>
      </x:c>
      <x:c r="F275" s="65" t="str">
        <x:v>中</x:v>
      </x:c>
      <x:c r="G275" s="65" t="str">
        <x:v>送分题</x:v>
      </x:c>
      <x:c r="H275" s="65" t="str">
        <x:v>基础题</x:v>
      </x:c>
      <x:c r="I275" s="65" t="str">
        <x:v>题干、解析与结构证据支持送分题：step=1-2步，题型=概念判断，状态=单状态，约束=无约束，推理=直接套用。教师、盲评和多次模型证据中未形成足以推翻原裁定的同向结构证据。</x:v>
      </x:c>
      <x:c r="J275" s="65" t="str">
        <x:v>未进入三次错题并集；逐题结构一致性复核</x:v>
      </x:c>
      <x:c r="K275" s="63" t="str">
        <x:v>如图所示的装置，其中一个瓶子装有密度比空气大的红棕色二氧化氮气体，另一个装有空气。演示扩散现象时应该把装有二氧化氮气体的瓶子放在 （选填“上”或“下”）方。抽掉玻璃板后，经过一段时间可以明显观察到上下两个瓶子内气体的颜色变均匀，这种现象说明 。</x:v>
      </x:c>
      <x:c r="L275" s="63" t="str"/>
      <x:c r="M275" s="63" t="str">
        <x:v>解： 密度小的空气和密度大的二氧化氮过一段时间，形成比较均匀的气体，这是扩散现象，扩散现象说明分子不停地进行无规则运动；上面的空气密度小，下面的二氧化氮密度大，过一段时间，形成均匀的气体，充分证明气体分子不停地进行无规则运动，有力证明气体的扩散现象。 故答案为：下；分子在不停地做无规则运动。</x:v>
      </x:c>
      <x:c r="N275" s="63" t="str">
        <x:v>https://k12static.xdf.cn/k12/image/externalized/f5898c92-5380-46e5-8975-15f044abb59f.png</x:v>
      </x:c>
      <x:c r="O275" s="63" t="str">
        <x:v>https://k12static.xdf.cn/k12/image/externalized/e3e5ff86-7f57-4c6b-8191-fe0783044506.png</x:v>
      </x:c>
      <x:c r="P275" s="63" t="str">
        <x:v>1-2步</x:v>
      </x:c>
      <x:c r="Q275" s="63" t="str">
        <x:v>概念判断</x:v>
      </x:c>
      <x:c r="R275" s="63" t="str">
        <x:v>单状态</x:v>
      </x:c>
      <x:c r="S275" s="63" t="str">
        <x:v>无约束</x:v>
      </x:c>
      <x:c r="T275" s="63" t="str">
        <x:v>无</x:v>
      </x:c>
      <x:c r="U275" s="63" t="str">
        <x:v>无</x:v>
      </x:c>
      <x:c r="V275" s="63" t="str">
        <x:v>直接套用</x:v>
      </x:c>
    </x:row>
    <x:row r="276">
      <x:c r="A276" s="64" t="str">
        <x:v>​2570768226378424320</x:v>
      </x:c>
      <x:c r="B276" s="65" t="str">
        <x:v>拔高题</x:v>
      </x:c>
      <x:c r="C276" s="65" t="str">
        <x:v>拔高题</x:v>
      </x:c>
      <x:c r="D276" s="65" t="str">
        <x:v>拔高题</x:v>
      </x:c>
      <x:c r="E276" s="65" t="str">
        <x:v>逐题复核后保留GPT裁定</x:v>
      </x:c>
      <x:c r="F276" s="65" t="str">
        <x:v>高</x:v>
      </x:c>
      <x:c r="G276" s="65" t="str">
        <x:v>拔高题</x:v>
      </x:c>
      <x:c r="H276" s="65" t="str">
        <x:v>拔高题</x:v>
      </x:c>
      <x:c r="I276" s="65" t="str">
        <x:v>存在决定性反推/等效/误差/几何转换，或同一装置中的5—6步高密度综合链。 题目证据：最高难选项实际有效物理决策约5步，五维中知识量达到4个及以上、过程为多对象受力分析、思维层次达到综合应用，数学工具为多公式串联计算。最长连续链为：确定绳子段数n→由机械效率公式推导拉力大小→对工人受力分析求对地面压力，或对定滑轮受力分析求支架拉力→求绳端速度并计算拉力功率→计算物体上升高度并求有用功，属于同一装置下的多对象多分析任务，其中选项B需要对定滑轮单独进行受力分析，属于较隐蔽的多对象约束。</x:v>
      </x:c>
      <x:c r="J276" s="65" t="str">
        <x:v>三次运行错题并集逐题复核</x:v>
      </x:c>
      <x:c r="K276" s="63" t="str">
        <x:v>如图所示的滑轮组悬挂在水平支架上，某工人站在水平地面上，竖直向下拉动绳子自由端使物体A以0.25m/s的速度匀速上升，提升过程中滑轮组的机械效率为80%。已知物体A重640N，该工人重650N，两个滑轮质量相等，不计滑轮组的绳重和摩擦，关于该过程下列说法中正确的是（ ）</x:v>
      </x:c>
      <x:c r="L276" s="63" t="str">
        <x:v>A. 该工人对地面的压力为250N B. 支架受到滑轮组的拉力为960N C. 绳子自由端拉力的功率为200W D. 2s内滑轮组对物体A做的功为320J</x:v>
      </x:c>
      <x:c r="M276" s="63" t="str">
        <x:v>解：A、由图可知n=2，根据η=$\frac{{W}_{有}}{{W}_{总}}$=$\frac{Gh}{Fs}$=$\frac{Gh}{Fnh}$=$\frac{G}{nF}$可得， 拉力的大小为：F=$\frac{G}{nη}$=$\frac{640N}{2×80\% }$=400N， 工人对水平地面的压力为：F′=G人-F=650N-400N=250N，故A正确； B、不计滑轮组的绳重和摩擦，根据F=$\frac{1}{n}$（G+G动）可得， 动滑轮的重力为：G动=nF-G=2×400N-640N=160N， 则定滑轮的重力为：G定=G动=160N， 以定滑轮为研究对象，定滑轮受到三段绳子向下的拉力和定滑轮的重力、支架对定滑轮向上的拉力作用，处于平衡状态，根据力的平衡条件可得： 支架对定滑轮向上的拉力为：F拉=3F+G定=3×400N+160N=1360N，故B错误； C、绳子自由端的移动速度为：v=nv物=2×0.25m/s=0.5m/s, 拉力的功率为：P=Fv=400N×0.5m/s=200W，故C正确； D、物体A以0.25m/s的速度匀速上升，2s内物体A上升的高度为： h=v物t=0.25m/s×2s=0.5m, 则2s内滑轮组对物体A做的功为： W=Gh=640N×0.5m=320J，故D正确。 故选：ACD。</x:v>
      </x:c>
      <x:c r="N276" s="63" t="str">
        <x:v>https://k12static.xdf.cn/k12/image/externalized/b639edce-abcd-4f49-b8c8-d2063cf1ff9c.png</x:v>
      </x:c>
      <x:c r="O276" s="63" t="str">
        <x:v>https://k12static.xdf.cn/k12/image/externalized/5afb9a31-3529-4138-baec-65db23722344.png</x:v>
      </x:c>
      <x:c r="P276" s="63" t="str">
        <x:v>3-5步</x:v>
      </x:c>
      <x:c r="Q276" s="63" t="str">
        <x:v>力学综合</x:v>
      </x:c>
      <x:c r="R276" s="63" t="str">
        <x:v>单状态</x:v>
      </x:c>
      <x:c r="S276" s="63" t="str">
        <x:v>单一约束</x:v>
      </x:c>
      <x:c r="T276" s="63" t="str">
        <x:v>无</x:v>
      </x:c>
      <x:c r="U276" s="63" t="str">
        <x:v>无</x:v>
      </x:c>
      <x:c r="V276" s="63" t="str">
        <x:v>多层因果推理</x:v>
      </x:c>
    </x:row>
    <x:row r="277">
      <x:c r="A277" s="64" t="str">
        <x:v>​2577602805252796416</x:v>
      </x:c>
      <x:c r="B277" s="65" t="str">
        <x:v>基础题</x:v>
      </x:c>
      <x:c r="C277" s="65" t="str">
        <x:v>基础题</x:v>
      </x:c>
      <x:c r="D277" s="65" t="str">
        <x:v>基础题</x:v>
      </x:c>
      <x:c r="E277" s="65" t="str">
        <x:v>保留原GPT裁定</x:v>
      </x:c>
      <x:c r="F277" s="65" t="str">
        <x:v>高</x:v>
      </x:c>
      <x:c r="G277" s="65" t="str">
        <x:v>基础题</x:v>
      </x:c>
      <x:c r="H277" s="65" t="str">
        <x:v>送分题</x:v>
      </x:c>
      <x:c r="I277" s="65" t="str">
        <x:v>题干、解析与结构证据支持基础题：step=1-2步，题型=概念判断，状态=单状态，约束=无约束，推理=简单因果推理。教师、盲评和多次模型证据中未形成足以推翻原裁定的同向结构证据。</x:v>
      </x:c>
      <x:c r="J277" s="65" t="str">
        <x:v>未进入三次错题并集；逐题结构一致性复核</x:v>
      </x:c>
      <x:c r="K277" s="63" t="str">
        <x:v>如图是武汉市欢乐谷的双龙木质过山车，小明在坐过山车时，感到天旋地转，下列有关的说法中正确的是（ ）</x:v>
      </x:c>
      <x:c r="L277" s="63" t="str">
        <x:v>A. 小明感到天旋地转是以轨道为参照物 B. 选择地面为参照物过山车是静止的 C. 小明感到天旋地转是以过山车为参照物 D. 选择过山车上的小明为参照物过山车是运动的</x:v>
      </x:c>
      <x:c r="M277" s="63" t="str">
        <x:v>解： AC、乘坐过山车时，天与地相对于过山车的位置不断变化，则以过山车为参照物，天与地是运动的，所以乘坐过山车时会感到天旋地转，故A错误，C正确； B、运行中的过山车，相对于地面的位置不断变化，所以，选择地面为参照物过山车是运动的，故B错误； D、坐在过山车上的小明与过山车之间没有位置变化，所以，选择过山车上的小明为参照物过山车是静止的，故D错误。 故选：C。</x:v>
      </x:c>
      <x:c r="N277" s="63" t="str">
        <x:v>https://k12static.xdf.cn/k12/image/externalized/6089d28d-e8eb-463c-821d-1212c9c4b51f.png</x:v>
      </x:c>
      <x:c r="O277" s="63" t="str">
        <x:v>https://k12static.xdf.cn/k12/image/externalized/e38d9fbc-5ac3-4457-9afe-db0713f41f5e.png</x:v>
      </x:c>
      <x:c r="P277" s="63" t="str">
        <x:v>1-2步</x:v>
      </x:c>
      <x:c r="Q277" s="63" t="str">
        <x:v>概念判断</x:v>
      </x:c>
      <x:c r="R277" s="63" t="str">
        <x:v>单状态</x:v>
      </x:c>
      <x:c r="S277" s="63" t="str">
        <x:v>无约束</x:v>
      </x:c>
      <x:c r="T277" s="63" t="str">
        <x:v>无</x:v>
      </x:c>
      <x:c r="U277" s="63" t="str">
        <x:v>无</x:v>
      </x:c>
      <x:c r="V277" s="63" t="str">
        <x:v>简单因果推理</x:v>
      </x:c>
    </x:row>
    <x:row r="278">
      <x:c r="A278" s="64" t="str">
        <x:v>​2579044845604360192</x:v>
      </x:c>
      <x:c r="B278" s="65" t="str">
        <x:v>拔高题</x:v>
      </x:c>
      <x:c r="C278" s="65" t="str">
        <x:v>拔高题</x:v>
      </x:c>
      <x:c r="D278" s="65" t="str">
        <x:v>拔高题</x:v>
      </x:c>
      <x:c r="E278" s="65" t="str">
        <x:v>逐题复核后保留GPT裁定</x:v>
      </x:c>
      <x:c r="F278" s="65" t="str">
        <x:v>高</x:v>
      </x:c>
      <x:c r="G278" s="65" t="str">
        <x:v>中等题</x:v>
      </x:c>
      <x:c r="H278" s="65" t="str">
        <x:v>拔高题</x:v>
      </x:c>
      <x:c r="I278" s="65" t="str">
        <x:v>最高难任务在标准实验流程、读数与数据归纳中包含图线反推、状态转换、误差评价、几何/等效转换、方程联立或参数反求等决定性卡点，整体约5—6个有效决策；尚未形成压轴所需的完整复杂约束网络。</x:v>
      </x:c>
      <x:c r="J278" s="65" t="str">
        <x:v>三次运行错题并集逐题复核</x:v>
      </x:c>
      <x:c r="K278" s="63" t="str">
        <x:v>用如图所示的实验装置测量杠杆的机械效率，钩码总重G为1N，钩码上升高度h为0.1m,弹簧测力计移动距离s为0.3m,实验时，竖直向上匀速拉动弹簧测力计，使挂在杠杆A点下面的钩码缓缓上升，实验中将杠杆拉至图中虚线位置，测力计的示数F为0.5N。则下列说法正确的是（ ）</x:v>
      </x:c>
      <x:c r="L278" s="63" t="str">
        <x:v>A. 拉力对杠杆做的额外功为0.1J B. 匀速竖直拉动过程中弹簧测力计示数先变小后变大 C. 若将钩码从A点移到B点，用同样的方式将钩码提升0.1m,则机械效率降低 D. 若将弹簧测力计移到B点，用同样的方式将钩码提升0.1m,则机械效率不变</x:v>
      </x:c>
      <x:c r="M278" s="63" t="str">
        <x:v>解：（1）由图可知，OC为钩码G的力臂，OD为弹簧测力计拉力的力臂， 由△OCA∽△ODE可得：$\frac{OC}{OD}$=$\frac{OA}{OE}$， 由杠杆的平衡条件可得：G×OC=F×OD， 则$\frac{F}{G}$=$\frac{OC}{OD}$=$\frac{OA}{OE}$， 由$\frac{OA}{OE}$和G不变可知，F不变，即匀速竖直拉动过程中弹簧测力计示数不变，故B错误； 拉力做的总功： W总=Fs=0.5N×0.3m=0.15J， 拉力做的有用功： W有=Gh=1.0N×0.1m=0.1J， 拉力对杠杆做的额外功： W额=W总-W有=0.15J-0.1J=0.05J，故A错误； （2）若将钩码从A点移到B点，用同样的方式将钩码提升0.1m时，有用功不变， 此时杠杆上旋的角度减小，杠杆升高的距离变小，克服杆重力做的额外功变小， 由η=$\frac{{W}_{有}}{{W}_{有}+{W}_{额}}$×100%可知，机械效率升高，故C错误； （3）若将弹簧测力计从端点移到B点，用同样的方式将钩码提升0.1m时，有用功不变， 此时杠杆上旋的角度不变，杠杆升高的距离不变，克服杆重力做的额外功不变， 由η=$\frac{{W}_{有}}{{W}_{有}+{W}_{额}}$×100%可知，机械效率不变，故D正确。 故选：D。</x:v>
      </x:c>
      <x:c r="N278" s="63" t="str">
        <x:v>https://k12static.xdf.cn/k12/image/externalized/5a97695b-5921-4d15-b97b-9fceef50cc17.png</x:v>
      </x:c>
      <x:c r="O278" s="63" t="str">
        <x:v>https://k12static.xdf.cn/k12/image/externalized/568df21f-7b6e-4f3f-9d6b-9a188abed2b7.png</x:v>
      </x:c>
      <x:c r="P278" s="63" t="str">
        <x:v>3-5步</x:v>
      </x:c>
      <x:c r="Q278" s="63" t="str">
        <x:v>力学综合</x:v>
      </x:c>
      <x:c r="R278" s="63" t="str">
        <x:v>单状态</x:v>
      </x:c>
      <x:c r="S278" s="63" t="str">
        <x:v>单一约束</x:v>
      </x:c>
      <x:c r="T278" s="63" t="str">
        <x:v>控制变量或故障分析</x:v>
      </x:c>
      <x:c r="U278" s="63" t="str">
        <x:v>无</x:v>
      </x:c>
      <x:c r="V278" s="63" t="str">
        <x:v>多层因果推理</x:v>
      </x:c>
    </x:row>
    <x:row r="279">
      <x:c r="A279" s="64" t="str">
        <x:v>​2580427764291444736</x:v>
      </x:c>
      <x:c r="B279" s="65" t="str">
        <x:v>基础题</x:v>
      </x:c>
      <x:c r="C279" s="65" t="str">
        <x:v>基础题</x:v>
      </x:c>
      <x:c r="D279" s="65" t="str">
        <x:v>基础题</x:v>
      </x:c>
      <x:c r="E279" s="65" t="str">
        <x:v>逐题复核后保留GPT裁定</x:v>
      </x:c>
      <x:c r="F279" s="65" t="str">
        <x:v>高</x:v>
      </x:c>
      <x:c r="G279" s="65" t="str">
        <x:v>基础题</x:v>
      </x:c>
      <x:c r="H279" s="65" t="str">
        <x:v>送分题</x:v>
      </x:c>
      <x:c r="I279" s="65" t="str">
        <x:v>最高难任务为1—2步显性应用、规范操作或简单因果，没有连续模型转换。 题目证据：最高难选项的实际有效推理为1步，五维锚定落在基础档。本题要求每个选项对应物态变化类型，并判断吸放热，每个选项独立完成概念匹配，无多过程关联和复杂推理。</x:v>
      </x:c>
      <x:c r="J279" s="65" t="str">
        <x:v>三次运行错题并集逐题复核</x:v>
      </x:c>
      <x:c r="K279" s="63" t="str">
        <x:v>下列事例中的“小水珠”，形成过程属于吸热现象的是（ ）</x:v>
      </x:c>
      <x:c r="L279" s="63" t="str">
        <x:v>A. 青草上的露珠 B. 烧开水时的锅盖上的水珠 C. 寒冬学生哈出的“白气” D. 冰块上滴落的水珠</x:v>
      </x:c>
      <x:c r="M279" s="63" t="str">
        <x:v>解： A、青草上的露珠是水蒸气液化形成的，液化放热，故A不合题意； B、烧开水时的锅盖上的水珠是水蒸气液化形成的，液化放热，故B不合题意； C、寒冬学生哈出的“白气”是水蒸气液化形成的，液化放热，故C不合题意； D、冰块上滴落的水珠，是固态变为液态，是熔化现象，熔化吸热，故D符合题意。 故选：D。</x:v>
      </x:c>
      <x:c r="N279" s="63" t="str">
        <x:v>https://k12static.xdf.cn/k12/image/externalized/a964db75-ee6d-4837-81fd-d62935d932c3.png</x:v>
      </x:c>
      <x:c r="O279" s="63" t="str">
        <x:v>https://k12static.xdf.cn/k12/image/externalized/299a3979-83dc-45e1-8a90-b903f8d433db.png</x:v>
      </x:c>
      <x:c r="P279" s="63" t="str">
        <x:v>1-2步</x:v>
      </x:c>
      <x:c r="Q279" s="63" t="str">
        <x:v>概念判断</x:v>
      </x:c>
      <x:c r="R279" s="63" t="str">
        <x:v>单状态</x:v>
      </x:c>
      <x:c r="S279" s="63" t="str">
        <x:v>无约束</x:v>
      </x:c>
      <x:c r="T279" s="63" t="str">
        <x:v>无</x:v>
      </x:c>
      <x:c r="U279" s="63" t="str">
        <x:v>无</x:v>
      </x:c>
      <x:c r="V279" s="63" t="str">
        <x:v>简单因果推理</x:v>
      </x:c>
    </x:row>
    <x:row r="280">
      <x:c r="A280" s="64" t="str">
        <x:v>​2580860022081036288</x:v>
      </x:c>
      <x:c r="B280" s="65" t="str">
        <x:v>中等题</x:v>
      </x:c>
      <x:c r="C280" s="65" t="str">
        <x:v>中等题</x:v>
      </x:c>
      <x:c r="D280" s="65" t="str">
        <x:v>中等题</x:v>
      </x:c>
      <x:c r="E280" s="65" t="str">
        <x:v>保留原GPT裁定</x:v>
      </x:c>
      <x:c r="F280" s="65" t="str">
        <x:v>高</x:v>
      </x:c>
      <x:c r="G280" s="65" t="str">
        <x:v>拔高题</x:v>
      </x:c>
      <x:c r="H280" s="65" t="str">
        <x:v>中等题</x:v>
      </x:c>
      <x:c r="I280" s="65" t="str">
        <x:v>题干、解析与结构证据支持中等题：step=3-5步，题型=图像表格分析，状态=双状态，约束=无约束，推理=多层因果推理。教师、盲评和多次模型证据中未形成足以推翻原裁定的同向结构证据。</x:v>
      </x:c>
      <x:c r="J280" s="65" t="str">
        <x:v>未进入三次错题并集；逐题结构一致性复核</x:v>
      </x:c>
      <x:c r="K280" s="63" t="str">
        <x:v>一小球位于x=0m处，t=0时刻沿x轴正方向做直线运动，其运动的v-t图像如图所示。下列说法正确的是（ ）</x:v>
      </x:c>
      <x:c r="L280" s="63" t="str">
        <x:v>A. t=2s时，小球回到原点 B. 小球第2s内的运动路程大于第3s内的运动路程 C. 第2s内和第3s内，小球运动方向相同 D. t=4s时，小球在x=-1m处</x:v>
      </x:c>
      <x:c r="M280" s="63" t="str">
        <x:v>解： A、由题意可知，小球原来位于原点处，t=0时刻沿x轴正方向做直线运动； 由v-t图像可知，前2s内小球沿x轴正方向先做加速运动后做减速运动，t=2s时，小球的速度刚好为0，但没回到原点，故A错误； B、在v-t图像中，图线与时间轴围成的面积等于物体在这段时间内运动的路程；则由图像可知，小球第2s内的运动路程等于第3s内的运动路程，故B错误； C．由图像可知，第2s内小球的速度为正，第3s内小球的速度为负，说明小球的运动方向不同，故C错误； D．由图像可知，前2s内小球沿x轴正方向运动的距离（三角形的面积）：s1=$\frac{1}{2}$×2s×2m/s=2m； 小球在后2s内，小球沿x轴负方向（反方向）先做加速运动后做匀速运动，则小球向负方向运动的距离为（梯形的面积）：s2=$\frac{1}{2}$×（1s+2s）×（-2m/s）=-3m； 所以t=4s时，小球在x=-3m+2m=-1m处，故D正确。 故选：D。</x:v>
      </x:c>
      <x:c r="N280" s="63" t="str">
        <x:v>https://k12static.xdf.cn/k12/image/externalized/1c6f97cf-5af9-4baf-a7da-c2b1cd820983.png</x:v>
      </x:c>
      <x:c r="O280" s="63" t="str">
        <x:v>https://k12static.xdf.cn/k12/image/externalized/683d32c9-e5ef-4779-b8a2-43d62b9d3eef.png</x:v>
      </x:c>
      <x:c r="P280" s="63" t="str">
        <x:v>3-5步</x:v>
      </x:c>
      <x:c r="Q280" s="63" t="str">
        <x:v>图像表格分析</x:v>
      </x:c>
      <x:c r="R280" s="63" t="str">
        <x:v>双状态</x:v>
      </x:c>
      <x:c r="S280" s="63" t="str">
        <x:v>无约束</x:v>
      </x:c>
      <x:c r="T280" s="63" t="str">
        <x:v>无</x:v>
      </x:c>
      <x:c r="U280" s="63" t="str">
        <x:v>多组比较归纳</x:v>
      </x:c>
      <x:c r="V280" s="63" t="str">
        <x:v>多层因果推理</x:v>
      </x:c>
    </x:row>
    <x:row r="281">
      <x:c r="A281" s="64" t="str">
        <x:v>​2581937123458592768</x:v>
      </x:c>
      <x:c r="B281" s="65" t="str">
        <x:v>中等题</x:v>
      </x:c>
      <x:c r="C281" s="65" t="str">
        <x:v>中等题</x:v>
      </x:c>
      <x:c r="D281" s="65" t="str">
        <x:v>中等题</x:v>
      </x:c>
      <x:c r="E281" s="65" t="str">
        <x:v>保留原GPT裁定</x:v>
      </x:c>
      <x:c r="F281" s="65" t="str">
        <x:v>中</x:v>
      </x:c>
      <x:c r="G281" s="65" t="str">
        <x:v>中等题</x:v>
      </x:c>
      <x:c r="H281" s="65" t="str">
        <x:v>基础题</x:v>
      </x:c>
      <x:c r="I281" s="65" t="str">
        <x:v>题干、解析与结构证据支持中等题：step=3-5步，题型=概念判断，状态=单状态，约束=无约束，推理=多层因果推理。教师、盲评和多次模型证据中未形成足以推翻原裁定的同向结构证据。</x:v>
      </x:c>
      <x:c r="J281" s="65" t="str">
        <x:v>未进入三次错题并集；逐题结构一致性复核</x:v>
      </x:c>
      <x:c r="K281" s="63" t="str">
        <x:v>甲、乙两物体质量相同，分别受到竖直向上的拉力作用下，从同一位置同时向上做匀速直线运动，两物体运动的s-t图象如图所示，则下列判断正确的是（ ）</x:v>
      </x:c>
      <x:c r="L281" s="63" t="str">
        <x:v>A. 甲的速度小于乙的速度 B. 甲受到的拉力比乙大 C. 第4s时两者相距12m D. 以甲为参照物，乙竖直向下运动</x:v>
      </x:c>
      <x:c r="M281" s="63" t="str">
        <x:v>解：A、由路程-时间图像知，甲的斜率大于乙的斜率，则甲的速度大于乙的速度，故A错误； B、甲、乙两物体均做匀速直线运动，受到平衡力的作用，受到的重力与拉力大小相等，甲、乙两物体质量相同，则重力相等，所以甲受到的拉力等于乙受到的拉力，故B错误； C、甲、乙从同一位置同时向上做匀速直线运动，4s时两者相距12m-4m=8m,故C错误； D、v甲＞v乙，甲、乙均向上运动，则以甲为参照物乙竖直向下运动，故D正确。 故选：D。</x:v>
      </x:c>
      <x:c r="N281" s="63" t="str">
        <x:v>https://k12static.xdf.cn/k12/image/externalized/34c96010-07ad-4eb3-8244-1db85226495d.png</x:v>
      </x:c>
      <x:c r="O281" s="63" t="str">
        <x:v>https://k12static.xdf.cn/k12/image/externalized/a1a3434c-d71d-4104-9216-150303d48d0b.png</x:v>
      </x:c>
      <x:c r="P281" s="63" t="str">
        <x:v>3-5步</x:v>
      </x:c>
      <x:c r="Q281" s="63" t="str">
        <x:v>概念判断</x:v>
      </x:c>
      <x:c r="R281" s="63" t="str">
        <x:v>单状态</x:v>
      </x:c>
      <x:c r="S281" s="63" t="str">
        <x:v>无约束</x:v>
      </x:c>
      <x:c r="T281" s="63" t="str">
        <x:v>无</x:v>
      </x:c>
      <x:c r="U281" s="63" t="str">
        <x:v>多组比较归纳</x:v>
      </x:c>
      <x:c r="V281" s="63" t="str">
        <x:v>多层因果推理</x:v>
      </x:c>
    </x:row>
    <x:row r="282">
      <x:c r="A282" s="64" t="str">
        <x:v>​2581995890588020736</x:v>
      </x:c>
      <x:c r="B282" s="65" t="str">
        <x:v>基础题</x:v>
      </x:c>
      <x:c r="C282" s="65" t="str">
        <x:v>基础题</x:v>
      </x:c>
      <x:c r="D282" s="65" t="str">
        <x:v>基础题</x:v>
      </x:c>
      <x:c r="E282" s="65" t="str">
        <x:v>保留原GPT裁定</x:v>
      </x:c>
      <x:c r="F282" s="65" t="str">
        <x:v>高</x:v>
      </x:c>
      <x:c r="G282" s="65" t="str">
        <x:v>中等题</x:v>
      </x:c>
      <x:c r="H282" s="65" t="str">
        <x:v>基础题</x:v>
      </x:c>
      <x:c r="I282" s="65" t="str">
        <x:v>题干、解析与结构证据支持基础题：step=1-2步，题型=直接计算，状态=单状态，约束=无约束，推理=简单因果推理。教师、盲评和多次模型证据中未形成足以推翻原裁定的同向结构证据。</x:v>
      </x:c>
      <x:c r="J282" s="65" t="str">
        <x:v>未进入三次错题并集；逐题结构一致性复核</x:v>
      </x:c>
      <x:c r="K282" s="63" t="str">
        <x:v>如图所示为一种身高测量仪，其顶部的感应器竖直向下发射超声波信号，经下方物体反射后返回，被感应器接收。小龙站上测高台，感应器记录信号从发射到接收所经历的时间为4×10-3s。已知感应器到测高台的距离为2.5m,空气中的声速取340m/s,则小龙的身高为（ ）</x:v>
      </x:c>
      <x:c r="L282" s="63" t="str">
        <x:v>A. 0.68m B. 1.14m C. 1.36m D. 1.82m</x:v>
      </x:c>
      <x:c r="M282" s="63" t="str">
        <x:v>解：根据题意可知，超声波信号的速度v=340m/s, 由v=可知，这段时间内声传播的距离：s=vt=340m/s×4×10-3s=1.36m； 感应器与该同学头顶的距离s′=$\frac{1}{2}$s=$\frac{1}{2}$×1.36m=0.68m, 该同学的身高：h=2.5m-0.68m=1.82m。 故选：D。</x:v>
      </x:c>
      <x:c r="N282" s="63" t="str">
        <x:v>https://k12static.xdf.cn/k12/image/externalized/26dc97fe-f0ac-40d6-be28-c516c3638d9e.png</x:v>
      </x:c>
      <x:c r="O282" s="63" t="str">
        <x:v>https://k12static.xdf.cn/k12/image/externalized/61c4d724-aff9-47f1-846f-dde97b9aff01.png</x:v>
      </x:c>
      <x:c r="P282" s="63" t="str">
        <x:v>1-2步</x:v>
      </x:c>
      <x:c r="Q282" s="63" t="str">
        <x:v>直接计算</x:v>
      </x:c>
      <x:c r="R282" s="63" t="str">
        <x:v>单状态</x:v>
      </x:c>
      <x:c r="S282" s="63" t="str">
        <x:v>无约束</x:v>
      </x:c>
      <x:c r="T282" s="63" t="str">
        <x:v>无</x:v>
      </x:c>
      <x:c r="U282" s="63" t="str">
        <x:v>无</x:v>
      </x:c>
      <x:c r="V282" s="63" t="str">
        <x:v>简单因果推理</x:v>
      </x:c>
    </x:row>
    <x:row r="283">
      <x:c r="A283" s="64" t="str">
        <x:v>​2584777513495171072</x:v>
      </x:c>
      <x:c r="B283" s="65" t="str">
        <x:v>拔高题</x:v>
      </x:c>
      <x:c r="C283" s="65" t="str">
        <x:v>拔高题</x:v>
      </x:c>
      <x:c r="D283" s="65" t="str">
        <x:v>拔高题</x:v>
      </x:c>
      <x:c r="E283" s="65" t="str">
        <x:v>保留原GPT裁定</x:v>
      </x:c>
      <x:c r="F283" s="65" t="str">
        <x:v>高</x:v>
      </x:c>
      <x:c r="G283" s="65" t="str">
        <x:v>压轴题</x:v>
      </x:c>
      <x:c r="H283" s="65" t="str">
        <x:v>拔高题</x:v>
      </x:c>
      <x:c r="I283" s="65" t="str">
        <x:v>题干、解析与结构证据支持拔高题：step=3-5步，题型=力学综合，状态=双状态，约束=单一约束，推理=多层因果推理。教师、盲评和多次模型证据中未形成足以推翻原裁定的同向结构证据。</x:v>
      </x:c>
      <x:c r="J283" s="65" t="str">
        <x:v>未进入三次错题并集；逐题结构一致性复核</x:v>
      </x:c>
      <x:c r="K283" s="63" t="str">
        <x:v>如图是在高速公路上用超声波测速仪测量车速的示意图，测速仪发出并接收超声波脉冲信号，根据发出接收到的信号间的时间差，测出被物体的速度。在图中P1、P2是测速仪发出的超声波信号，n1、n2分别是P1、P2反射回来的信号。设测速仪匀速扫描P1、P2之间的时间间隔为一秒。超声波在空气中的传播速度是340m/s,若汽车是匀速行驶的，则（ ）</x:v>
      </x:c>
      <x:c r="L283" s="63" t="str">
        <x:v>A. 小汽车在两次与超声波信号相遇的时间间隔内前进了68m B. 超声波测速仪测得汽车的行驶速度为17.9m/s C. 汽车两次与超声波信号相遇的时间间隔为1.1s D. 汽车第一次与超声波信号相遇时，距测速仪的距离为34m</x:v>
      </x:c>
      <x:c r="M283" s="63" t="str">
        <x:v>解：由图可以看出，P1、P2间的刻度值为30个格，时间长为1秒，发出超声波信号P1到接受到反射信号n1间是6个格，则时间为： t1=6×$\frac{1}{30}$=0.2s, 汽车第一次与超声波信号相遇时，汽车距测速仪的距离为： s1=$\frac{1}{2}$vt1=$\frac{1}{2}$×340m/s×0.2s=34m,故D正确； 发出超声波信号P2到接受到反射信号n2的时间为：t2=12×$\frac{1}{30}$=0.4s, 汽车第二次与超声波信号相遇时，汽车距测速仪的距离为： s2=$\frac{1}{2}$vt2=$\frac{1}{2}$×340m/s×0.4s=68m, 所以汽车接收到P1、P2两个信号之间的时间内前进的距离为：Δs=s2-s1=68m-34m=34m,故A错误； 汽车运行34m的时间为汽车接收到P1、P2两个信号的时刻应分别对应于图中P1n1的中点和P2n2的中点， 其间有33小格，即汽车接收到P1、P2两个信号的时间间隔为n1与n2两个信号之间的间隔， 即：t=33×$\frac{1}{30}$=1.1s,故C正确； 汽车的行驶速度为：v=$\frac{\Delta s}{t}$=$\frac{34m}{1.1s}$≈30.9m/s,故B错误。 故选：CD。</x:v>
      </x:c>
      <x:c r="N283" s="63" t="str">
        <x:v>https://k12static.xdf.cn/k12/image/externalized/4a5d6daa-2f0f-472b-85d7-583954667098.png</x:v>
      </x:c>
      <x:c r="O283" s="63" t="str">
        <x:v>https://k12static.xdf.cn/k12/image/externalized/a9b699b9-371c-4196-ad69-cd5c2c14ad8d.png</x:v>
      </x:c>
      <x:c r="P283" s="63" t="str">
        <x:v>3-5步</x:v>
      </x:c>
      <x:c r="Q283" s="63" t="str">
        <x:v>力学综合</x:v>
      </x:c>
      <x:c r="R283" s="63" t="str">
        <x:v>双状态</x:v>
      </x:c>
      <x:c r="S283" s="63" t="str">
        <x:v>单一约束</x:v>
      </x:c>
      <x:c r="T283" s="63" t="str">
        <x:v>无</x:v>
      </x:c>
      <x:c r="U283" s="63" t="str">
        <x:v>图像反推或外推</x:v>
      </x:c>
      <x:c r="V283" s="63" t="str">
        <x:v>多层因果推理</x:v>
      </x:c>
    </x:row>
    <x:row r="284">
      <x:c r="A284" s="64" t="str">
        <x:v>​2585177010532540416</x:v>
      </x:c>
      <x:c r="B284" s="65" t="str">
        <x:v>压轴题</x:v>
      </x:c>
      <x:c r="C284" s="65" t="str">
        <x:v>压轴题</x:v>
      </x:c>
      <x:c r="D284" s="65" t="str">
        <x:v>压轴题</x:v>
      </x:c>
      <x:c r="E284" s="65" t="str">
        <x:v>逐题复核后保留GPT裁定</x:v>
      </x:c>
      <x:c r="F284" s="65" t="str">
        <x:v>高</x:v>
      </x:c>
      <x:c r="G284" s="65" t="str">
        <x:v>压轴题</x:v>
      </x:c>
      <x:c r="H284" s="65" t="str">
        <x:v>压轴题</x:v>
      </x:c>
      <x:c r="I284" s="65" t="str">
        <x:v>题目把力学模型、运动/受力与能量关系组织成多对象、多状态、多约束的共享模型网络，后续任务依赖前述状态/参数，并要求分类、临界/边界、有效解筛选或可行性验证，属于7步以上的完整耦合链。</x:v>
      </x:c>
      <x:c r="J284" s="65" t="str">
        <x:v>三次运行错题并集逐题复核</x:v>
      </x:c>
      <x:c r="K284" s="63" t="str">
        <x:v>我国的北斗系统2012年开始为亚太地区提供服务，2018年12月正式提供全球服务。2019年2月24日，利用我国的北斗系统，在空警-2000预警机的支持下，轰-6空军轰炸机、导弹驱逐舰、护卫舰、022导弹快艇组成的编队，进行常态化赴西太平洋远洋训练。在途经我国南沙群岛海域时，按照训练科目进行一次海上军事演习。当鱼雷艇上的雷达发现逃跑的“敌舰”，鱼雷艇立即相对海面以25m/s的速度追击前面同一直线上正在逃跑的“敌舰”，当两者相距s0=6km时，相对海面以90m/s的速度向“敌舰”发射一枚鱼雷，经过t1=120s,鱼雷艇上的战士听到“敌舰”中弹发出爆炸声（通过空气传声，设当天声音在空气中传播的速度是300m/s），同时通过望远镜看到“敌舰”仍在继续逃跑，于是马上进行了第二次进攻、第二枚鱼雷以同样速度发射后，又经t2=100s,鱼雷再次击中“敌舰”并将其击沉。求： （1）发射鱼雷后，鱼雷相对于鱼雷艇的速度是多少？ （2）第一次发射鱼雷后需要多少时间才能击中“敌舰”？ （3）第一次击中“敌舰”前后“敌舰”相对于海面的速度分别是多少？</x:v>
      </x:c>
      <x:c r="L284" s="63" t="str"/>
      <x:c r="M284" s="63" t="str">
        <x:v>解： （1）发射鱼雷后，鱼雷相对于鱼雷艇的速度V相对=90m/s-25m/s=65m/s。 （2）设第一枚鱼雷发射后需要时间t击中“敌舰”，则由题意知： $\frac{{v}_{鱼雷}t-{v}_{鱼雷艇}t}{{v}_{声}+{v}_{鱼雷艇}}={t}_{1}-t$， $\frac{90m/s×t-25m/s×t}{300m/s+25m/s}=120s-t$， 得：t=100s。 （3）第一枚鱼雷击中敌舰时，等量关系有：s0+v舰t=v鱼雷t, 6000m+v舰×100s=90m/s×100s, 得：v舰=30m/s； 设第一枚鱼雷击中时，鱼雷艇与敌舰的距离为s1，则有： s1=s0-v鱼雷艇t+v舰t, s1=6000m-25m/s×100s+30m/s×100s=6500m。 设第一枚鱼雷击中后敌舰的速度为v'舰，发射第二枚鱼雷，经t2=100s,第二枚鱼雷击中敌舰， 则有s1=（v鱼雷-v'舰）t2， 代入数据有：6500m=（90m/s-v'舰）×100s 解得：v'舰=25m/s。 答：（1）发射鱼雷后，鱼雷相对于鱼雷艇的速度是65m/s。 （2）第一次发射鱼雷后需要100s才能击中“敌舰”。 （3）第一次击中“敌舰”前后“敌舰”相对于海面的速度分别是30m/s和25m/s。</x:v>
      </x:c>
      <x:c r="N284" s="63" t="str">
        <x:v>https://k12static.xdf.cn/k12/image/externalized/520a6d9d-cee2-461c-98ba-2f613e302550.png</x:v>
      </x:c>
      <x:c r="O284" s="63" t="str">
        <x:v>https://k12static.xdf.cn/k12/image/externalized/b5a901ec-f3d1-4254-b214-cb47c800b3f0.png</x:v>
      </x:c>
      <x:c r="P284" s="63" t="str">
        <x:v>6-8步</x:v>
      </x:c>
      <x:c r="Q284" s="63" t="str">
        <x:v>力学综合</x:v>
      </x:c>
      <x:c r="R284" s="63" t="str">
        <x:v>多状态</x:v>
      </x:c>
      <x:c r="S284" s="63" t="str">
        <x:v>多约束</x:v>
      </x:c>
      <x:c r="T284" s="63" t="str">
        <x:v>无</x:v>
      </x:c>
      <x:c r="U284" s="63" t="str">
        <x:v>无</x:v>
      </x:c>
      <x:c r="V284" s="63" t="str">
        <x:v>多层因果推理</x:v>
      </x:c>
    </x:row>
    <x:row r="285">
      <x:c r="A285" s="64" t="str">
        <x:v>​2585868659011624960</x:v>
      </x:c>
      <x:c r="B285" s="65" t="str">
        <x:v>中等题</x:v>
      </x:c>
      <x:c r="C285" s="65" t="str">
        <x:v>中等题</x:v>
      </x:c>
      <x:c r="D285" s="65" t="str">
        <x:v>中等题</x:v>
      </x:c>
      <x:c r="E285" s="65" t="str">
        <x:v>保留原GPT裁定</x:v>
      </x:c>
      <x:c r="F285" s="65" t="str">
        <x:v>高</x:v>
      </x:c>
      <x:c r="G285" s="65" t="str">
        <x:v>拔高题</x:v>
      </x:c>
      <x:c r="H285" s="65" t="str">
        <x:v>中等题</x:v>
      </x:c>
      <x:c r="I285" s="65" t="str">
        <x:v>题干、解析与结构证据支持中等题：step=3-5步，题型=概念判断，状态=单状态，约束=无约束，推理=多层因果推理。教师、盲评和多次模型证据中未形成足以推翻原裁定的同向结构证据。</x:v>
      </x:c>
      <x:c r="J285" s="65" t="str">
        <x:v>未进入三次错题并集；逐题结构一致性复核</x:v>
      </x:c>
      <x:c r="K285" s="63" t="str">
        <x:v>对甲、乙两种物质同时持续加热，其温度随时间变化的图象如图所示，下列说法正确的是（ ）</x:v>
      </x:c>
      <x:c r="L285" s="63" t="str">
        <x:v>A. 甲物质在4-6min内一定持续吸收热量 B. 乙物质在6-10min内一定是固液共存状态 C. 甲物质的沸点一定是80℃ D. 乙物质的熔点一定是60℃</x:v>
      </x:c>
      <x:c r="M285" s="63" t="str">
        <x:v>解：图象可能为晶体熔化过程的温度-时间图象，也可能为液体沸腾过程的温度-时间图象； A、4～10min内，甲物质吸收热量，温度不断升高，故A正确； B、6～10min内，乙物质可能在熔化，也可能在沸腾，乙物质可能是固液共存态，故B错误； C、80℃可能是甲物质的熔点，也可能是甲物质的沸点，故C错误； D、60℃可能是乙物质的熔点，也可能是乙物质的沸点，故D错误。 故选：A。</x:v>
      </x:c>
      <x:c r="N285" s="63" t="str">
        <x:v>https://k12static.xdf.cn/k12/image/externalized/244f7b0d-36c0-4306-b07a-fc9051c45efd.png</x:v>
      </x:c>
      <x:c r="O285" s="63" t="str">
        <x:v>https://k12static.xdf.cn/k12/image/externalized/6f50b41f-dd27-4d30-855c-fc7fe0edf765.png</x:v>
      </x:c>
      <x:c r="P285" s="63" t="str">
        <x:v>3-5步</x:v>
      </x:c>
      <x:c r="Q285" s="63" t="str">
        <x:v>概念判断</x:v>
      </x:c>
      <x:c r="R285" s="63" t="str">
        <x:v>单状态</x:v>
      </x:c>
      <x:c r="S285" s="63" t="str">
        <x:v>无约束</x:v>
      </x:c>
      <x:c r="T285" s="63" t="str">
        <x:v>无</x:v>
      </x:c>
      <x:c r="U285" s="63" t="str">
        <x:v>多组比较归纳</x:v>
      </x:c>
      <x:c r="V285" s="63" t="str">
        <x:v>多层因果推理</x:v>
      </x:c>
    </x:row>
    <x:row r="286">
      <x:c r="A286" s="64" t="str">
        <x:v>​2585898850871676928</x:v>
      </x:c>
      <x:c r="B286" s="65" t="str">
        <x:v>基础题</x:v>
      </x:c>
      <x:c r="C286" s="65" t="str">
        <x:v>基础题</x:v>
      </x:c>
      <x:c r="D286" s="65" t="str">
        <x:v>基础题</x:v>
      </x:c>
      <x:c r="E286" s="65" t="str">
        <x:v>保留原GPT裁定</x:v>
      </x:c>
      <x:c r="F286" s="65" t="str">
        <x:v>高</x:v>
      </x:c>
      <x:c r="G286" s="65" t="str">
        <x:v>中等题</x:v>
      </x:c>
      <x:c r="H286" s="65" t="str">
        <x:v>基础题</x:v>
      </x:c>
      <x:c r="I286" s="65" t="str">
        <x:v>题干、解析与结构证据支持基础题：step=1-2步，题型=概念判断，状态=单状态，约束=无约束，推理=简单因果推理。教师、盲评和多次模型证据中未形成足以推翻原裁定的同向结构证据。</x:v>
      </x:c>
      <x:c r="J286" s="65" t="str">
        <x:v>未进入三次错题并集；逐题结构一致性复核</x:v>
      </x:c>
      <x:c r="K286" s="63" t="str">
        <x:v>下列和物态变化有关的说法中正确的是（ ）</x:v>
      </x:c>
      <x:c r="L286" s="63" t="str">
        <x:v>A. 苹果长时间放置后表皮干瘪，是因为蒸发现象只发生在液体的表面 B. 水蒸气烫伤比开水烫伤更严重，是因为水蒸气液化时会释放大量的热 C. 在一定温度下，压缩氢气的体积可以使它液化，作为燃料储存在火箭里 D. 冬天在户外说话时口中会冒出白雾，说明水蒸气汽化需要吸热</x:v>
      </x:c>
      <x:c r="M286" s="63" t="str">
        <x:v>解：A、苹果长时间放置后表皮干瘪，这是蒸发现象；蒸发可以在任何温度下进行，它是只在液体表面发生的汽化现象，故A正确。 B、水蒸气液化为同温度的水时，要放出大量的热，所以被水蒸气烫伤比沸水烫伤更严重，故B正确； C、在一定温度下压缩气体体积可以使气体液化，故C正确； D、冬天在户外说话时，口中呼出的空气中有大量的水蒸气，水蒸气遇冷就会液化放热形成“白气”，故D错误。 故选：ABC。</x:v>
      </x:c>
      <x:c r="N286" s="63" t="str">
        <x:v>https://k12static.xdf.cn/k12/image/externalized/021a6e2c-b2d9-4740-8b66-66bd25ea9b63.png</x:v>
      </x:c>
      <x:c r="O286" s="63" t="str">
        <x:v>https://k12static.xdf.cn/k12/image/externalized/574a492f-aa08-4e37-9a71-10e9e3305319.png</x:v>
      </x:c>
      <x:c r="P286" s="63" t="str">
        <x:v>1-2步</x:v>
      </x:c>
      <x:c r="Q286" s="63" t="str">
        <x:v>概念判断</x:v>
      </x:c>
      <x:c r="R286" s="63" t="str">
        <x:v>单状态</x:v>
      </x:c>
      <x:c r="S286" s="63" t="str">
        <x:v>无约束</x:v>
      </x:c>
      <x:c r="T286" s="63" t="str">
        <x:v>无</x:v>
      </x:c>
      <x:c r="U286" s="63" t="str">
        <x:v>无</x:v>
      </x:c>
      <x:c r="V286" s="63" t="str">
        <x:v>简单因果推理</x:v>
      </x:c>
    </x:row>
    <x:row r="287">
      <x:c r="A287" s="64" t="str">
        <x:v>​2585900174392692736</x:v>
      </x:c>
      <x:c r="B287" s="65" t="str">
        <x:v>中等题</x:v>
      </x:c>
      <x:c r="C287" s="65" t="str">
        <x:v>中等题</x:v>
      </x:c>
      <x:c r="D287" s="65" t="str">
        <x:v>中等题</x:v>
      </x:c>
      <x:c r="E287" s="65" t="str">
        <x:v>逐题复核后保留GPT裁定</x:v>
      </x:c>
      <x:c r="F287" s="65" t="str">
        <x:v>高</x:v>
      </x:c>
      <x:c r="G287" s="65" t="str">
        <x:v>基础题</x:v>
      </x:c>
      <x:c r="H287" s="65" t="str">
        <x:v>中等题</x:v>
      </x:c>
      <x:c r="I287" s="65" t="str">
        <x:v>需要围绕教材概念与常规物理关系完成常规的3—4个有效决策，或完成一套完整标准实验/共享过程分析。关系仍显性、方法常规，没有决定性隐含转换、复杂边界筛选或多状态强耦合。</x:v>
      </x:c>
      <x:c r="J287" s="65" t="str">
        <x:v>三次运行错题并集逐题复核</x:v>
      </x:c>
      <x:c r="K287" s="63" t="str">
        <x:v>为了方便研究“水沸腾时温度变化的特点”，小丹在老师的帮助下安全改装了一个玻璃电热水壶（去盖，如图所示），它能一直保持水沸腾，把它放在一个电子秤上（没加热时读数为98g），以下判断正确的是（ ）</x:v>
      </x:c>
      <x:c r="L287" s="63" t="str">
        <x:v>A. 沸腾时，水里气泡的主要成分是空气 B. 图中温度计能准确测量出水沸腾时的温度 C. 加热至沸腾一段时间后，电子秤读数会变小 D. 关闭电水壶，水没有立即停止沸腾，是因为水壶温度仍比水的沸点高</x:v>
      </x:c>
      <x:c r="M287" s="63" t="str">
        <x:v>解：A、水沸腾时，水的内部和外部同时发生剧烈的汽化现象，所以会产生大量的水蒸气，气泡中主要是水蒸气，故A错误； B、图中温度计的玻璃泡接触到了容器的底部，不能准确测出水的温度，故B错误； C、加热至沸腾一段时间后，大量水分汽化，水的质量减小，因此电子秤读数会减小，故C正确； D、关闭电水壶，水壶温度仍比水的沸点高，水会继续吸热，故水没有立即停止沸腾，故D正确。 故选：CD。</x:v>
      </x:c>
      <x:c r="N287" s="63" t="str">
        <x:v>https://k12static.xdf.cn/k12/image/externalized/36a22719-28d6-4c22-abd5-82158a2551be.png</x:v>
      </x:c>
      <x:c r="O287" s="63" t="str">
        <x:v>https://k12static.xdf.cn/k12/image/externalized/0e6e8e29-ab12-4329-a13f-b5fdd7adf318.png</x:v>
      </x:c>
      <x:c r="P287" s="63" t="str">
        <x:v>1-2步</x:v>
      </x:c>
      <x:c r="Q287" s="63" t="str">
        <x:v>概念判断</x:v>
      </x:c>
      <x:c r="R287" s="63" t="str">
        <x:v>单状态</x:v>
      </x:c>
      <x:c r="S287" s="63" t="str">
        <x:v>无约束</x:v>
      </x:c>
      <x:c r="T287" s="63" t="str">
        <x:v>控制变量或故障分析</x:v>
      </x:c>
      <x:c r="U287" s="63" t="str">
        <x:v>无</x:v>
      </x:c>
      <x:c r="V287" s="63" t="str">
        <x:v>简单因果推理</x:v>
      </x:c>
    </x:row>
    <x:row r="288">
      <x:c r="A288" s="64" t="str">
        <x:v>​2588049749402984448</x:v>
      </x:c>
      <x:c r="B288" s="65" t="str">
        <x:v>中等题</x:v>
      </x:c>
      <x:c r="C288" s="65" t="str">
        <x:v>中等题</x:v>
      </x:c>
      <x:c r="D288" s="65" t="str">
        <x:v>中等题</x:v>
      </x:c>
      <x:c r="E288" s="65" t="str">
        <x:v>保留原GPT裁定</x:v>
      </x:c>
      <x:c r="F288" s="65" t="str">
        <x:v>高</x:v>
      </x:c>
      <x:c r="G288" s="65" t="str">
        <x:v>送分题</x:v>
      </x:c>
      <x:c r="H288" s="65" t="str">
        <x:v>中等题</x:v>
      </x:c>
      <x:c r="I288" s="65" t="str">
        <x:v>题干、解析与结构证据支持中等题：step=3-5步，题型=概念判断，状态=单状态，约束=无约束，推理=多层因果推理。教师、盲评和多次模型证据中未形成足以推翻原裁定的同向结构证据。</x:v>
      </x:c>
      <x:c r="J288" s="65" t="str">
        <x:v>未进入三次错题并集；逐题结构一致性复核</x:v>
      </x:c>
      <x:c r="K288" s="63" t="str">
        <x:v>实验电路如图所示，下列说法正确的是（ ）​</x:v>
      </x:c>
      <x:c r="L288" s="63" t="str">
        <x:v>A. 闭合开关，向左移动滑片小灯泡变暗 B. 闭合开关，向右移动滑片电压表示数变小 C. 这个电路可以探究电功率与电压的关系（只利用图中器材） D. 这个电路可以探究电流与电压的关系</x:v>
      </x:c>
      <x:c r="M288" s="63" t="str">
        <x:v>解：A、闭合开关，向左移动滑片，滑动变阻器接入电路中的电阻减小，电路中的电流增大，小灯泡变亮，故A错误； B、闭合开关，向右移动滑片，滑动变阻器的电阻增大，根据串联分压的特点，电阻大分的电压大，故电压表的示数变小，故B正确； C、探究电功率与电压的关系时，要控制电阻不变，而灯丝电阻会随温度的升高而增大，因此这个电路不能探究电功率与电压的关系（只利用图中器材），故C错误； D、在探究电流与电压的关系的实验中，应控制电阻不变，而灯丝电阻会随温度的升高而增大，故这个电路不能探究电流与电压的关系，故D错误。 故选：B。</x:v>
      </x:c>
      <x:c r="N288" s="63" t="str">
        <x:v>https://k12static.xdf.cn/k12/image/externalized/e1e1313f-aab8-4c2d-b25c-d4039f58e5e1.png</x:v>
      </x:c>
      <x:c r="O288" s="63" t="str">
        <x:v>https://k12static.xdf.cn/k12/image/externalized/a59e1aff-e072-4326-83cd-9cc7834db9fc.png</x:v>
      </x:c>
      <x:c r="P288" s="63" t="str">
        <x:v>3-5步</x:v>
      </x:c>
      <x:c r="Q288" s="63" t="str">
        <x:v>概念判断</x:v>
      </x:c>
      <x:c r="R288" s="63" t="str">
        <x:v>单状态</x:v>
      </x:c>
      <x:c r="S288" s="63" t="str">
        <x:v>无约束</x:v>
      </x:c>
      <x:c r="T288" s="63" t="str">
        <x:v>控制变量或故障分析</x:v>
      </x:c>
      <x:c r="U288" s="63" t="str">
        <x:v>无</x:v>
      </x:c>
      <x:c r="V288" s="63" t="str">
        <x:v>多层因果推理</x:v>
      </x:c>
    </x:row>
    <x:row r="289">
      <x:c r="A289" s="64" t="str">
        <x:v>​2597895127413825536</x:v>
      </x:c>
      <x:c r="B289" s="65" t="str">
        <x:v>基础题</x:v>
      </x:c>
      <x:c r="C289" s="65" t="str">
        <x:v>基础题</x:v>
      </x:c>
      <x:c r="D289" s="65" t="str">
        <x:v>基础题</x:v>
      </x:c>
      <x:c r="E289" s="65" t="str">
        <x:v>保留原GPT裁定</x:v>
      </x:c>
      <x:c r="F289" s="65" t="str">
        <x:v>中</x:v>
      </x:c>
      <x:c r="G289" s="65" t="str">
        <x:v>基础题</x:v>
      </x:c>
      <x:c r="H289" s="65" t="str">
        <x:v>中等题</x:v>
      </x:c>
      <x:c r="I289" s="65" t="str">
        <x:v>题干、解析与结构证据支持基础题：step=1-2步，题型=概念判断，状态=单状态，约束=无约束，推理=简单因果推理。教师、盲评和多次模型证据中未形成足以推翻原裁定的同向结构证据。</x:v>
      </x:c>
      <x:c r="J289" s="65" t="str">
        <x:v>未进入三次错题并集；逐题结构一致性复核</x:v>
      </x:c>
      <x:c r="K289" s="63" t="str">
        <x:v>如图所示，烧杯和试管内均盛有冰块，用酒精灯给烧杯的底部加热。已知周围环境温度为0℃，在烧杯内冰块熔化的过程中（ ）</x:v>
      </x:c>
      <x:c r="L289" s="63" t="str">
        <x:v>A. 试管内的冰块不会熔化 B. 试管内的冰块会熔化一部分 C. 烧杯内的水温高于0℃ D. 试管内的冰在烧杯内的冰之前熔化</x:v>
      </x:c>
      <x:c r="M289" s="63" t="str">
        <x:v>解：冰是晶体，烧杯内的冰块在熔化时继续吸热，温度不变；因为试管内的冰块达到熔点后无法继续吸热，故试管内的冰块不熔化。 故选：A。</x:v>
      </x:c>
      <x:c r="N289" s="63" t="str">
        <x:v>https://k12static.xdf.cn/k12/image/externalized/29df9d57-0ba6-468a-9feb-21f63154c7af.png</x:v>
      </x:c>
      <x:c r="O289" s="63" t="str">
        <x:v>https://k12static.xdf.cn/k12/image/externalized/fe9c63b6-4dd0-4ce0-96b8-23c42e977669.png</x:v>
      </x:c>
      <x:c r="P289" s="63" t="str">
        <x:v>1-2步</x:v>
      </x:c>
      <x:c r="Q289" s="63" t="str">
        <x:v>概念判断</x:v>
      </x:c>
      <x:c r="R289" s="63" t="str">
        <x:v>单状态</x:v>
      </x:c>
      <x:c r="S289" s="63" t="str">
        <x:v>无约束</x:v>
      </x:c>
      <x:c r="T289" s="63" t="str">
        <x:v>无</x:v>
      </x:c>
      <x:c r="U289" s="63" t="str">
        <x:v>无</x:v>
      </x:c>
      <x:c r="V289" s="63" t="str">
        <x:v>简单因果推理</x:v>
      </x:c>
    </x:row>
    <x:row r="290">
      <x:c r="A290" s="64" t="str">
        <x:v>​2600418771459727360</x:v>
      </x:c>
      <x:c r="B290" s="65" t="str">
        <x:v>基础题</x:v>
      </x:c>
      <x:c r="C290" s="65" t="str">
        <x:v>基础题</x:v>
      </x:c>
      <x:c r="D290" s="65" t="str">
        <x:v>基础题</x:v>
      </x:c>
      <x:c r="E290" s="65" t="str">
        <x:v>逐题复核后保留GPT裁定</x:v>
      </x:c>
      <x:c r="F290" s="65" t="str">
        <x:v>高</x:v>
      </x:c>
      <x:c r="G290" s="65" t="str">
        <x:v>中等题</x:v>
      </x:c>
      <x:c r="H290" s="65" t="str">
        <x:v>基础题</x:v>
      </x:c>
      <x:c r="I290" s="65" t="str">
        <x:v>最高难任务为1—2步显性应用、规范操作或简单因果，没有连续模型转换。 题目证据：最高难选项实际有效推理为1步，五维中各维度均符合基础题标准，四个选项分别调用不同热学概念，均为单个知识点的直接判断，没有多步连续推理或模型重构。</x:v>
      </x:c>
      <x:c r="J290" s="65" t="str">
        <x:v>三次运行错题并集逐题复核</x:v>
      </x:c>
      <x:c r="K290" s="63" t="str">
        <x:v>重庆人酷爱火锅，关于加热火锅时出现的各种现象，下列说法正确的是（ ）</x:v>
      </x:c>
      <x:c r="L290" s="63" t="str">
        <x:v>A. 火锅香味四溢是因为分子在永不停息地做无规则运动 B. 汤汁的温度会随着加热而一直上升 C. 火锅上方的“白气”是锅底汽化形成的水蒸气 D. 红汤比清汤先沸腾，是因为油的吸热能力比水强</x:v>
      </x:c>
      <x:c r="M290" s="63" t="str">
        <x:v>解：A、闻到火锅的香味是因为香气分子扩散到空气中的，说明分子在永不停息地做无规则热运动，故A正确； B、火锅汤汁沸腾后，不断吸热但温度保持不变，故B错误； C、煮火锅时火锅上方的“白气”是水蒸气遇冷变成的小水滴，是液化现象，故C错误； D、红汤先沸腾是因为油形成膜后减少热量损失，故D错误； 故选：A。</x:v>
      </x:c>
      <x:c r="N290" s="63" t="str">
        <x:v>https://k12static.xdf.cn/k12/image/externalized/67f46db2-0828-44f3-8a20-555f835e5f8a.png</x:v>
      </x:c>
      <x:c r="O290" s="63" t="str">
        <x:v>https://k12static.xdf.cn/k12/image/externalized/5eddc62a-9ec8-4132-865d-1b57ab2caaaa.png</x:v>
      </x:c>
      <x:c r="P290" s="63" t="str">
        <x:v>1-2步</x:v>
      </x:c>
      <x:c r="Q290" s="63" t="str">
        <x:v>概念判断</x:v>
      </x:c>
      <x:c r="R290" s="63" t="str">
        <x:v>单状态</x:v>
      </x:c>
      <x:c r="S290" s="63" t="str">
        <x:v>无约束</x:v>
      </x:c>
      <x:c r="T290" s="63" t="str">
        <x:v>无</x:v>
      </x:c>
      <x:c r="U290" s="63" t="str">
        <x:v>无</x:v>
      </x:c>
      <x:c r="V290" s="63" t="str">
        <x:v>简单因果推理</x:v>
      </x:c>
    </x:row>
    <x:row r="291">
      <x:c r="A291" s="64" t="str">
        <x:v>​2601072620807950336</x:v>
      </x:c>
      <x:c r="B291" s="65" t="str">
        <x:v>送分题</x:v>
      </x:c>
      <x:c r="C291" s="65" t="str">
        <x:v>送分题</x:v>
      </x:c>
      <x:c r="D291" s="65" t="str">
        <x:v>送分题</x:v>
      </x:c>
      <x:c r="E291" s="65" t="str">
        <x:v>保留原GPT裁定</x:v>
      </x:c>
      <x:c r="F291" s="65" t="str">
        <x:v>高</x:v>
      </x:c>
      <x:c r="G291" s="65" t="str">
        <x:v>基础题</x:v>
      </x:c>
      <x:c r="H291" s="65" t="str">
        <x:v>送分题</x:v>
      </x:c>
      <x:c r="I291" s="65" t="str">
        <x:v>题干、解析与结构证据支持送分题：step=1-2步，题型=概念判断，状态=单状态，约束=无约束，推理=直接套用。教师、盲评和多次模型证据中未形成足以推翻原裁定的同向结构证据。</x:v>
      </x:c>
      <x:c r="J291" s="65" t="str">
        <x:v>未进入三次错题并集；逐题结构一致性复核</x:v>
      </x:c>
      <x:c r="K291" s="63" t="str">
        <x:v>用如图所示电路探究串联电路的电压规律，闭合开关S，分别测出A与B、B与C、A与C之间的电压，电压表的示数（ ）</x:v>
      </x:c>
      <x:c r="L291" s="63" t="str">
        <x:v>A. UAB最大 B. UBC最大 C. UAC最大 D. 三处一样大</x:v>
      </x:c>
      <x:c r="M291" s="63" t="str">
        <x:v>解：由电路图可知，两灯泡串联，闭合开关S，分别测出A与B、B与C、A与C之间的电压，因为串联电路两端的电压等于各部分电路两端电压之和，所以UAC最大。 故选：C。</x:v>
      </x:c>
      <x:c r="N291" s="63" t="str">
        <x:v>https://k12static.xdf.cn/k12/image/externalized/0f7d4179-ccb5-4e51-bd07-cee88714368b.png</x:v>
      </x:c>
      <x:c r="O291" s="63" t="str">
        <x:v>https://k12static.xdf.cn/k12/image/externalized/da348894-a2e2-49a9-822d-3fa89323289c.png</x:v>
      </x:c>
      <x:c r="P291" s="63" t="str">
        <x:v>1-2步</x:v>
      </x:c>
      <x:c r="Q291" s="63" t="str">
        <x:v>概念判断</x:v>
      </x:c>
      <x:c r="R291" s="63" t="str">
        <x:v>单状态</x:v>
      </x:c>
      <x:c r="S291" s="63" t="str">
        <x:v>无约束</x:v>
      </x:c>
      <x:c r="T291" s="63" t="str">
        <x:v>无</x:v>
      </x:c>
      <x:c r="U291" s="63" t="str">
        <x:v>无</x:v>
      </x:c>
      <x:c r="V291" s="63" t="str">
        <x:v>直接套用</x:v>
      </x:c>
    </x:row>
    <x:row r="292">
      <x:c r="A292" s="64" t="str">
        <x:v>​2602574030357487616</x:v>
      </x:c>
      <x:c r="B292" s="65" t="str">
        <x:v>送分题</x:v>
      </x:c>
      <x:c r="C292" s="65" t="str">
        <x:v>送分题</x:v>
      </x:c>
      <x:c r="D292" s="65" t="str">
        <x:v>送分题</x:v>
      </x:c>
      <x:c r="E292" s="65" t="str">
        <x:v>逐题复核后保留GPT裁定</x:v>
      </x:c>
      <x:c r="F292" s="65" t="str">
        <x:v>高</x:v>
      </x:c>
      <x:c r="G292" s="65" t="str">
        <x:v>送分题</x:v>
      </x:c>
      <x:c r="H292" s="65" t="str">
        <x:v>送分题</x:v>
      </x:c>
      <x:c r="I292" s="65" t="str">
        <x:v>核心只需识别一个唯一、熟悉且关系显性的教材模板（教材概念与常规物理关系），没有第二次独立物理决策；背景、选项数量或机械作答动作不增加难度。</x:v>
      </x:c>
      <x:c r="J292" s="65" t="str">
        <x:v>三次运行错题并集逐题复核</x:v>
      </x:c>
      <x:c r="K292" s="63" t="str">
        <x:v>如图所示，2024年广西“民族体育炫”板鞋竞速比赛中，运动员看到广告牌向后退，所选择的参照物是（ ）</x:v>
      </x:c>
      <x:c r="L292" s="63" t="str">
        <x:v>A. 跑道 B. 板鞋 C. 观众席 D. 广告牌</x:v>
      </x:c>
      <x:c r="M292" s="63" t="str">
        <x:v>解：运动员看到广告牌向后退，广告牌是运动的，广告牌和板鞋之间发生了位置的改变，所以广告牌向后退是以板鞋为参照物的，故B正确、ACD错误。 故选：B。</x:v>
      </x:c>
      <x:c r="N292" s="63" t="str">
        <x:v>https://k12static.xdf.cn/k12/image/externalized/148d911e-b8ec-4609-b05f-62b8ccc0549f.png</x:v>
      </x:c>
      <x:c r="O292" s="63" t="str">
        <x:v>https://k12static.xdf.cn/k12/image/externalized/d3f0997b-52c9-4c2f-aae4-1962c394b3d4.png</x:v>
      </x:c>
      <x:c r="P292" s="63" t="str">
        <x:v>1-2步</x:v>
      </x:c>
      <x:c r="Q292" s="63" t="str">
        <x:v>概念判断</x:v>
      </x:c>
      <x:c r="R292" s="63" t="str">
        <x:v>单状态</x:v>
      </x:c>
      <x:c r="S292" s="63" t="str">
        <x:v>无约束</x:v>
      </x:c>
      <x:c r="T292" s="63" t="str">
        <x:v>无</x:v>
      </x:c>
      <x:c r="U292" s="63" t="str">
        <x:v>无</x:v>
      </x:c>
      <x:c r="V292" s="63" t="str">
        <x:v>简单因果推理</x:v>
      </x:c>
    </x:row>
    <x:row r="293">
      <x:c r="A293" s="64" t="str">
        <x:v>​2602619134745075712</x:v>
      </x:c>
      <x:c r="B293" s="65" t="str">
        <x:v>基础题</x:v>
      </x:c>
      <x:c r="C293" s="65" t="str">
        <x:v>基础题</x:v>
      </x:c>
      <x:c r="D293" s="65" t="str">
        <x:v>基础题</x:v>
      </x:c>
      <x:c r="E293" s="65" t="str">
        <x:v>保留原GPT裁定</x:v>
      </x:c>
      <x:c r="F293" s="65" t="str">
        <x:v>高</x:v>
      </x:c>
      <x:c r="G293" s="65" t="str">
        <x:v>中等题</x:v>
      </x:c>
      <x:c r="H293" s="65" t="str">
        <x:v>基础题</x:v>
      </x:c>
      <x:c r="I293" s="65" t="str">
        <x:v>题干、解析与结构证据支持基础题：step=1-2步，题型=概念判断，状态=单状态，约束=无约束，推理=简单因果推理。教师、盲评和多次模型证据中未形成足以推翻原裁定的同向结构证据。</x:v>
      </x:c>
      <x:c r="J293" s="65" t="str">
        <x:v>未进入三次错题并集；逐题结构一致性复核</x:v>
      </x:c>
      <x:c r="K293" s="63" t="str">
        <x:v>关于速度公式v=$\frac{s}{t}$，可以用来计算匀速直线运动中的速度，也可以用来计算变速直线运动中的平均速度。关于该公式的应用，下列说法正确的是（ ）</x:v>
      </x:c>
      <x:c r="L293" s="63" t="str">
        <x:v>A. 在匀速直线运动中，运动的路程越长，速度越大 B. 在匀速直线运动中，速度与路程和时间都无关 C. 在变速直线运动中，平均速度与路程和时间无关 D. 在变速直线运动中，平均速度能够准确地反映物体运动的情况</x:v>
      </x:c>
      <x:c r="M293" s="63" t="str">
        <x:v>解：AB、已知物体做匀速运动的路程和时间，可根据ν=$\frac{s}{t}$求速度的大小，这仅是数学关系，但没有因果关系，物体做匀速直线运动时，在整个运动过程中速度保持不变，与它通过路程的远近和所用时间的长短无关，故A错误，B正确； C、物体的平均速度取决于物体的路程与所用时间的比值，做变速直线运动的物体，在不同时间内，平均速度一般不相同，故C错误； D、变速直线运动比较复杂，使用速度公式ν=$\frac{s}{t}$求得的速度，只能粗略地反映物体在某段路程中（或某段时间内）的快慢，这个速度称为平均速度，故D错误。 故选：B。</x:v>
      </x:c>
      <x:c r="N293" s="63" t="str">
        <x:v>https://k12static.xdf.cn/k12/image/externalized/5968e168-b7d8-4707-977e-4ee03fffc1fc.png</x:v>
      </x:c>
      <x:c r="O293" s="63" t="str">
        <x:v>https://k12static.xdf.cn/k12/image/externalized/b63f7f4a-d7e8-444d-a474-31f34aff8622.png</x:v>
      </x:c>
      <x:c r="P293" s="63" t="str">
        <x:v>1-2步</x:v>
      </x:c>
      <x:c r="Q293" s="63" t="str">
        <x:v>概念判断</x:v>
      </x:c>
      <x:c r="R293" s="63" t="str">
        <x:v>单状态</x:v>
      </x:c>
      <x:c r="S293" s="63" t="str">
        <x:v>无约束</x:v>
      </x:c>
      <x:c r="T293" s="63" t="str">
        <x:v>无</x:v>
      </x:c>
      <x:c r="U293" s="63" t="str">
        <x:v>无</x:v>
      </x:c>
      <x:c r="V293" s="63" t="str">
        <x:v>简单因果推理</x:v>
      </x:c>
    </x:row>
    <x:row r="294">
      <x:c r="A294" s="64" t="str">
        <x:v>​2608563606177804288</x:v>
      </x:c>
      <x:c r="B294" s="65" t="str">
        <x:v>基础题</x:v>
      </x:c>
      <x:c r="C294" s="65" t="str">
        <x:v>基础题</x:v>
      </x:c>
      <x:c r="D294" s="65" t="str">
        <x:v>基础题</x:v>
      </x:c>
      <x:c r="E294" s="65" t="str">
        <x:v>保留原GPT裁定</x:v>
      </x:c>
      <x:c r="F294" s="65" t="str">
        <x:v>高</x:v>
      </x:c>
      <x:c r="G294" s="65" t="str">
        <x:v>中等题</x:v>
      </x:c>
      <x:c r="H294" s="65" t="str">
        <x:v>基础题</x:v>
      </x:c>
      <x:c r="I294" s="65" t="str">
        <x:v>题干、解析与结构证据支持基础题：step=1-2步，题型=概念判断，状态=单状态，约束=无约束，推理=简单因果推理。教师、盲评和多次模型证据中未形成足以推翻原裁定的同向结构证据。</x:v>
      </x:c>
      <x:c r="J294" s="65" t="str">
        <x:v>未进入三次错题并集；逐题结构一致性复核</x:v>
      </x:c>
      <x:c r="K294" s="63" t="str">
        <x:v>近期国内掀起了一场“奔赴冬日冰雪之约”的热潮，即哈尔滨游，实现了现实版的冰雪奇缘。关于冰雪世界的很多物理现象，下列说法错误的是（ ）</x:v>
      </x:c>
      <x:c r="L294" s="63" t="str">
        <x:v>A. 冰锥挂房檐是凝固现象，需放热 B. 冰雕逐渐变小是升华过程，需吸热 C. 图中雪人披着红色的围巾，晚上红色射灯打上去，身体变红色 D. 图中雪人披着红色的围巾，晚上绿色射灯打上去，围巾变黄色</x:v>
      </x:c>
      <x:c r="M294" s="63" t="str">
        <x:v>解：A、冰锥挂房檐是凝固现象，需放热，故A正确； B、冰雕逐渐变小是升华过程，需吸热，故B正确； C、图中雪人披着红色的围巾，晚上红色射灯打上去，身体变红色，故C正确； D、图中雪人披着红色的围巾，晚上绿色射灯打上去，围巾变黑色，故D错误。 故选：D。</x:v>
      </x:c>
      <x:c r="N294" s="63" t="str">
        <x:v>https://k12static.xdf.cn/k12/image/externalized/41aa60f8-d650-48c4-a41d-5cfe232bb602.png</x:v>
      </x:c>
      <x:c r="O294" s="63" t="str">
        <x:v>https://k12static.xdf.cn/k12/image/externalized/5b1616b6-53a1-48ed-a21f-5a100d486ba3.png</x:v>
      </x:c>
      <x:c r="P294" s="63" t="str">
        <x:v>1-2步</x:v>
      </x:c>
      <x:c r="Q294" s="63" t="str">
        <x:v>概念判断</x:v>
      </x:c>
      <x:c r="R294" s="63" t="str">
        <x:v>单状态</x:v>
      </x:c>
      <x:c r="S294" s="63" t="str">
        <x:v>无约束</x:v>
      </x:c>
      <x:c r="T294" s="63" t="str">
        <x:v>无</x:v>
      </x:c>
      <x:c r="U294" s="63" t="str">
        <x:v>无</x:v>
      </x:c>
      <x:c r="V294" s="63" t="str">
        <x:v>简单因果推理</x:v>
      </x:c>
    </x:row>
    <x:row r="295">
      <x:c r="A295" s="64" t="str">
        <x:v>​2609656745966174208</x:v>
      </x:c>
      <x:c r="B295" s="65" t="str">
        <x:v>中等题</x:v>
      </x:c>
      <x:c r="C295" s="65" t="str">
        <x:v>中等题</x:v>
      </x:c>
      <x:c r="D295" s="65" t="str">
        <x:v>中等题</x:v>
      </x:c>
      <x:c r="E295" s="65" t="str">
        <x:v>保留原GPT裁定</x:v>
      </x:c>
      <x:c r="F295" s="65" t="str">
        <x:v>高</x:v>
      </x:c>
      <x:c r="G295" s="65" t="str">
        <x:v>中等题</x:v>
      </x:c>
      <x:c r="H295" s="65" t="str">
        <x:v>拔高题</x:v>
      </x:c>
      <x:c r="I295" s="65" t="str">
        <x:v>题干、解析与结构证据支持中等题：step=3-5步，题型=光学声学综合，状态=双状态，约束=单一约束，推理=多层因果推理。教师、盲评和多次模型证据中未形成足以推翻原裁定的同向结构证据。</x:v>
      </x:c>
      <x:c r="J295" s="65" t="str">
        <x:v>未进入三次错题并集；逐题结构一致性复核</x:v>
      </x:c>
      <x:c r="K295" s="63" t="str">
        <x:v>小明同学在做“研究凸透镜成像规律”实验时，用注入适量水的透明胶膜充当凸透镜，将点燃的蜡烛、凸透镜、光屏调节到如图所示的位置，光屏中心正好出现清晰的像。下列说法中正确的是（ ）</x:v>
      </x:c>
      <x:c r="L295" s="63" t="str">
        <x:v>A. 凸透镜的焦距可能为20cm B. 屏上的像可能是倒立放大的实像 C. 若将光屏向左移动，蜡烛也应适当向右移动，才可能在光屏上出现清晰的像 D. 向胶膜内注入少量的水，光屏上的像变模糊，保持蜡烛、凸透镜、光屏三者的位置均不动，在凸透镜在侧加一个近视镜，光屏上可能重新出现清晰的像</x:v>
      </x:c>
      <x:c r="M295" s="63" t="str">
        <x:v>解：AB、由图可知，此时物距大于2倍焦距，像距大于1倍焦距小于2倍焦距，成倒立、缩小的实像，则50cm＞2f,f＜20cm＜2f,解得10cm＜f＜20cm,故AB错误； C、若将光屏向左移动，根据凸透镜成实像时，物远像近像变小可知，应将蜡烛也应适当向左移动，故C错误； D、向胶膜内注入少量的水，水透镜凸度变大，对光的会聚能力增强，此时所成的像会靠近透镜；近视镜为凹透镜对光线具有发散作用，相当于减弱凸透镜的会聚能力，则光屏上可能重新出现清晰的像，故D正确。 故选：D。</x:v>
      </x:c>
      <x:c r="N295" s="63" t="str">
        <x:v>https://k12static.xdf.cn/k12/image/externalized/986b1c9f-13c3-4f32-a714-09a7fd7afc43.png</x:v>
      </x:c>
      <x:c r="O295" s="63" t="str">
        <x:v>https://k12static.xdf.cn/k12/image/externalized/bbf9dd81-10c6-4395-9677-2292adee6b4f.png</x:v>
      </x:c>
      <x:c r="P295" s="63" t="str">
        <x:v>3-5步</x:v>
      </x:c>
      <x:c r="Q295" s="63" t="str">
        <x:v>光学声学综合</x:v>
      </x:c>
      <x:c r="R295" s="63" t="str">
        <x:v>双状态</x:v>
      </x:c>
      <x:c r="S295" s="63" t="str">
        <x:v>单一约束</x:v>
      </x:c>
      <x:c r="T295" s="63" t="str">
        <x:v>控制变量或故障分析</x:v>
      </x:c>
      <x:c r="U295" s="63" t="str">
        <x:v>无</x:v>
      </x:c>
      <x:c r="V295" s="63" t="str">
        <x:v>多层因果推理</x:v>
      </x:c>
    </x:row>
    <x:row r="296">
      <x:c r="A296" s="64" t="str">
        <x:v>​2611278515252809728</x:v>
      </x:c>
      <x:c r="B296" s="65" t="str">
        <x:v>基础题</x:v>
      </x:c>
      <x:c r="C296" s="65" t="str">
        <x:v>基础题</x:v>
      </x:c>
      <x:c r="D296" s="65" t="str">
        <x:v>基础题</x:v>
      </x:c>
      <x:c r="E296" s="65" t="str">
        <x:v>保留原GPT裁定</x:v>
      </x:c>
      <x:c r="F296" s="65" t="str">
        <x:v>高</x:v>
      </x:c>
      <x:c r="G296" s="65" t="str">
        <x:v>中等题</x:v>
      </x:c>
      <x:c r="H296" s="65" t="str">
        <x:v>基础题</x:v>
      </x:c>
      <x:c r="I296" s="65" t="str">
        <x:v>题干、解析与结构证据支持基础题：step=1-2步，题型=概念判断，状态=单状态，约束=无约束，推理=简单因果推理。教师、盲评和多次模型证据中未形成足以推翻原裁定的同向结构证据。</x:v>
      </x:c>
      <x:c r="J296" s="65" t="str">
        <x:v>未进入三次错题并集；逐题结构一致性复核</x:v>
      </x:c>
      <x:c r="K296" s="63" t="str">
        <x:v>下列有关现象中说法正确的是（ ）</x:v>
      </x:c>
      <x:c r="L296" s="63" t="str">
        <x:v>A. 雾霾（PM2.5）在高温天气容易消散，这是因为温度越高，分子运动越剧烈 B. “便利贴”的背面有黏性，利用的物理知识是分子之间有引力 C. 风将花粉吹到人的鼻子里属于扩散现象 D. 在做墨水滴入水中的扩散实验中，我们看到墨水分子在水中做无规则运动</x:v>
      </x:c>
      <x:c r="M296" s="63" t="str">
        <x:v>解：A、雾霾是空气中的水蒸气液化成的小水滴与空气中灰尘结合形成的，是可见的物体，不是分子，雾霾散去不是扩散现象，故A错误； B、“便利贴”的背面有黏性，利用的物理知识是分子之间有引力，故B正确； C、花粉吹到人的鼻子不是分子运动，是机械运动，不是一种扩散现象，故C错误； D、在做墨水滴入水中的扩散实验中，看到的是由分子组成的水的运动，水分子的运动是肉眼看不到的，故D错误。 故选：B。</x:v>
      </x:c>
      <x:c r="N296" s="63" t="str">
        <x:v>https://k12static.xdf.cn/k12/image/externalized/12b4382b-5115-4fc7-bbfa-1a5d8105f2b7.png</x:v>
      </x:c>
      <x:c r="O296" s="63" t="str">
        <x:v>https://k12static.xdf.cn/k12/image/externalized/3bbfaa6c-d876-431d-94cb-e9556a1463bb.png</x:v>
      </x:c>
      <x:c r="P296" s="63" t="str">
        <x:v>1-2步</x:v>
      </x:c>
      <x:c r="Q296" s="63" t="str">
        <x:v>概念判断</x:v>
      </x:c>
      <x:c r="R296" s="63" t="str">
        <x:v>单状态</x:v>
      </x:c>
      <x:c r="S296" s="63" t="str">
        <x:v>无约束</x:v>
      </x:c>
      <x:c r="T296" s="63" t="str">
        <x:v>无</x:v>
      </x:c>
      <x:c r="U296" s="63" t="str">
        <x:v>无</x:v>
      </x:c>
      <x:c r="V296" s="63" t="str">
        <x:v>简单因果推理</x:v>
      </x:c>
    </x:row>
    <x:row r="297">
      <x:c r="A297" s="64" t="str">
        <x:v>​2612898803306299392</x:v>
      </x:c>
      <x:c r="B297" s="65" t="str">
        <x:v>中等题</x:v>
      </x:c>
      <x:c r="C297" s="65" t="str">
        <x:v>中等题</x:v>
      </x:c>
      <x:c r="D297" s="65" t="str">
        <x:v>中等题</x:v>
      </x:c>
      <x:c r="E297" s="65" t="str">
        <x:v>逐题复核后保留GPT裁定</x:v>
      </x:c>
      <x:c r="F297" s="65" t="str">
        <x:v>高</x:v>
      </x:c>
      <x:c r="G297" s="65" t="str">
        <x:v>中等题</x:v>
      </x:c>
      <x:c r="H297" s="65" t="str">
        <x:v>拔高题</x:v>
      </x:c>
      <x:c r="I297" s="65" t="str">
        <x:v>存在约3—4步常规连续分析、共享过程或完整标准实验任务，关系仍显性。 题目证据：材料要求区分内外光电效应、阈频、光敏电阻和光伏转换，信息提取较多但主要依据材料直接作答，按中等裁定。</x:v>
      </x:c>
      <x:c r="J297" s="65" t="str">
        <x:v>三次运行错题并集逐题复核</x:v>
      </x:c>
      <x:c r="K297" s="63" t="str">
        <x:v>光电效应是物理学中一个重要而神奇的现象，爱因斯坦解释为：光电效应分为光电子发射、光电导效应和阻挡层光电效应，又称光生伏特效应。前一种现象发生在物体表面，又称外光电效应。后两种现象发生在物体内部，称为内光电效应。外光电效应是指被光激发产生的电子逸出物质表面的现象（如图甲），只有入射光的频率高于一定值时，才能激发电子逸出物质表面（在红橙黄绿蓝靛紫这七种色光中，红光的频率最低）。内光电效应是指被光激发所产生的电荷仍在物质内部运动，但使物质的导电能力发生变化或在物体两端产生电压的现象。 光敏电阻器是利用半导体的光电效应制成的一种电阻值随入射光的强度而改变的电阻器：入射光强，电阻减小；入射光弱，电阻增大。光敏电阻器一般用于光的测量、光的控制和光电转换。 利用太阳能的最佳方式是光伏转换，就是利用光伏效应，使太阳光射到太阳能电池上产生电流直接发电，光伏产业正日益成为国际上继$IT$、微电子产业之后又一爆炸式发展的行业。</x:v>
      </x:c>
      <x:c r="L297" s="63" t="str"/>
      <x:c r="M297" s="63" t="str"/>
      <x:c r="N297" s="63" t="str">
        <x:v>https://k12static.xdf.cn/k12/image/externalized/f8b8035d-fe93-4c54-beb8-a8853c3ffd05.png</x:v>
      </x:c>
      <x:c r="O297" s="63" t="str">
        <x:v>https://k12static.xdf.cn/k12/image/externalized/0dacb5a5-dafe-48e4-83ef-d67f71a0a0e7.png</x:v>
      </x:c>
      <x:c r="P297" s="63" t="str">
        <x:v>1-2步</x:v>
      </x:c>
      <x:c r="Q297" s="63" t="str">
        <x:v>概念判断</x:v>
      </x:c>
      <x:c r="R297" s="63" t="str">
        <x:v>单状态</x:v>
      </x:c>
      <x:c r="S297" s="63" t="str">
        <x:v>无约束</x:v>
      </x:c>
      <x:c r="T297" s="63" t="str">
        <x:v>无</x:v>
      </x:c>
      <x:c r="U297" s="63" t="str">
        <x:v>无</x:v>
      </x:c>
      <x:c r="V297" s="63" t="str">
        <x:v>简单因果推理</x:v>
      </x:c>
    </x:row>
    <x:row r="298">
      <x:c r="A298" s="64" t="str">
        <x:v>​2615719444680331264</x:v>
      </x:c>
      <x:c r="B298" s="65" t="str">
        <x:v>基础题</x:v>
      </x:c>
      <x:c r="C298" s="65" t="str">
        <x:v>基础题</x:v>
      </x:c>
      <x:c r="D298" s="65" t="str">
        <x:v>基础题</x:v>
      </x:c>
      <x:c r="E298" s="65" t="str">
        <x:v>保留原GPT裁定</x:v>
      </x:c>
      <x:c r="F298" s="65" t="str">
        <x:v>高</x:v>
      </x:c>
      <x:c r="G298" s="65" t="str">
        <x:v>中等题</x:v>
      </x:c>
      <x:c r="H298" s="65" t="str">
        <x:v>基础题</x:v>
      </x:c>
      <x:c r="I298" s="65" t="str">
        <x:v>题干、解析与结构证据支持基础题：step=1-2步，题型=概念判断，状态=单状态，约束=无约束，推理=简单因果推理。教师、盲评和多次模型证据中未形成足以推翻原裁定的同向结构证据。</x:v>
      </x:c>
      <x:c r="J298" s="65" t="str">
        <x:v>未进入三次错题并集；逐题结构一致性复核</x:v>
      </x:c>
      <x:c r="K298" s="63" t="str">
        <x:v>下列关于光学知识的应用不正确的是（ ）</x:v>
      </x:c>
      <x:c r="L298" s="63" t="str">
        <x:v>A. 自行车的尾灯把射向它的光线按原路反射回去 B. 日食可以用光的直线传播来解释 C. 从岸边看水中的鱼变浅了是因为光从空气折射入水中，折射角小于入射角 D. 人的眼睛看清远近不同物体的像是靠调节晶状体焦距来实现的</x:v>
      </x:c>
      <x:c r="M298" s="63" t="str">
        <x:v>解： A、自行车的尾灯是由互相垂直的小平面镜组合而成的，因此可以把射向它的光线按原路反射回去（如下图所示），故A正确； B、当月球转到地球与太阳之间时，月球挡住了太阳射向地球的光，从而形成日食，可以用光的直线传播来解释，故B正确； C、鱼反射的光由水斜射向空气时，在水面处发生折射，折射角大于入射角，折射光线进入眼睛，而眼睛是逆着折射光线的方向看去，就会觉得鱼变浅了，故C错误。 D、我们看远近不同的物体时，是通过睫状体的伸缩来调节晶状体的弯曲程度，改变晶状体的焦距，使远近不同的物体都能在像距相同的视网膜上成清晰的倒立实像，故D正确。 故选：C。</x:v>
      </x:c>
      <x:c r="N298" s="63" t="str">
        <x:v>https://k12static.xdf.cn/k12/image/externalized/2555e4f8-23f7-4738-8cf8-6363543d462c.png</x:v>
      </x:c>
      <x:c r="O298" s="63" t="str">
        <x:v>https://k12static.xdf.cn/k12/image/externalized/ca50502c-b540-41f6-b5b4-1fe04bfc2368.png</x:v>
      </x:c>
      <x:c r="P298" s="63" t="str">
        <x:v>1-2步</x:v>
      </x:c>
      <x:c r="Q298" s="63" t="str">
        <x:v>概念判断</x:v>
      </x:c>
      <x:c r="R298" s="63" t="str">
        <x:v>单状态</x:v>
      </x:c>
      <x:c r="S298" s="63" t="str">
        <x:v>无约束</x:v>
      </x:c>
      <x:c r="T298" s="63" t="str">
        <x:v>无</x:v>
      </x:c>
      <x:c r="U298" s="63" t="str">
        <x:v>无</x:v>
      </x:c>
      <x:c r="V298" s="63" t="str">
        <x:v>简单因果推理</x:v>
      </x:c>
    </x:row>
    <x:row r="299">
      <x:c r="A299" s="64" t="str">
        <x:v>​2615728158594564096</x:v>
      </x:c>
      <x:c r="B299" s="65" t="str">
        <x:v>中等题</x:v>
      </x:c>
      <x:c r="C299" s="65" t="str">
        <x:v>中等题</x:v>
      </x:c>
      <x:c r="D299" s="65" t="str">
        <x:v>中等题</x:v>
      </x:c>
      <x:c r="E299" s="65" t="str">
        <x:v>保留原GPT裁定</x:v>
      </x:c>
      <x:c r="F299" s="65" t="str">
        <x:v>高</x:v>
      </x:c>
      <x:c r="G299" s="65" t="str">
        <x:v>中等题</x:v>
      </x:c>
      <x:c r="H299" s="65" t="str">
        <x:v>拔高题</x:v>
      </x:c>
      <x:c r="I299" s="65" t="str">
        <x:v>题干、解析与结构证据支持中等题：step=3-5步，题型=概念判断，状态=单状态，约束=单一约束，推理=多层因果推理。教师、盲评和多次模型证据中未形成足以推翻原裁定的同向结构证据。</x:v>
      </x:c>
      <x:c r="J299" s="65" t="str">
        <x:v>未进入三次错题并集；逐题结构一致性复核</x:v>
      </x:c>
      <x:c r="K299" s="63" t="str">
        <x:v>将一透镜正对太阳光，其下方的纸上呈现一个并非最小的光斑，这时光斑到透镜的距离为L。下面说法正确的是（ ）</x:v>
      </x:c>
      <x:c r="L299" s="63" t="str">
        <x:v>A. 一定是凸透镜，若透镜远离纸的过程中光斑一直变大，则透镜的焦距一定小于L B. 一定是凸透镜，纸上的光斑是太阳通过透镜所成的实像 C. 由于纸上呈现一个并非最小的光斑，所以可能是凹透镜 D. 一定是凸透镜，若透镜远离纸的过程中光斑一直变大，则透镜的焦距也随之变大</x:v>
      </x:c>
      <x:c r="M299" s="63" t="str">
        <x:v>解：A、将一透镜正对太阳光（平行光），纸上呈现一个并非最小的光斑，说明有最小的光斑，所以该透镜对光有会聚作用为凸透镜，这个光斑可能是焦点之前的光斑，此时透镜远离纸（光屏），光斑会先变小再变大；也可能光斑是焦点之后的，则透镜远离纸的过程中光斑一直变大，没有变小的过程，光斑到透镜的距离为L，所以透镜的焦距一定小于L，选项A正确。 B、太阳与透镜的距离大于透镜的二倍焦距，根据凸透镜成像规律，会成缩小的实像，所以像的位置是光斑最小处，则并非最小的光斑不是像，选项B错误。 C、将一透镜正对太阳光（平行光），纸上呈现一个并非最小的光斑，说明有最小的光斑，所以该透镜对光有会聚作用为凸透镜，选项C错误； D、透镜的焦距反映的是透镜的折光能力，与透镜的形状，材料等有关，而与光屏到透镜的距离无关，选项D错误。 故选：A。</x:v>
      </x:c>
      <x:c r="N299" s="63" t="str">
        <x:v>https://k12static.xdf.cn/k12/image/externalized/0a0656eb-369c-4f95-b75f-a6c5de291634.png</x:v>
      </x:c>
      <x:c r="O299" s="63" t="str">
        <x:v>https://k12static.xdf.cn/k12/image/externalized/c6c3d8b7-56aa-465b-ab74-f8a61e90db80.png</x:v>
      </x:c>
      <x:c r="P299" s="63" t="str">
        <x:v>3-5步</x:v>
      </x:c>
      <x:c r="Q299" s="63" t="str">
        <x:v>概念判断</x:v>
      </x:c>
      <x:c r="R299" s="63" t="str">
        <x:v>单状态</x:v>
      </x:c>
      <x:c r="S299" s="63" t="str">
        <x:v>单一约束</x:v>
      </x:c>
      <x:c r="T299" s="63" t="str">
        <x:v>无</x:v>
      </x:c>
      <x:c r="U299" s="63" t="str">
        <x:v>无</x:v>
      </x:c>
      <x:c r="V299" s="63" t="str">
        <x:v>多层因果推理</x:v>
      </x:c>
    </x:row>
    <x:row r="300">
      <x:c r="A300" s="64" t="str">
        <x:v>​2616455392173776896</x:v>
      </x:c>
      <x:c r="B300" s="65" t="str">
        <x:v>基础题</x:v>
      </x:c>
      <x:c r="C300" s="65" t="str">
        <x:v>基础题</x:v>
      </x:c>
      <x:c r="D300" s="65" t="str">
        <x:v>基础题</x:v>
      </x:c>
      <x:c r="E300" s="65" t="str">
        <x:v>逐题复核后保留GPT裁定</x:v>
      </x:c>
      <x:c r="F300" s="65" t="str">
        <x:v>高</x:v>
      </x:c>
      <x:c r="G300" s="65" t="str">
        <x:v>基础题</x:v>
      </x:c>
      <x:c r="H300" s="65" t="str">
        <x:v>送分题</x:v>
      </x:c>
      <x:c r="I300" s="65" t="str">
        <x:v>最高难任务为1—2步显性应用、规范操作或简单因果，没有连续模型转换。 题目证据：最长连续链实际有效物理决策仅1步，五维锚定知识量为1-2个基础概念，单对象单状态，无运算，情境只是包装不增加理解负担，思维层次为直接识别。核心任务为辨析红外线的可见性与红外测温仪的工作原理，两个知识点独立但均为教材基础概念直接判断。</x:v>
      </x:c>
      <x:c r="J300" s="65" t="str">
        <x:v>三次运行错题并集逐题复核</x:v>
      </x:c>
      <x:c r="K300" s="63" t="str">
        <x:v>小明在等待小吃“围炉锅盔”时，看到营业员用一把如图所示的红外线测温仪对着炉内的铁板测温，小明发现铁板上有一个红色光点，关于红外测温仪和红色光点的说法正确的是​（ ）</x:v>
      </x:c>
      <x:c r="L300" s="63" t="str">
        <x:v>A. “红色光点”是红外线测温仪发出的红外线 B. “红色光点”是高温铁板反射的红外线 C. 红外线测温仪是利用高温铁板发出的红外线测温 D. 红外线测温仪是利用高温铁板反射的红外线测温</x:v>
      </x:c>
      <x:c r="M300" s="63" t="str">
        <x:v>解：AB、红外线是不可见光，故AB错误； CD、红外线测温仪是通过对物体自身辐射的红外能量的测量，准确地测定物体表面温度的仪器，而不是通过测温枪发出红外线来测体温，故C正确，D错误。 故选：C。</x:v>
      </x:c>
      <x:c r="N300" s="63" t="str">
        <x:v>https://k12static.xdf.cn/k12/image/externalized/9a6364e6-b0f0-4286-9995-0184b30534a8.png</x:v>
      </x:c>
      <x:c r="O300" s="63" t="str">
        <x:v>https://k12static.xdf.cn/k12/image/externalized/0a79ed8a-f3af-4ade-bc00-b30fdb976701.png</x:v>
      </x:c>
      <x:c r="P300" s="63" t="str">
        <x:v>1-2步</x:v>
      </x:c>
      <x:c r="Q300" s="63" t="str">
        <x:v>概念判断</x:v>
      </x:c>
      <x:c r="R300" s="63" t="str">
        <x:v>单状态</x:v>
      </x:c>
      <x:c r="S300" s="63" t="str">
        <x:v>无约束</x:v>
      </x:c>
      <x:c r="T300" s="63" t="str">
        <x:v>无</x:v>
      </x:c>
      <x:c r="U300" s="63" t="str">
        <x:v>无</x:v>
      </x:c>
      <x:c r="V300" s="63" t="str">
        <x:v>简单因果推理</x:v>
      </x:c>
    </x:row>
    <x:row r="301">
      <x:c r="A301" s="64" t="str">
        <x:v>​2623909474836176896</x:v>
      </x:c>
      <x:c r="B301" s="65" t="str">
        <x:v>拔高题</x:v>
      </x:c>
      <x:c r="C301" s="65" t="str">
        <x:v>拔高题</x:v>
      </x:c>
      <x:c r="D301" s="65" t="str">
        <x:v>拔高题</x:v>
      </x:c>
      <x:c r="E301" s="65" t="str">
        <x:v>保留原GPT裁定</x:v>
      </x:c>
      <x:c r="F301" s="65" t="str">
        <x:v>高</x:v>
      </x:c>
      <x:c r="G301" s="65" t="str">
        <x:v>拔高题</x:v>
      </x:c>
      <x:c r="H301" s="65" t="str">
        <x:v>压轴题</x:v>
      </x:c>
      <x:c r="I301" s="65" t="str">
        <x:v>题干、解析与结构证据支持拔高题：step=6-8步，题型=实验探究，状态=双状态，约束=多约束，推理=逆向推理或临界分析。教师、盲评和多次模型证据中未形成足以推翻原裁定的同向结构证据。</x:v>
      </x:c>
      <x:c r="J301" s="65" t="str">
        <x:v>未进入三次错题并集；逐题结构一致性复核</x:v>
      </x:c>
      <x:c r="K301" s="63" t="str">
        <x:v>学习密度知识以后，小婷、小明分别用不同的方法测量物体的密度。 （1）小婷同学为了知道石块的密度，她利用电子秤、水杯、记号笔等工具进行了如下测量： ①用电子秤测出装有适量水的杯子总质量m1，示数如图甲所示。 ②将石块缓慢浸没在杯中，测得杯、水、石块的总质量m2，示数如图乙所示。石块浸没足够长时间后，在水面到达的位置上做标记，然后取出石块（忽略石块表面带出的水）。 向杯中缓慢加水，让水面上升至标记处，测得杯和水的总质量m3，示数如图丙所示。 根据以上测量，可得石块的体积V石= ________ cm3。 在测量完成后，小婷发现石块吸水，则以上步骤所测得的石块密度与真实值相比 ________ （选填“偏大”“偏小”或“相等”）。若已知该石块每105cm3最多能吸水的体积是10cm3，则未吸水时石块的密度为 ________ g/cm3。（结果保留一位小数） （2）小明用托盘天平、烧杯和已知密度为ρ0的金属块测出了瓶装饮料的密度ρ。 ①将天平放在水平台面上，游码移至标尺左端的“0”刻度线处，调节天平平衡。 ②将金属块放在天平的左托盘中，天平平衡时所用砝码和游码位置如图丁所示，金属块的质量m1= ________ g。 ③把金属块放入空烧杯中，往烧杯中倒入适量饮料，使金属块浸没在饮料中，在烧杯液面位置做好标记。测出此时烧杯、金属块和烧杯中饮料的总质量为m2。 ④取出金属块，放在台面上。往烧杯中倒饮料，直至液面到达标记处。测出 ________ 。 ⑤ρ= ________ （用所测物理量的符号表示）。金属块取出时带走部分饮料，测量结果 ________ （选填“偏大”“偏小”或“不变”）。</x:v>
      </x:c>
      <x:c r="L301" s="63" t="str"/>
      <x:c r="M301" s="63" t="str">
        <x:v>解：（1）在如图所示的方法中，取出了石块，再将水补充到原来的标记处，这样增加的水的体积就是石块的体积；石块的质量： m石=m2-m1=342.0g-250.0g=92g, 增加的水的质量： m水=m3-m1=288.0g-250.0g=38g, 石块的体积：${V_石}={V_水}=\frac{m_水}{ρ_水}=\frac{38g}{1g/c{m^3}}=38c{m^3}$， 石块吸水，使得增加的水的体积偏小，这样测量的石块的体积偏小，计算得到的石块密度偏大；已知该石块每105cm3最多能吸水的体积10cm3，石块的实际体积V：由题意得到$\frac{105c{m^3}-10c{m^3}}{105c{m^3}}V={V_石}$，$V=\frac{105}{95}×38c{m^3}=42c{m^3}$ 石块的实际密度：${ρ_{石实}}=\frac{m}{V}=\frac{92g}{42c{m^3}}≈2.2g/c{m^3}$ （2）由图丁可知金属块的质量： m1=50g+20g+10g+2.4g=82.4g, ④加注液体的体积等于金属块的体积、要测量加注液体的质量，应测量出加注后饮料与烧杯的总质量为m3。 ⑤在步骤4中，向烧杯中加注饮料的质量： m=m1+m3-m2， 因往烧杯中倒饮料直至液面到达标记处，所以加注饮料的体积等于金属块的体积，则该过程加注饮料的体积：$V={V_金}=\frac{m_金}{ρ_金}=\frac{m_1}{ρ_0}$， 饮料的密度（可理解为加注饮料的密度）：$ρ=\frac{m}{V}=\frac{{m_1}+{m_3}-{m_2}}{\frac{m_1}{ρ_0}}=\frac{{m_1}+{m_3}-{m_2}}{m_1}{ρ_0}$， 虽然金属块取出时会带走部分饮料，但加注饮料达到标记处时测得烧杯和饮料的总质量m3不变，且测得的质量m1、m2准确，根据上面表达式可知，计算出的饮料密度值不变。 故答案为：（1）38；偏大；2.2； （2）82.4；烧杯和饮料的总质量m3；$\frac{{m}_{1}+{m}_{3}-{m}_{2}}{{m}_{1}}{ρ}_{0}$，不变。</x:v>
      </x:c>
      <x:c r="N301" s="63" t="str">
        <x:v>https://k12static.xdf.cn/k12/image/externalized/4fc2e718-5c94-4b41-9e92-f3058cfac603.png</x:v>
      </x:c>
      <x:c r="O301" s="63" t="str">
        <x:v>https://k12static.xdf.cn/k12/image/externalized/d9a7d58a-465c-4e74-91d2-662d126c3356.png</x:v>
      </x:c>
      <x:c r="P301" s="63" t="str">
        <x:v>6-8步</x:v>
      </x:c>
      <x:c r="Q301" s="63" t="str">
        <x:v>实验探究</x:v>
      </x:c>
      <x:c r="R301" s="63" t="str">
        <x:v>双状态</x:v>
      </x:c>
      <x:c r="S301" s="63" t="str">
        <x:v>多约束</x:v>
      </x:c>
      <x:c r="T301" s="63" t="str">
        <x:v>方案设计或误差评价</x:v>
      </x:c>
      <x:c r="U301" s="63" t="str">
        <x:v>直接读数</x:v>
      </x:c>
      <x:c r="V301" s="63" t="str">
        <x:v>逆向推理或临界分析</x:v>
      </x:c>
    </x:row>
    <x:row r="302">
      <x:c r="A302" s="64" t="str">
        <x:v>​2624547325777068032</x:v>
      </x:c>
      <x:c r="B302" s="65" t="str">
        <x:v>基础题</x:v>
      </x:c>
      <x:c r="C302" s="65" t="str">
        <x:v>基础题</x:v>
      </x:c>
      <x:c r="D302" s="65" t="str">
        <x:v>基础题</x:v>
      </x:c>
      <x:c r="E302" s="65" t="str">
        <x:v>保留原GPT裁定</x:v>
      </x:c>
      <x:c r="F302" s="65" t="str">
        <x:v>高</x:v>
      </x:c>
      <x:c r="G302" s="65" t="str">
        <x:v>送分题</x:v>
      </x:c>
      <x:c r="H302" s="65" t="str">
        <x:v>基础题</x:v>
      </x:c>
      <x:c r="I302" s="65" t="str">
        <x:v>题干、解析与结构证据支持基础题：step=1-2步，题型=概念判断，状态=单状态，约束=单一约束，推理=简单因果推理。教师、盲评和多次模型证据中未形成足以推翻原裁定的同向结构证据。</x:v>
      </x:c>
      <x:c r="J302" s="65" t="str">
        <x:v>未进入三次错题并集；逐题结构一致性复核</x:v>
      </x:c>
      <x:c r="K302" s="63" t="str">
        <x:v>如图所示电路要使电灯L1、L2并联，应当（ ）</x:v>
      </x:c>
      <x:c r="L302" s="63" t="str">
        <x:v>A. 只闭合S1、S2 B. 只闭合S2、S3 C. 只闭合S1、S3 D. 同时闭合S1、S2、S3</x:v>
      </x:c>
      <x:c r="M302" s="63" t="str">
        <x:v>解：电流从电源正极出发，要使电流出现分路，分别流经灯泡L1与L2，需要闭合开关S3，才能使电流流经灯泡L1与L2后汇合在一起，最后闭合开关S1，电流回到电源的负极，即应该是闭合开关S1、S3，断开S2； 故选：C。</x:v>
      </x:c>
      <x:c r="N302" s="63" t="str">
        <x:v>https://k12static.xdf.cn/k12/image/externalized/13bf8b0a-2231-45dc-a90f-943c5d6d27d1.png</x:v>
      </x:c>
      <x:c r="O302" s="63" t="str">
        <x:v>https://k12static.xdf.cn/k12/image/externalized/246882c1-c6ec-418d-8868-379d679b24b8.png</x:v>
      </x:c>
      <x:c r="P302" s="63" t="str">
        <x:v>1-2步</x:v>
      </x:c>
      <x:c r="Q302" s="63" t="str">
        <x:v>概念判断</x:v>
      </x:c>
      <x:c r="R302" s="63" t="str">
        <x:v>单状态</x:v>
      </x:c>
      <x:c r="S302" s="63" t="str">
        <x:v>单一约束</x:v>
      </x:c>
      <x:c r="T302" s="63" t="str">
        <x:v>无</x:v>
      </x:c>
      <x:c r="U302" s="63" t="str">
        <x:v>无</x:v>
      </x:c>
      <x:c r="V302" s="63" t="str">
        <x:v>简单因果推理</x:v>
      </x:c>
    </x:row>
    <x:row r="303">
      <x:c r="A303" s="64" t="str">
        <x:v>​2628418288885219328</x:v>
      </x:c>
      <x:c r="B303" s="65" t="str">
        <x:v>中等题</x:v>
      </x:c>
      <x:c r="C303" s="65" t="str">
        <x:v>中等题</x:v>
      </x:c>
      <x:c r="D303" s="65" t="str">
        <x:v>中等题</x:v>
      </x:c>
      <x:c r="E303" s="65" t="str">
        <x:v>逐题复核后保留GPT裁定</x:v>
      </x:c>
      <x:c r="F303" s="65" t="str">
        <x:v>高</x:v>
      </x:c>
      <x:c r="G303" s="65" t="str">
        <x:v>中等题</x:v>
      </x:c>
      <x:c r="H303" s="65" t="str">
        <x:v>中等题</x:v>
      </x:c>
      <x:c r="I303" s="65" t="str">
        <x:v>需要围绕电路状态、图线/参数与安全约束完成常规的3—4个有效决策，或完成一套完整标准实验/共享过程分析。关系仍显性、方法常规，没有决定性隐含转换、复杂边界筛选或多状态强耦合。</x:v>
      </x:c>
      <x:c r="J303" s="65" t="str">
        <x:v>三次运行错题并集逐题复核</x:v>
      </x:c>
      <x:c r="K303" s="63" t="str">
        <x:v>如图是自动测量油箱的油量装置图。其中R′是定值电阻，R是弧形变阻器，它的金属滑片与是金属杠杆的一端，下列判断正确的是（ ）</x:v>
      </x:c>
      <x:c r="L303" s="63" t="str">
        <x:v>A. 油量表是电压表改装而成的 B. R和R′是并联的 C. 油位越高，通过R的电流越大 D. 油位越低，R两端的电压越小</x:v>
      </x:c>
      <x:c r="M303" s="63" t="str">
        <x:v>解：A．图中油量表串联在电路中，是由电流表改装而成的，故A错误。 B．由电路图可知，R和R′依次串联，电流只有一条路径，则两电阻是串联的，故B错误； C．油位越高，浮标上移，滑片下移，接入电路中的电阻变小，电路中的总电阻变小，由I=$\frac{U}{R}$可知，电路中的电流变大，即通过R的电流越大，故C正确； D．油位越低，浮标下移，滑片上移，接入电路中的电阻变大，电路中的总电阻变大，由I=$\frac{U}{R}$可知，电路中的电流变小，由U=IR可知，R′两端的电压变小，因串联电路中总电压等于各分电压之和，所以R两端的电压越大，故D错误。 故选：C。</x:v>
      </x:c>
      <x:c r="N303" s="63" t="str">
        <x:v>https://k12static.xdf.cn/k12/image/externalized/60334978-b2e1-4b50-9f85-926cb6aa241a.png</x:v>
      </x:c>
      <x:c r="O303" s="63" t="str">
        <x:v>https://k12static.xdf.cn/k12/image/externalized/05e56d0c-3689-457d-a8bb-32464dff7211.png</x:v>
      </x:c>
      <x:c r="P303" s="63" t="str">
        <x:v>1-2步</x:v>
      </x:c>
      <x:c r="Q303" s="63" t="str">
        <x:v>概念判断</x:v>
      </x:c>
      <x:c r="R303" s="63" t="str">
        <x:v>单状态</x:v>
      </x:c>
      <x:c r="S303" s="63" t="str">
        <x:v>无约束</x:v>
      </x:c>
      <x:c r="T303" s="63" t="str">
        <x:v>无</x:v>
      </x:c>
      <x:c r="U303" s="63" t="str">
        <x:v>无</x:v>
      </x:c>
      <x:c r="V303" s="63" t="str">
        <x:v>简单因果推理</x:v>
      </x:c>
    </x:row>
    <x:row r="304">
      <x:c r="A304" s="64" t="str">
        <x:v>​2630964765099053056</x:v>
      </x:c>
      <x:c r="B304" s="65" t="str">
        <x:v>送分题</x:v>
      </x:c>
      <x:c r="C304" s="65" t="str">
        <x:v>送分题</x:v>
      </x:c>
      <x:c r="D304" s="65" t="str">
        <x:v>送分题</x:v>
      </x:c>
      <x:c r="E304" s="65" t="str">
        <x:v>逐题复核后保留GPT裁定</x:v>
      </x:c>
      <x:c r="F304" s="65" t="str">
        <x:v>高</x:v>
      </x:c>
      <x:c r="G304" s="65" t="str">
        <x:v>送分题</x:v>
      </x:c>
      <x:c r="H304" s="65" t="str">
        <x:v>送分题</x:v>
      </x:c>
      <x:c r="I304" s="65" t="str">
        <x:v>核心只需识别一个唯一、熟悉且关系显性的教材模板（教材概念与常规物理关系），没有第二次独立物理决策；背景、选项数量或机械作答动作不增加难度。</x:v>
      </x:c>
      <x:c r="J304" s="65" t="str">
        <x:v>三次运行错题并集逐题复核</x:v>
      </x:c>
      <x:c r="K304" s="63" t="str">
        <x:v>一杯盐开水，用去半杯，剩下的半杯盐开水（ ）</x:v>
      </x:c>
      <x:c r="L304" s="63" t="str">
        <x:v>A. 其密度减半，因质量减半 B. 其质量减半，但密度不变 C. 其体积减半，密度也减半 D. 其质量、体积和密度均减半</x:v>
      </x:c>
      <x:c r="M304" s="63" t="str">
        <x:v>解：一杯盐开水，用去一半，剩下的半杯盐开水的质量和体积都变为原来的一半，但是由于物质种类不变，盐水的密度不变。 故选：B。</x:v>
      </x:c>
      <x:c r="N304" s="63" t="str">
        <x:v>https://k12static.xdf.cn/k12/image/externalized/e672caab-8980-444a-8456-15d30a12dcda.png</x:v>
      </x:c>
      <x:c r="O304" s="63" t="str">
        <x:v>https://k12static.xdf.cn/k12/image/externalized/573adfc3-f78b-4657-be74-2e0261623e43.png</x:v>
      </x:c>
      <x:c r="P304" s="63" t="str">
        <x:v>1-2步</x:v>
      </x:c>
      <x:c r="Q304" s="63" t="str">
        <x:v>概念判断</x:v>
      </x:c>
      <x:c r="R304" s="63" t="str">
        <x:v>单状态</x:v>
      </x:c>
      <x:c r="S304" s="63" t="str">
        <x:v>无约束</x:v>
      </x:c>
      <x:c r="T304" s="63" t="str">
        <x:v>无</x:v>
      </x:c>
      <x:c r="U304" s="63" t="str">
        <x:v>无</x:v>
      </x:c>
      <x:c r="V304" s="63" t="str">
        <x:v>简单因果推理</x:v>
      </x:c>
    </x:row>
    <x:row r="305">
      <x:c r="A305" s="64" t="str">
        <x:v>​2631537743113244672</x:v>
      </x:c>
      <x:c r="B305" s="65" t="str">
        <x:v>基础题</x:v>
      </x:c>
      <x:c r="C305" s="65" t="str">
        <x:v>基础题</x:v>
      </x:c>
      <x:c r="D305" s="65" t="str">
        <x:v>基础题</x:v>
      </x:c>
      <x:c r="E305" s="65" t="str">
        <x:v>保留原GPT裁定</x:v>
      </x:c>
      <x:c r="F305" s="65" t="str">
        <x:v>高</x:v>
      </x:c>
      <x:c r="G305" s="65" t="str">
        <x:v>基础题</x:v>
      </x:c>
      <x:c r="H305" s="65" t="str">
        <x:v>中等题</x:v>
      </x:c>
      <x:c r="I305" s="65" t="str">
        <x:v>题干、解析与结构证据支持基础题：step=1-2步，题型=概念判断，状态=单状态，约束=无约束，推理=简单因果推理。教师、盲评和多次模型证据中未形成足以推翻原裁定的同向结构证据。</x:v>
      </x:c>
      <x:c r="J305" s="65" t="str">
        <x:v>未进入三次错题并集；逐题结构一致性复核</x:v>
      </x:c>
      <x:c r="K305" s="63" t="str">
        <x:v>关于串、并联电路，下列说法正确的是（ ）</x:v>
      </x:c>
      <x:c r="L305" s="63" t="str">
        <x:v>A. 公路边路灯要亮一起亮，要灭一起灭，由此可以判定它们是串联的 B. 随手关闭家里不必要使用的电灯等家用电器。每多关闭一个家用电器，家庭电路里干路电流将变小 C. 教室里每三盏灯由一个开关控制，所以它们是串联的 D. 通过两用电器的电流相等，它们一定是串联的</x:v>
      </x:c>
      <x:c r="M305" s="63" t="str">
        <x:v>解：A、公路边路灯要亮一起亮，要灭一起灭，若一盏灯损坏，其余的灯仍能正常工作，说明它们是并联的，故A错误； B、家庭电路中各用电器之间的连接方式是并联；并联电路各支路互不影响，由于干路中的电流等于各支路电流的和，所以每多关闭一个家用电器，干路中的电流变小，即总电流变小，故B正确； C、若这些灯并联在一起，同时在干路上用一个主开关控制，也会同时亮同时灭，因此不能确定它们是串联的，故C错误； D、在并联电路中，用电器规格相同时，通过的电流是相同的，所以通过两用电器的电流相等，它们不一定是串联的，故D错误。 故选：B。</x:v>
      </x:c>
      <x:c r="N305" s="63" t="str">
        <x:v>https://k12static.xdf.cn/k12/image/externalized/d438c1c8-8307-40b4-a0f0-06365eda132f.png</x:v>
      </x:c>
      <x:c r="O305" s="63" t="str">
        <x:v>https://k12static.xdf.cn/k12/image/externalized/34e88eda-34a4-447e-8c7b-c73f8b931712.png</x:v>
      </x:c>
      <x:c r="P305" s="63" t="str">
        <x:v>1-2步</x:v>
      </x:c>
      <x:c r="Q305" s="63" t="str">
        <x:v>概念判断</x:v>
      </x:c>
      <x:c r="R305" s="63" t="str">
        <x:v>单状态</x:v>
      </x:c>
      <x:c r="S305" s="63" t="str">
        <x:v>无约束</x:v>
      </x:c>
      <x:c r="T305" s="63" t="str">
        <x:v>无</x:v>
      </x:c>
      <x:c r="U305" s="63" t="str">
        <x:v>无</x:v>
      </x:c>
      <x:c r="V305" s="63" t="str">
        <x:v>简单因果推理</x:v>
      </x:c>
    </x:row>
    <x:row r="306">
      <x:c r="A306" s="64" t="str">
        <x:v>​2633161678218616832</x:v>
      </x:c>
      <x:c r="B306" s="65" t="str">
        <x:v>送分题</x:v>
      </x:c>
      <x:c r="C306" s="65" t="str">
        <x:v>送分题</x:v>
      </x:c>
      <x:c r="D306" s="65" t="str">
        <x:v>送分题</x:v>
      </x:c>
      <x:c r="E306" s="65" t="str">
        <x:v>保留原GPT裁定</x:v>
      </x:c>
      <x:c r="F306" s="65" t="str">
        <x:v>中</x:v>
      </x:c>
      <x:c r="G306" s="65" t="str">
        <x:v>基础题</x:v>
      </x:c>
      <x:c r="H306" s="65" t="str">
        <x:v>送分题</x:v>
      </x:c>
      <x:c r="I306" s="65" t="str">
        <x:v>题干、解析与结构证据支持送分题：step=1-2步，题型=概念判断，状态=单状态，约束=无约束，推理=简单因果推理。教师、盲评和多次模型证据中未形成足以推翻原裁定的同向结构证据。</x:v>
      </x:c>
      <x:c r="J306" s="65" t="str">
        <x:v>未进入三次错题并集；逐题结构一致性复核</x:v>
      </x:c>
      <x:c r="K306" s="63" t="str">
        <x:v>某同学做“小孔成像”实验时，选用白炽灯做光源，用月牙形的小孔，则光屏上的像的形状是（ ）</x:v>
      </x:c>
      <x:c r="L306" s="63" t="str">
        <x:v>A. 圆形的 B. 直角形的 C. 月牙形的 D. 灯丝状的</x:v>
      </x:c>
      <x:c r="M306" s="63" t="str">
        <x:v>解：做‘小孔成像’实验时，选用白炽灯做光源，用月牙形的小孔，其像的形状不变，只与物体的形状有关，和小孔的形状无关，因此像的形状仍然是灯丝状的。 故选：D。</x:v>
      </x:c>
      <x:c r="N306" s="63" t="str">
        <x:v>https://k12static.xdf.cn/k12/image/externalized/641a525b-7ebb-4f80-b3ec-28cdd7375ee7.png</x:v>
      </x:c>
      <x:c r="O306" s="63" t="str">
        <x:v>https://k12static.xdf.cn/k12/image/externalized/69018039-ae44-4c01-be76-bec581286015.png</x:v>
      </x:c>
      <x:c r="P306" s="63" t="str">
        <x:v>1-2步</x:v>
      </x:c>
      <x:c r="Q306" s="63" t="str">
        <x:v>概念判断</x:v>
      </x:c>
      <x:c r="R306" s="63" t="str">
        <x:v>单状态</x:v>
      </x:c>
      <x:c r="S306" s="63" t="str">
        <x:v>无约束</x:v>
      </x:c>
      <x:c r="T306" s="63" t="str">
        <x:v>无</x:v>
      </x:c>
      <x:c r="U306" s="63" t="str">
        <x:v>无</x:v>
      </x:c>
      <x:c r="V306" s="63" t="str">
        <x:v>简单因果推理</x:v>
      </x:c>
    </x:row>
    <x:row r="307">
      <x:c r="A307" s="64" t="str">
        <x:v>​2660188946844631040</x:v>
      </x:c>
      <x:c r="B307" s="65" t="str">
        <x:v>中等题</x:v>
      </x:c>
      <x:c r="C307" s="65" t="str">
        <x:v>中等题</x:v>
      </x:c>
      <x:c r="D307" s="65" t="str">
        <x:v>中等题</x:v>
      </x:c>
      <x:c r="E307" s="65" t="str">
        <x:v>逐题复核后保留GPT裁定</x:v>
      </x:c>
      <x:c r="F307" s="65" t="str">
        <x:v>高</x:v>
      </x:c>
      <x:c r="G307" s="65" t="str">
        <x:v>基础题</x:v>
      </x:c>
      <x:c r="H307" s="65" t="str">
        <x:v>中等题</x:v>
      </x:c>
      <x:c r="I307" s="65" t="str">
        <x:v>存在约3—4步常规连续分析、共享过程或完整标准实验任务，关系仍显性。 题目证据：原标偏低。最长有效链为3-5步、题型为光学声学综合、推理为多层因果推理；实际任务已超过基础题所允许的直接识别/显性应用范围，裁定为中等题。 复核证据：独立盲评与三次模型中有3/4支持中等题。</x:v>
      </x:c>
      <x:c r="J307" s="65" t="str">
        <x:v>三次运行错题并集逐题复核</x:v>
      </x:c>
      <x:c r="K307" s="63" t="str">
        <x:v>如图所示，在水平桌面上放置一面与台面成45°角的平面镜，让一小球沿桌面向镜面匀速运动，则镜子中小球的像将（ ）</x:v>
      </x:c>
      <x:c r="L307" s="63" t="str">
        <x:v>A. 竖直下落 B. 水平向右运动 C. 沿镜面向下运动 D. 竖直向上运动</x:v>
      </x:c>
      <x:c r="M307" s="63" t="str">
        <x:v>解：根据题意，做出小球的像来，如下图所示，由于像与物体是对称的，所以此时平面镜与水平桌面的夹角为45度，即像的连线AC与镜面的夹角也是45度，故此时AC与水平面垂直，所以小球水平向右运动，小球的像竖直向下运动； 故选：A。</x:v>
      </x:c>
      <x:c r="N307" s="63" t="str">
        <x:v>https://k12static.xdf.cn/k12/image/externalized/c9af041d-2851-4473-a496-9d2b4db72fcf.png</x:v>
      </x:c>
      <x:c r="O307" s="63" t="str">
        <x:v>https://k12static.xdf.cn/k12/image/externalized/ce17d81c-11ed-47dc-90f7-9339eea67641.png</x:v>
      </x:c>
      <x:c r="P307" s="63" t="str">
        <x:v>3-5步</x:v>
      </x:c>
      <x:c r="Q307" s="63" t="str">
        <x:v>光学声学综合</x:v>
      </x:c>
      <x:c r="R307" s="63" t="str">
        <x:v>单状态</x:v>
      </x:c>
      <x:c r="S307" s="63" t="str">
        <x:v>无约束</x:v>
      </x:c>
      <x:c r="T307" s="63" t="str">
        <x:v>无</x:v>
      </x:c>
      <x:c r="U307" s="63" t="str">
        <x:v>无</x:v>
      </x:c>
      <x:c r="V307" s="63" t="str">
        <x:v>多层因果推理</x:v>
      </x:c>
    </x:row>
    <x:row r="308">
      <x:c r="A308" s="64" t="str">
        <x:v>​2664440590692028416</x:v>
      </x:c>
      <x:c r="B308" s="65" t="str">
        <x:v>中等题</x:v>
      </x:c>
      <x:c r="C308" s="65" t="str">
        <x:v>中等题</x:v>
      </x:c>
      <x:c r="D308" s="65" t="str">
        <x:v>中等题</x:v>
      </x:c>
      <x:c r="E308" s="65" t="str">
        <x:v>保留原GPT裁定</x:v>
      </x:c>
      <x:c r="F308" s="65" t="str">
        <x:v>高</x:v>
      </x:c>
      <x:c r="G308" s="65" t="str">
        <x:v>中等题</x:v>
      </x:c>
      <x:c r="H308" s="65" t="str">
        <x:v>拔高题</x:v>
      </x:c>
      <x:c r="I308" s="65" t="str">
        <x:v>题干、解析与结构证据支持中等题：step=3-5步，题型=电路综合，状态=双状态，约束=单一约束，推理=多层因果推理。教师、盲评和多次模型证据中未形成足以推翻原裁定的同向结构证据。</x:v>
      </x:c>
      <x:c r="J308" s="65" t="str">
        <x:v>未进入三次错题并集；逐题结构一致性复核</x:v>
      </x:c>
      <x:c r="K308" s="63" t="str">
        <x:v>如图所示的电路中，电源电压保持不变，当开关S闭合，甲、乙两表为电压表时，两表的示数之比U甲：U乙=5：3，当开关S断开，甲、乙为电流表时，两表示数之比I1：I2是（ ）</x:v>
      </x:c>
      <x:c r="L308" s="63" t="str">
        <x:v>A. 2：5 B. 3：2 C. 5：2 D. 5：3</x:v>
      </x:c>
      <x:c r="M308" s="63" t="str">
        <x:v>解：当开关S闭合时，甲、乙两表为电压表时，该电路为R1和R2的串联电路，电压表甲测电源电压，电压表乙测R2两端的电压， 由欧姆定律可知：U甲=I（R1+R2），U乙=IR2， 由题知$\frac{{U}_{甲}}{{U}_{乙}}=\frac{I({R}_{1}+{R}_{2})}{I{R}_{2}}=\frac{5}{3}$，即$\frac{{R}_{1}+{R}_{2}}{{R}_{2}}=\frac{5}{3}$，则R1=$\frac{2}{3}$R2； 当开关S断开时，甲、乙两表为电流表时，该电路为R1和R2的并联电路，电流表甲测通过R2的电流，电流表乙测干路的电流， 由欧姆定律和并联电路的电流特点可知，电流表甲的示数：I1=IR2=$\frac{U}{{R}_{2}}$， 电流表乙的示数：I2=IR1+IR2=$\frac{U}{{R}_{1}}+\frac{U}{{R}_{2}}$=$\frac{U}{\frac{2}{3}{R}_{2}}$+$\frac{U}{{R}_{2}}$=2.5×$\frac{U}{{R}_{2}}$， 则电流表甲和乙的示数之比为：$\frac{{I}_{1}}{{I}_{2}}$=$\frac{\frac{U}{{R}_{2}}}{2.5×\frac{U}{{R}_{2}}}$=$\frac{2}{5}$，故A正确。 故选：A。</x:v>
      </x:c>
      <x:c r="N308" s="63" t="str">
        <x:v>https://k12static.xdf.cn/k12/image/externalized/e45f53c5-b247-4b5a-8a76-8faf450abcb2.png</x:v>
      </x:c>
      <x:c r="O308" s="63" t="str">
        <x:v>https://k12static.xdf.cn/k12/image/externalized/61e945e5-d1d9-488d-aed5-999d8737f474.png</x:v>
      </x:c>
      <x:c r="P308" s="63" t="str">
        <x:v>3-5步</x:v>
      </x:c>
      <x:c r="Q308" s="63" t="str">
        <x:v>电路综合</x:v>
      </x:c>
      <x:c r="R308" s="63" t="str">
        <x:v>双状态</x:v>
      </x:c>
      <x:c r="S308" s="63" t="str">
        <x:v>单一约束</x:v>
      </x:c>
      <x:c r="T308" s="63" t="str">
        <x:v>无</x:v>
      </x:c>
      <x:c r="U308" s="63" t="str">
        <x:v>无</x:v>
      </x:c>
      <x:c r="V308" s="63" t="str">
        <x:v>多层因果推理</x:v>
      </x:c>
    </x:row>
    <x:row r="309">
      <x:c r="A309" s="64" t="str">
        <x:v>​2667781620899512320</x:v>
      </x:c>
      <x:c r="B309" s="65" t="str">
        <x:v>基础题</x:v>
      </x:c>
      <x:c r="C309" s="65" t="str">
        <x:v>基础题</x:v>
      </x:c>
      <x:c r="D309" s="65" t="str">
        <x:v>基础题</x:v>
      </x:c>
      <x:c r="E309" s="65" t="str">
        <x:v>保留原GPT裁定</x:v>
      </x:c>
      <x:c r="F309" s="65" t="str">
        <x:v>高</x:v>
      </x:c>
      <x:c r="G309" s="65" t="str">
        <x:v>中等题</x:v>
      </x:c>
      <x:c r="H309" s="65" t="str">
        <x:v>基础题</x:v>
      </x:c>
      <x:c r="I309" s="65" t="str">
        <x:v>题干、解析与结构证据支持基础题：step=1-2步，题型=电路综合，状态=单状态，约束=单一约束，推理=多层因果推理。教师、盲评和多次模型证据中未形成足以推翻原裁定的同向结构证据。</x:v>
      </x:c>
      <x:c r="J309" s="65" t="str">
        <x:v>未进入三次错题并集；逐题结构一致性复核</x:v>
      </x:c>
      <x:c r="K309" s="63" t="str">
        <x:v>如图所示，电源电压为3V且保持不变。闭合开关S，电流表示数为1A，R1=1Ω。下列说法正确的是（ ）</x:v>
      </x:c>
      <x:c r="L309" s="63" t="str">
        <x:v>A. R2的阻值为3Ω B. 电压表的示数为3V C. 流过R1的电流为1A D. R1两端电压为2V</x:v>
      </x:c>
      <x:c r="M309" s="63" t="str">
        <x:v>解：由图可知，开关S闭合时，R1和R2串联，电流表测电路中的电流，电压表测R2两端电压； C、串联电路电流相等，则流过R1的电流为1A，故C正确； D、由$I=\frac{U}{R}$得，R1两端电压为： U1=IR1=1A×1Ω=1V，故D错误； B、根据串联电路电压规律可得，R2两端电压，即电压表的示数为： U2=U-U1=3V-1V=2V，故B错误； A、由欧姆定律可得，R2的阻值为： ${R}_{2}=\frac{{U}_{2}}{I}=\frac{2V}{1A}=2Ω$，故A错误。 故选：C。</x:v>
      </x:c>
      <x:c r="N309" s="63" t="str">
        <x:v>https://k12static.xdf.cn/k12/image/externalized/e73edfb1-e90e-490f-9453-7529e036cec4.png</x:v>
      </x:c>
      <x:c r="O309" s="63" t="str">
        <x:v>https://k12static.xdf.cn/k12/image/externalized/550d3e9e-696a-41a1-8159-2b3300047a80.png</x:v>
      </x:c>
      <x:c r="P309" s="63" t="str">
        <x:v>1-2步</x:v>
      </x:c>
      <x:c r="Q309" s="63" t="str">
        <x:v>电路综合</x:v>
      </x:c>
      <x:c r="R309" s="63" t="str">
        <x:v>单状态</x:v>
      </x:c>
      <x:c r="S309" s="63" t="str">
        <x:v>单一约束</x:v>
      </x:c>
      <x:c r="T309" s="63" t="str">
        <x:v>无</x:v>
      </x:c>
      <x:c r="U309" s="63" t="str">
        <x:v>无</x:v>
      </x:c>
      <x:c r="V309" s="63" t="str">
        <x:v>多层因果推理</x:v>
      </x:c>
    </x:row>
    <x:row r="310">
      <x:c r="A310" s="64" t="str">
        <x:v>​2668775184581627904</x:v>
      </x:c>
      <x:c r="B310" s="65" t="str">
        <x:v>中等题</x:v>
      </x:c>
      <x:c r="C310" s="65" t="str">
        <x:v>中等题</x:v>
      </x:c>
      <x:c r="D310" s="65" t="str">
        <x:v>中等题</x:v>
      </x:c>
      <x:c r="E310" s="65" t="str">
        <x:v>保留原GPT裁定</x:v>
      </x:c>
      <x:c r="F310" s="65" t="str">
        <x:v>高</x:v>
      </x:c>
      <x:c r="G310" s="65" t="str">
        <x:v>中等题</x:v>
      </x:c>
      <x:c r="H310" s="65" t="str">
        <x:v>中等题</x:v>
      </x:c>
      <x:c r="I310" s="65" t="str">
        <x:v>题干、解析与结构证据支持中等题：step=3-5步，题型=概念判断，状态=单状态，约束=单一约束，推理=多层因果推理。教师、盲评和多次模型证据中未形成足以推翻原裁定的同向结构证据。</x:v>
      </x:c>
      <x:c r="J310" s="65" t="str">
        <x:v>未进入三次错题并集；逐题结构一致性复核</x:v>
      </x:c>
      <x:c r="K310" s="63" t="str">
        <x:v>小明设计了如图所示的电路，电源电压恒定。当开关S闭合后，电流表A1、A2的示数相等。小明的下列分析中正确的是（ ）</x:v>
      </x:c>
      <x:c r="L310" s="63" t="str">
        <x:v>A. 电阻R1、R2和R3并联 B. 电流表A1测量R1支路的电流，电流表A2测量R3支路的电流 C. 电阻R1、R2和R3大小关系可能是R1=R3≠R2 D. 电阻R1、R2和R3大小关系可能是R1=R2=R3</x:v>
      </x:c>
      <x:c r="M310" s="63" t="str">
        <x:v>解：AB、分析图可知，电流存在三条路径，所以R1、R2、R3并联； 通过R1和R2的电流都通过A1，所以A1测R1和R2的总电流； 通过R2和R3的电流都通过A2，所以A2测R2和R3的总电流，故A正确、B错误； CD、当开关S闭合后，电流表A1、A2的示数相等，即通过电阻R1与R3的电流相同，所以电阻R1、R2和R3大小关系可能是R1=R3≠R2，也可能是R1=R2=R3，故CD正确。 故选：ACD。</x:v>
      </x:c>
      <x:c r="N310" s="63" t="str">
        <x:v>https://k12static.xdf.cn/k12/image/externalized/6b9859cd-4b46-4a2b-9850-c9f074b6e8d2.png</x:v>
      </x:c>
      <x:c r="O310" s="63" t="str">
        <x:v>https://k12static.xdf.cn/k12/image/externalized/61de46ab-5ba2-416c-adc6-bcb848b8c619.png</x:v>
      </x:c>
      <x:c r="P310" s="63" t="str">
        <x:v>3-5步</x:v>
      </x:c>
      <x:c r="Q310" s="63" t="str">
        <x:v>概念判断</x:v>
      </x:c>
      <x:c r="R310" s="63" t="str">
        <x:v>单状态</x:v>
      </x:c>
      <x:c r="S310" s="63" t="str">
        <x:v>单一约束</x:v>
      </x:c>
      <x:c r="T310" s="63" t="str">
        <x:v>无</x:v>
      </x:c>
      <x:c r="U310" s="63" t="str">
        <x:v>无</x:v>
      </x:c>
      <x:c r="V310" s="63" t="str">
        <x:v>多层因果推理</x:v>
      </x:c>
    </x:row>
    <x:row r="311">
      <x:c r="A311" s="64" t="str">
        <x:v>​2669968436399009792</x:v>
      </x:c>
      <x:c r="B311" s="65" t="str">
        <x:v>基础题</x:v>
      </x:c>
      <x:c r="C311" s="65" t="str">
        <x:v>基础题</x:v>
      </x:c>
      <x:c r="D311" s="65" t="str">
        <x:v>基础题</x:v>
      </x:c>
      <x:c r="E311" s="65" t="str">
        <x:v>保留原GPT裁定</x:v>
      </x:c>
      <x:c r="F311" s="65" t="str">
        <x:v>高</x:v>
      </x:c>
      <x:c r="G311" s="65" t="str">
        <x:v>送分题</x:v>
      </x:c>
      <x:c r="H311" s="65" t="str">
        <x:v>基础题</x:v>
      </x:c>
      <x:c r="I311" s="65" t="str">
        <x:v>题干、解析与结构证据支持基础题：step=1-2步，题型=概念判断，状态=单状态，约束=无约束，推理=简单因果推理。教师、盲评和多次模型证据中未形成足以推翻原裁定的同向结构证据。</x:v>
      </x:c>
      <x:c r="J311" s="65" t="str">
        <x:v>未进入三次错题并集；逐题结构一致性复核</x:v>
      </x:c>
      <x:c r="K311" s="63" t="str">
        <x:v>一个物体在月球上的重力为地球上的六分之一，有人在地球上的质量是60kg,到月球上他的体重为（ ）</x:v>
      </x:c>
      <x:c r="L311" s="63" t="str">
        <x:v>A. 10kg B. 60kg C. 100N D. 600N</x:v>
      </x:c>
      <x:c r="M311" s="63" t="str">
        <x:v>解：人的质量m=60kg, 则人在地球上受到的重力：G=mg=60kg×10N/kg=600N； 已知物体在月球上的重力为地球上的六分之一， 所以他在月球上受到的重力：G′=$\frac{1}{6}$G=$\frac{1}{6}$×600N=100N。 故选：C。</x:v>
      </x:c>
      <x:c r="N311" s="63" t="str">
        <x:v>https://k12static.xdf.cn/k12/image/externalized/84bebb54-d88a-4ac1-bd42-a27a66c7f681.png</x:v>
      </x:c>
      <x:c r="O311" s="63" t="str">
        <x:v>https://k12static.xdf.cn/k12/image/externalized/bd72e2ae-0da8-41f0-a858-824d915d06fc.png</x:v>
      </x:c>
      <x:c r="P311" s="63" t="str">
        <x:v>1-2步</x:v>
      </x:c>
      <x:c r="Q311" s="63" t="str">
        <x:v>概念判断</x:v>
      </x:c>
      <x:c r="R311" s="63" t="str">
        <x:v>单状态</x:v>
      </x:c>
      <x:c r="S311" s="63" t="str">
        <x:v>无约束</x:v>
      </x:c>
      <x:c r="T311" s="63" t="str">
        <x:v>无</x:v>
      </x:c>
      <x:c r="U311" s="63" t="str">
        <x:v>无</x:v>
      </x:c>
      <x:c r="V311" s="63" t="str">
        <x:v>简单因果推理</x:v>
      </x:c>
    </x:row>
    <x:row r="312">
      <x:c r="A312" s="64" t="str">
        <x:v>​2676010981702615040</x:v>
      </x:c>
      <x:c r="B312" s="65" t="str">
        <x:v>基础题</x:v>
      </x:c>
      <x:c r="C312" s="65" t="str">
        <x:v>基础题</x:v>
      </x:c>
      <x:c r="D312" s="65" t="str">
        <x:v>基础题</x:v>
      </x:c>
      <x:c r="E312" s="65" t="str">
        <x:v>保留原GPT裁定</x:v>
      </x:c>
      <x:c r="F312" s="65" t="str">
        <x:v>高</x:v>
      </x:c>
      <x:c r="G312" s="65" t="str">
        <x:v>送分题</x:v>
      </x:c>
      <x:c r="H312" s="65" t="str">
        <x:v>基础题</x:v>
      </x:c>
      <x:c r="I312" s="65" t="str">
        <x:v>题干、解析与结构证据支持基础题：step=1-2步，题型=概念判断，状态=单状态，约束=无约束，推理=简单因果推理。教师、盲评和多次模型证据中未形成足以推翻原裁定的同向结构证据。</x:v>
      </x:c>
      <x:c r="J312" s="65" t="str">
        <x:v>未进入三次错题并集；逐题结构一致性复核</x:v>
      </x:c>
      <x:c r="K312" s="63" t="str">
        <x:v>关于能源和信息技术，下列说法正确的是（ ）</x:v>
      </x:c>
      <x:c r="L312" s="63" t="str">
        <x:v>A. 目前的核电站多数采用核聚变发电 B. 风能、水能、太阳能都是可再生能源 C. 不同频率的电磁波在真空中传播速度不同 D. 固定电话和移动电话都是靠电磁波传递信息</x:v>
      </x:c>
      <x:c r="M312" s="63" t="str">
        <x:v>解：A、目前核电站都采用铀核的裂变反应，故A错误； B、风能、水能、太阳能可以在自然界里源源不断的得到补充，都是可再生能源，故B正确； C、不同频率的电磁波在真空中传播速度是相同的，是3×108m/s,故C错误； D、固定电话是通过电话线中的电流来传递信息的，而移动电话都是利用电磁波来传递信息的，故D错误。 故选：B。</x:v>
      </x:c>
      <x:c r="N312" s="63" t="str">
        <x:v>https://k12static.xdf.cn/k12/image/externalized/556997c8-dd06-457e-b724-5921f436c1c6.png</x:v>
      </x:c>
      <x:c r="O312" s="63" t="str">
        <x:v>https://k12static.xdf.cn/k12/image/externalized/29df1913-76fd-49bd-b3c9-8d1773e11b9b.png</x:v>
      </x:c>
      <x:c r="P312" s="63" t="str">
        <x:v>1-2步</x:v>
      </x:c>
      <x:c r="Q312" s="63" t="str">
        <x:v>概念判断</x:v>
      </x:c>
      <x:c r="R312" s="63" t="str">
        <x:v>单状态</x:v>
      </x:c>
      <x:c r="S312" s="63" t="str">
        <x:v>无约束</x:v>
      </x:c>
      <x:c r="T312" s="63" t="str">
        <x:v>无</x:v>
      </x:c>
      <x:c r="U312" s="63" t="str">
        <x:v>无</x:v>
      </x:c>
      <x:c r="V312" s="63" t="str">
        <x:v>简单因果推理</x:v>
      </x:c>
    </x:row>
    <x:row r="313">
      <x:c r="A313" s="64" t="str">
        <x:v>​2676072135946780672</x:v>
      </x:c>
      <x:c r="B313" s="65" t="str">
        <x:v>送分题</x:v>
      </x:c>
      <x:c r="C313" s="65" t="str">
        <x:v>送分题</x:v>
      </x:c>
      <x:c r="D313" s="65" t="str">
        <x:v>送分题</x:v>
      </x:c>
      <x:c r="E313" s="65" t="str">
        <x:v>逐题复核后保留GPT裁定</x:v>
      </x:c>
      <x:c r="F313" s="65" t="str">
        <x:v>高</x:v>
      </x:c>
      <x:c r="G313" s="65" t="str">
        <x:v>基础题</x:v>
      </x:c>
      <x:c r="H313" s="65" t="str">
        <x:v>送分题</x:v>
      </x:c>
      <x:c r="I313" s="65" t="str">
        <x:v>核心只需识别一个唯一、熟悉且关系显性的教材模板（教材概念与常规物理关系），没有第二次独立物理决策；背景、选项数量或机械作答动作不增加难度。</x:v>
      </x:c>
      <x:c r="J313" s="65" t="str">
        <x:v>三次运行错题并集逐题复核</x:v>
      </x:c>
      <x:c r="K313" s="63" t="str">
        <x:v>无人驾驶汽车身上安装有大量的车载传感器，用于采集车内外各种复杂的环境信息，并加以处理，从而实现车辆的自动驾驶。下列这些传感器中不是用来检测电磁波的是（ ）</x:v>
      </x:c>
      <x:c r="L313" s="63" t="str">
        <x:v>A. 激光雷达 B. 超声波雷达 C. 毫米波雷达 D. 光学摄像头</x:v>
      </x:c>
      <x:c r="M313" s="63" t="str">
        <x:v>解：激光雷达、毫米雷达、光学摄像头中的传感器都是利用电磁波来工作的；超声波雷达是利用回声定位的，利用的是超声波，属于声波，不是电磁波，故B符合题意，ACD不符合题意。 故选：B。</x:v>
      </x:c>
      <x:c r="N313" s="63" t="str">
        <x:v>https://k12static.xdf.cn/k12/image/externalized/e7cea277-4684-48db-8cc9-4f98f39cb1e3.png</x:v>
      </x:c>
      <x:c r="O313" s="63" t="str">
        <x:v>https://k12static.xdf.cn/k12/image/externalized/8718cf0e-826b-48bb-8662-e38fede91f7f.png</x:v>
      </x:c>
      <x:c r="P313" s="63" t="str">
        <x:v>1-2步</x:v>
      </x:c>
      <x:c r="Q313" s="63" t="str">
        <x:v>概念判断</x:v>
      </x:c>
      <x:c r="R313" s="63" t="str">
        <x:v>单状态</x:v>
      </x:c>
      <x:c r="S313" s="63" t="str">
        <x:v>无约束</x:v>
      </x:c>
      <x:c r="T313" s="63" t="str">
        <x:v>无</x:v>
      </x:c>
      <x:c r="U313" s="63" t="str">
        <x:v>无</x:v>
      </x:c>
      <x:c r="V313" s="63" t="str">
        <x:v>直接套用</x:v>
      </x:c>
    </x:row>
    <x:row r="314">
      <x:c r="A314" s="64" t="str">
        <x:v>​2680120485862703104</x:v>
      </x:c>
      <x:c r="B314" s="65" t="str">
        <x:v>中等题</x:v>
      </x:c>
      <x:c r="C314" s="65" t="str">
        <x:v>中等题</x:v>
      </x:c>
      <x:c r="D314" s="65" t="str">
        <x:v>中等题</x:v>
      </x:c>
      <x:c r="E314" s="65" t="str">
        <x:v>保留原GPT裁定</x:v>
      </x:c>
      <x:c r="F314" s="65" t="str">
        <x:v>高</x:v>
      </x:c>
      <x:c r="G314" s="65" t="str">
        <x:v>基础题</x:v>
      </x:c>
      <x:c r="H314" s="65" t="str">
        <x:v>中等题</x:v>
      </x:c>
      <x:c r="I314" s="65" t="str">
        <x:v>题干、解析与结构证据支持中等题：step=3-5步，题型=力学综合，状态=双状态，约束=单一约束，推理=多层因果推理。教师、盲评和多次模型证据中未形成足以推翻原裁定的同向结构证据。</x:v>
      </x:c>
      <x:c r="J314" s="65" t="str">
        <x:v>未进入三次错题并集；逐题结构一致性复核</x:v>
      </x:c>
      <x:c r="K314" s="63" t="str">
        <x:v>如图所示圆台形容器密封装满某种液体，由A放置方式倒置后变为B放置方式，下列判断正确的是（ ）</x:v>
      </x:c>
      <x:c r="L314" s="63" t="str">
        <x:v>A. 液体对容器底的压力减小 B. 容器对桌面的压强增大 C. 液体对容器底的压强减小 D. 容器对桌面的压力不变</x:v>
      </x:c>
      <x:c r="M314" s="63" t="str">
        <x:v>解：AC、由于容器装满水，放置方式由甲变为乙，水的深度不变，根据p=ρgh可知，水对容器底部产生的压强不变；由于受力面积变小，由F=pS可知，水对容器底的压力变小，故A正确、C错误； BD、将容器正放和倒放时，容器对水平桌面的压力都等于水和容器总重，所以F不变；但放置方式由甲变为乙，受力面积变小，根据p=$\frac{F}{S}$可知，整个容器对水平桌面的压强变大，故BD正确； 故选：ABD。</x:v>
      </x:c>
      <x:c r="N314" s="63" t="str">
        <x:v>https://k12static.xdf.cn/k12/image/externalized/bb8534d5-80cc-4255-90f1-c81689ffba0d.png</x:v>
      </x:c>
      <x:c r="O314" s="63" t="str">
        <x:v>https://k12static.xdf.cn/k12/image/externalized/d2f0e208-b319-4570-a3f9-e77566d80e30.png</x:v>
      </x:c>
      <x:c r="P314" s="63" t="str">
        <x:v>3-5步</x:v>
      </x:c>
      <x:c r="Q314" s="63" t="str">
        <x:v>力学综合</x:v>
      </x:c>
      <x:c r="R314" s="63" t="str">
        <x:v>双状态</x:v>
      </x:c>
      <x:c r="S314" s="63" t="str">
        <x:v>单一约束</x:v>
      </x:c>
      <x:c r="T314" s="63" t="str">
        <x:v>无</x:v>
      </x:c>
      <x:c r="U314" s="63" t="str">
        <x:v>无</x:v>
      </x:c>
      <x:c r="V314" s="63" t="str">
        <x:v>多层因果推理</x:v>
      </x:c>
    </x:row>
    <x:row r="315">
      <x:c r="A315" s="64" t="str">
        <x:v>​2680182245881573376</x:v>
      </x:c>
      <x:c r="B315" s="65" t="str">
        <x:v>中等题</x:v>
      </x:c>
      <x:c r="C315" s="65" t="str">
        <x:v>中等题</x:v>
      </x:c>
      <x:c r="D315" s="65" t="str">
        <x:v>中等题</x:v>
      </x:c>
      <x:c r="E315" s="65" t="str">
        <x:v>逐题复核后保留GPT裁定</x:v>
      </x:c>
      <x:c r="F315" s="65" t="str">
        <x:v>高</x:v>
      </x:c>
      <x:c r="G315" s="65" t="str">
        <x:v>基础题</x:v>
      </x:c>
      <x:c r="H315" s="65" t="str">
        <x:v>中等题</x:v>
      </x:c>
      <x:c r="I315" s="65" t="str">
        <x:v>存在约3—4步常规连续分析、共享过程或完整标准实验任务，关系仍显性。 题目证据：最长连续链有2个有效物理决策：先确定投影仪成像性质和物距焦距关系，再代入纸盒长度（物距）推导焦距范围。五维锚定：知识量2个关联知识点，过程为单对象单状态，数学工具仅需要简单不等式推导，情境为熟悉的实践应用，思维层次为简单应用。最高难任务是根据物距范围推导焦距范围，属于常规分析，没有决定性转换或全链耦合。</x:v>
      </x:c>
      <x:c r="J315" s="65" t="str">
        <x:v>三次运行错题并集逐题复核</x:v>
      </x:c>
      <x:c r="K315" s="63" t="str">
        <x:v>在学习了凸透镜成像规律后，小慧同学计划制作一个“手机投影仪”。现有器材如下：焦距分别为10cm、20cm、30cm的凸透镜各一个，手机一部，长为30cm的纸盒，胶带和剪刀等。“投影仪”模型如图所示，将手机和凸透镜分别固定在纸盒的两端，调整“投影仪”到墙面的距离，可在墙上看到手机画面清晰放大的像。下列说法正确的是（ ）</x:v>
      </x:c>
      <x:c r="L315" s="63" t="str">
        <x:v>A. 应选择焦距为10cm的凸透镜 B. 应选择焦距为20cm的凸透镜 C. 将手机正立放置，在墙上看到的像是正立的 D. 墙上手机画面的像是虚像</x:v>
      </x:c>
      <x:c r="M315" s="63" t="str">
        <x:v>解：由凸透镜成像规律可知，通过手机投影仪在墙面上可以看到手机画面清晰放大的像，说明成的是倒立放大的实像，满足的条件是物距大于一倍焦距小于二倍焦距。长为30cm的纸盒是物距，则f＜u＜2f, f＜30cm＜2f,凸透镜的焦距为20cm,故A、C、D错误，B正确。 故选：B。</x:v>
      </x:c>
      <x:c r="N315" s="63" t="str">
        <x:v>https://k12static.xdf.cn/k12/image/externalized/b7f4a419-8088-436f-8865-821041db992f.png</x:v>
      </x:c>
      <x:c r="O315" s="63" t="str">
        <x:v>https://k12static.xdf.cn/k12/image/externalized/98376d7e-ed72-40e7-a16b-9795bfb90fce.png</x:v>
      </x:c>
      <x:c r="P315" s="63" t="str">
        <x:v>3-5步</x:v>
      </x:c>
      <x:c r="Q315" s="63" t="str">
        <x:v>概念判断</x:v>
      </x:c>
      <x:c r="R315" s="63" t="str">
        <x:v>单状态</x:v>
      </x:c>
      <x:c r="S315" s="63" t="str">
        <x:v>单一约束</x:v>
      </x:c>
      <x:c r="T315" s="63" t="str">
        <x:v>无</x:v>
      </x:c>
      <x:c r="U315" s="63" t="str">
        <x:v>无</x:v>
      </x:c>
      <x:c r="V315" s="63" t="str">
        <x:v>多层因果推理</x:v>
      </x:c>
    </x:row>
    <x:row r="316">
      <x:c r="A316" s="64" t="str">
        <x:v>​2682027746084519936</x:v>
      </x:c>
      <x:c r="B316" s="65" t="str">
        <x:v>送分题</x:v>
      </x:c>
      <x:c r="C316" s="65" t="str">
        <x:v>送分题</x:v>
      </x:c>
      <x:c r="D316" s="65" t="str">
        <x:v>送分题</x:v>
      </x:c>
      <x:c r="E316" s="65" t="str">
        <x:v>保留原GPT裁定</x:v>
      </x:c>
      <x:c r="F316" s="65" t="str">
        <x:v>中</x:v>
      </x:c>
      <x:c r="G316" s="65" t="str">
        <x:v>送分题</x:v>
      </x:c>
      <x:c r="H316" s="65" t="str">
        <x:v>基础题</x:v>
      </x:c>
      <x:c r="I316" s="65" t="str">
        <x:v>题干、解析与结构证据支持送分题：step=1-2步，题型=概念判断，状态=单状态，约束=无约束，推理=直接套用。教师、盲评和多次模型证据中未形成足以推翻原裁定的同向结构证据。</x:v>
      </x:c>
      <x:c r="J316" s="65" t="str">
        <x:v>未进入三次错题并集；逐题结构一致性复核</x:v>
      </x:c>
      <x:c r="K316" s="63" t="str">
        <x:v>如图甲是“风光互补”景观照明灯。它“头顶”小风扇，“肩扛”光电池板，“脚踩”蓄电池，“腰”挎照明灯。图乙是能量转化图，其中阴影方框内应正确填入的是（ ）</x:v>
      </x:c>
      <x:c r="L316" s="63" t="str">
        <x:v>A. 小风扇 B. 照明灯 C. 光电池板 D. 蓄电池</x:v>
      </x:c>
      <x:c r="M316" s="63" t="str">
        <x:v>解： 在有风的时候，“风光互补”景观照明灯“头顶”的小风扇转动，带动发电机发电，将机械能转化为电能，同时由于克服摩擦、线圈发热转化为部分内能。 故选：A。</x:v>
      </x:c>
      <x:c r="N316" s="63" t="str">
        <x:v>https://k12static.xdf.cn/k12/image/externalized/6affd222-26d1-4412-8bf2-4f19ef2d237a.png</x:v>
      </x:c>
      <x:c r="O316" s="63" t="str">
        <x:v>https://k12static.xdf.cn/k12/image/externalized/0fed417b-c987-491c-93f3-84c8c1b3e2f9.png</x:v>
      </x:c>
      <x:c r="P316" s="63" t="str">
        <x:v>1-2步</x:v>
      </x:c>
      <x:c r="Q316" s="63" t="str">
        <x:v>概念判断</x:v>
      </x:c>
      <x:c r="R316" s="63" t="str">
        <x:v>单状态</x:v>
      </x:c>
      <x:c r="S316" s="63" t="str">
        <x:v>无约束</x:v>
      </x:c>
      <x:c r="T316" s="63" t="str">
        <x:v>无</x:v>
      </x:c>
      <x:c r="U316" s="63" t="str">
        <x:v>无</x:v>
      </x:c>
      <x:c r="V316" s="63" t="str">
        <x:v>直接套用</x:v>
      </x:c>
    </x:row>
    <x:row r="317">
      <x:c r="A317" s="64" t="str">
        <x:v>​2689046051919507456</x:v>
      </x:c>
      <x:c r="B317" s="65" t="str">
        <x:v>拔高题</x:v>
      </x:c>
      <x:c r="C317" s="65" t="str">
        <x:v>拔高题</x:v>
      </x:c>
      <x:c r="D317" s="65" t="str">
        <x:v>拔高题</x:v>
      </x:c>
      <x:c r="E317" s="65" t="str">
        <x:v>逐题复核后保留GPT裁定</x:v>
      </x:c>
      <x:c r="F317" s="65" t="str">
        <x:v>高</x:v>
      </x:c>
      <x:c r="G317" s="65" t="str">
        <x:v>拔高题</x:v>
      </x:c>
      <x:c r="H317" s="65" t="str">
        <x:v>拔高题</x:v>
      </x:c>
      <x:c r="I317" s="65" t="str">
        <x:v>最高难任务在图表信息提取与关系反推中包含图线反推、状态转换、误差评价、几何/等效转换、方程联立或参数反求等决定性卡点，整体约5—6个有效决策；尚未形成压轴所需的完整复杂约束网络。</x:v>
      </x:c>
      <x:c r="J317" s="65" t="str">
        <x:v>三次运行错题并集逐题复核</x:v>
      </x:c>
      <x:c r="K317" s="63" t="str">
        <x:v>如图甲所示，一磁性板擦静止吸附在黑板上，对其施加竖直向上的拉力F（F从零开始变化），板擦最终向上运动。整个过程中板擦所受摩擦力f和板擦移动距离s与时间t的关系图像分别如图乙、丙所示，下列说法正确的是（ ）​</x:v>
      </x:c>
      <x:c r="L317" s="63" t="str">
        <x:v>A. 板擦的重力为2N B. 整个过程中拉力F一直增大 C. 板擦所受滑动摩擦力的大小为3.5N D. 整个过程中拉力F做的功为0.7J</x:v>
      </x:c>
      <x:c r="M317" s="63" t="str">
        <x:v>解：A.由乙图可知：当t=0s时，F=0N，f=1.5N，板擦受到重力和摩擦力是一对平衡力，则板擦受到重力G=1.5N，故A错误； B.分析图像丙可知，板擦在0-1s是静止的，受到静摩擦力作用，此时板擦受到竖直向下的重力，竖直向上的摩擦力和竖直向上的拉力，F=G-f,此过程中摩擦力逐渐减小，所以拉力变大；1-2s板擦仍静止，此时板擦受到竖直向下的重力、竖直向下的摩擦力和竖直向上的拉力，F=G+f,此过程摩擦力逐渐增大，所以拉力变大；2-3s板擦做匀速直线运动，此时板擦受到竖直向下的重力，竖直向下的滑动摩擦力和竖直向上的拉力，F=G+f,根据乙图像可知，此段滑动摩擦力不变，所以拉力不变。综上所述，整个过程中拉力先变大后不变，故B错误； C.由乙丙图可知：2—3s板擦做匀速直线运动，板擦所受滑动摩擦力的大小为2N，故C错误； D.由丙图可知：2—3s板擦做匀速直线运动，F=G+f=1.5N+2N=3.5N（f和G保持不变），则2—3s拉力大小不变，由丙图可知：0—2s板擦静止，不做功；2—3s板擦做匀速直线运动，所做的功w=Fs=3.5N×0.2m/s×1s=0.70J，故D正确。 故选：D。</x:v>
      </x:c>
      <x:c r="N317" s="63" t="str">
        <x:v>https://k12static.xdf.cn/k12/image/externalized/043fa3e3-bfde-40df-a863-8fd77ff39c5f.png</x:v>
      </x:c>
      <x:c r="O317" s="63" t="str">
        <x:v>https://k12static.xdf.cn/k12/image/externalized/c5be2759-d757-490d-8566-edcdfd772497.png</x:v>
      </x:c>
      <x:c r="P317" s="63" t="str">
        <x:v>3-5步</x:v>
      </x:c>
      <x:c r="Q317" s="63" t="str">
        <x:v>力学综合</x:v>
      </x:c>
      <x:c r="R317" s="63" t="str">
        <x:v>多状态</x:v>
      </x:c>
      <x:c r="S317" s="63" t="str">
        <x:v>单一约束</x:v>
      </x:c>
      <x:c r="T317" s="63" t="str">
        <x:v>无</x:v>
      </x:c>
      <x:c r="U317" s="63" t="str">
        <x:v>多组比较归纳</x:v>
      </x:c>
      <x:c r="V317" s="63" t="str">
        <x:v>多层因果推理</x:v>
      </x:c>
    </x:row>
    <x:row r="318">
      <x:c r="A318" s="64" t="str">
        <x:v>​2690323078254432256</x:v>
      </x:c>
      <x:c r="B318" s="65" t="str">
        <x:v>送分题</x:v>
      </x:c>
      <x:c r="C318" s="65" t="str">
        <x:v>送分题</x:v>
      </x:c>
      <x:c r="D318" s="65" t="str">
        <x:v>送分题</x:v>
      </x:c>
      <x:c r="E318" s="65" t="str">
        <x:v>保留原GPT裁定</x:v>
      </x:c>
      <x:c r="F318" s="65" t="str">
        <x:v>高</x:v>
      </x:c>
      <x:c r="G318" s="65" t="str">
        <x:v>基础题</x:v>
      </x:c>
      <x:c r="H318" s="65" t="str">
        <x:v>送分题</x:v>
      </x:c>
      <x:c r="I318" s="65" t="str">
        <x:v>题干、解析与结构证据支持送分题：step=1-2步，题型=概念判断，状态=单状态，约束=无约束，推理=直接套用。教师、盲评和多次模型证据中未形成足以推翻原裁定的同向结构证据。</x:v>
      </x:c>
      <x:c r="J318" s="65" t="str">
        <x:v>未进入三次错题并集；逐题结构一致性复核</x:v>
      </x:c>
      <x:c r="K318" s="63" t="str">
        <x:v>弹簧测力计下挂一物体。当物体部分浸在水里时，弹簧测力计的示数是6N。此时水对物体下表面向上的压力为2N，物体受到的浮力是（ ）</x:v>
      </x:c>
      <x:c r="L318" s="63" t="str">
        <x:v>A. 6N B. 2N C. 4N D. 8N</x:v>
      </x:c>
      <x:c r="M318" s="63" t="str">
        <x:v>解：根据浮力产生的原因可知：浸没时水对物体向上和向下的压力差即浮力；当物体部分浸在水里时，水对物体下表面向上的压力等于物体受到的浮力，即F浮=2N。 故选：B。</x:v>
      </x:c>
      <x:c r="N318" s="63" t="str">
        <x:v>https://k12static.xdf.cn/k12/image/externalized/c5048432-1414-4134-8ee9-65a3a2468824.png</x:v>
      </x:c>
      <x:c r="O318" s="63" t="str">
        <x:v>https://k12static.xdf.cn/k12/image/externalized/b8786f8f-d802-4837-b47b-020d91d72782.png</x:v>
      </x:c>
      <x:c r="P318" s="63" t="str">
        <x:v>1-2步</x:v>
      </x:c>
      <x:c r="Q318" s="63" t="str">
        <x:v>概念判断</x:v>
      </x:c>
      <x:c r="R318" s="63" t="str">
        <x:v>单状态</x:v>
      </x:c>
      <x:c r="S318" s="63" t="str">
        <x:v>无约束</x:v>
      </x:c>
      <x:c r="T318" s="63" t="str">
        <x:v>无</x:v>
      </x:c>
      <x:c r="U318" s="63" t="str">
        <x:v>无</x:v>
      </x:c>
      <x:c r="V318" s="63" t="str">
        <x:v>直接套用</x:v>
      </x:c>
    </x:row>
    <x:row r="319">
      <x:c r="A319" s="64" t="str">
        <x:v>​2693629650563276800</x:v>
      </x:c>
      <x:c r="B319" s="65" t="str">
        <x:v>基础题</x:v>
      </x:c>
      <x:c r="C319" s="65" t="str">
        <x:v>基础题</x:v>
      </x:c>
      <x:c r="D319" s="65" t="str">
        <x:v>基础题</x:v>
      </x:c>
      <x:c r="E319" s="65" t="str">
        <x:v>逐题复核后保留GPT裁定</x:v>
      </x:c>
      <x:c r="F319" s="65" t="str">
        <x:v>中</x:v>
      </x:c>
      <x:c r="G319" s="65" t="str">
        <x:v>基础题</x:v>
      </x:c>
      <x:c r="H319" s="65" t="str">
        <x:v>中等题</x:v>
      </x:c>
      <x:c r="I319" s="65" t="str">
        <x:v>最高难任务为1—2步显性应用、规范操作或简单因果，没有连续模型转换。 题目证据：最长连续链有2个有效物理决策：先确定支点O和阻力为水桶重力，再根据杠杆平衡条件，比较不同选项中阻力臂长度判断动力大小。五维中知识量1个，过程对象为单状态杠杆，数学工具无复杂计算，情境为常见生活抽象模型，思维层次为简单应用分析，落在基础-中等区间。核心任务为应用杠杆平衡条件比较力臂大小，判断动力最小值。</x:v>
      </x:c>
      <x:c r="J319" s="65" t="str">
        <x:v>三次运行错题并集逐题复核</x:v>
      </x:c>
      <x:c r="K319" s="63" t="str">
        <x:v>图甲是某人扛着水桶静止在水平地面的情景。A是水桶的重心，O点是肩膀对水桶竖直支持力的作用点，B点是手对水桶竖直方向力的作用点。此时水桶可抽象为一个杠杆，O为支点，为了保持这一杠杆平衡，图乙情形中手施加的力最小的是（ ）</x:v>
      </x:c>
      <x:c r="L319" s="63" t="str"/>
      <x:c r="M319" s="63" t="str">
        <x:v>解：将水桶视为一个杠杆，其中O点为支点，阻力是水桶的重力，阻力臂是从支点O到水桶重力作用线的垂直距离， 由杠杆平衡条件可知，要使手施加的力最小，就必须使阻力臂最小，动力臂最大，比较各图可知，D图中水桶的重心在支点O的正上方，则阻力作用线通过支点O，阻力的力臂为0，阻力与阻力臂的乘积为0，则此时所需的动力为0，是最小的。故只有D符合题意，ABC不符合题意。 故选：D。</x:v>
      </x:c>
      <x:c r="N319" s="63" t="str">
        <x:v>https://k12static.xdf.cn/k12/image/externalized/83e5969b-e2ae-4428-96d8-010da7d87245.png</x:v>
      </x:c>
      <x:c r="O319" s="63" t="str">
        <x:v>https://k12static.xdf.cn/k12/image/externalized/bb81262d-17f5-49aa-a3ec-7d077236888d.png</x:v>
      </x:c>
      <x:c r="P319" s="63" t="str">
        <x:v>1-2步</x:v>
      </x:c>
      <x:c r="Q319" s="63" t="str">
        <x:v>力学综合</x:v>
      </x:c>
      <x:c r="R319" s="63" t="str">
        <x:v>单状态</x:v>
      </x:c>
      <x:c r="S319" s="63" t="str">
        <x:v>单一约束</x:v>
      </x:c>
      <x:c r="T319" s="63" t="str">
        <x:v>无</x:v>
      </x:c>
      <x:c r="U319" s="63" t="str">
        <x:v>无</x:v>
      </x:c>
      <x:c r="V319" s="63" t="str">
        <x:v>简单因果推理</x:v>
      </x:c>
    </x:row>
    <x:row r="320">
      <x:c r="A320" s="64" t="str">
        <x:v>​2696761414446493696</x:v>
      </x:c>
      <x:c r="B320" s="65" t="str">
        <x:v>中等题</x:v>
      </x:c>
      <x:c r="C320" s="65" t="str">
        <x:v>中等题</x:v>
      </x:c>
      <x:c r="D320" s="65" t="str">
        <x:v>中等题</x:v>
      </x:c>
      <x:c r="E320" s="65" t="str">
        <x:v>保留原GPT裁定</x:v>
      </x:c>
      <x:c r="F320" s="65" t="str">
        <x:v>高</x:v>
      </x:c>
      <x:c r="G320" s="65" t="str">
        <x:v>拔高题</x:v>
      </x:c>
      <x:c r="H320" s="65" t="str">
        <x:v>中等题</x:v>
      </x:c>
      <x:c r="I320" s="65" t="str">
        <x:v>题干、解析与结构证据支持中等题：step=3-5步，题型=实验探究，状态=单状态，约束=无约束，推理=多层因果推理。教师、盲评和多次模型证据中未形成足以推翻原裁定的同向结构证据。</x:v>
      </x:c>
      <x:c r="J320" s="65" t="str">
        <x:v>未进入三次错题并集；逐题结构一致性复核</x:v>
      </x:c>
      <x:c r="K320" s="63" t="str">
        <x:v>如图为声速测量仪的实验装置图，如表为使用说明书。阅读使用说明书，然后回答下列问题： 使用说明书 （1）实验装置如图所示，A、B是声信号采集器， （2）复位后用棒锤敲打铜铃，声音被A、B接收。 （3）液晶显示屏显示A、B接收到信号的时间差，单位是ms（1ms=10-3s）。 （1）若把铜铃放在A、B的中点，即s1=s2，敲打铜铃后，液晶显示屏的示数为 ms。 （2）若小明将铜铃放到B的右边，并与A、B在一条直线上，让铜铃发声，增大铜铃到B的距离，液晶显示屏的数值将 （选填“变大”“变小”或“不变”）。 （3）为了测量某液体中的声速，把声速测量仪放置于该液体中，如图将铜铃移至A、B之间，且三者在同一直线上。敲打铜铃，液晶显示屏上显示：0.200，已知s1=0.2m,s2=0.5m,则声音在该液体中的传播速度为 m/s。若敲打铜铃，保持声速测量仪中铜铃及A、B的位置不变，将声速测量仪从液体中取出，放置于空气中，则液晶显示屏的数值 （选填“变大”“变小”或“不变”）。</x:v>
      </x:c>
      <x:c r="L320" s="63" t="str"/>
      <x:c r="M320" s="63" t="str">
        <x:v>解：（1）如果铜铃在A、B中点，则铜铃与A的距离和与B的距离是相等的，由于声速相同，声音从铜铃到达A、B的时间相同，故液晶屏的示数为0； （2）因为铜铃与A、B在一条直线上，若增大声音发生器到B的距离，但声音传到A、B的时间差是不变的，故液晶显示屏的数值不变； （3）0.200ms=0.2×10-3s,根据题意和速度公式v=$\frac{s}{t}$有： $\frac{{s}_{2}}{v}$-$\frac{{s}_{1}}{v}$=t, 即$\frac{0.5m}{v}$-$\frac{0.2m}{v}$=0.2×10-3s, 解得v=1500m/s； 将声速测量仪从液体中取出，放置于空气中，因声音在空气中的速度小于液体中的传播速度，根据t=$\frac{\Delta s}{v}$，故液晶显示屏的数值变大。 故答案为：（1）0；（2）不变；（3）1500；变大。</x:v>
      </x:c>
      <x:c r="N320" s="63" t="str">
        <x:v>https://k12static.xdf.cn/k12/image/externalized/2ee6929b-180c-4129-a36f-2820d58385b4.png</x:v>
      </x:c>
      <x:c r="O320" s="63" t="str">
        <x:v>https://k12static.xdf.cn/k12/image/externalized/4e20cf5d-bba3-4f17-afb4-55b8b5e90715.png</x:v>
      </x:c>
      <x:c r="P320" s="63" t="str">
        <x:v>3-5步</x:v>
      </x:c>
      <x:c r="Q320" s="63" t="str">
        <x:v>实验探究</x:v>
      </x:c>
      <x:c r="R320" s="63" t="str">
        <x:v>单状态</x:v>
      </x:c>
      <x:c r="S320" s="63" t="str">
        <x:v>无约束</x:v>
      </x:c>
      <x:c r="T320" s="63" t="str">
        <x:v>无</x:v>
      </x:c>
      <x:c r="U320" s="63" t="str">
        <x:v>无</x:v>
      </x:c>
      <x:c r="V320" s="63" t="str">
        <x:v>多层因果推理</x:v>
      </x:c>
    </x:row>
    <x:row r="321">
      <x:c r="A321" s="64" t="str">
        <x:v>​2699394886748901376</x:v>
      </x:c>
      <x:c r="B321" s="65" t="str">
        <x:v>中等题</x:v>
      </x:c>
      <x:c r="C321" s="65" t="str">
        <x:v>中等题</x:v>
      </x:c>
      <x:c r="D321" s="65" t="str">
        <x:v>中等题</x:v>
      </x:c>
      <x:c r="E321" s="65" t="str">
        <x:v>保留原GPT裁定</x:v>
      </x:c>
      <x:c r="F321" s="65" t="str">
        <x:v>高</x:v>
      </x:c>
      <x:c r="G321" s="65" t="str">
        <x:v>中等题</x:v>
      </x:c>
      <x:c r="H321" s="65" t="str">
        <x:v>中等题</x:v>
      </x:c>
      <x:c r="I321" s="65" t="str">
        <x:v>题干、解析与结构证据支持中等题：step=3-5步，题型=概念判断，状态=单状态，约束=单一约束，推理=多层因果推理。教师、盲评和多次模型证据中未形成足以推翻原裁定的同向结构证据。</x:v>
      </x:c>
      <x:c r="J321" s="65" t="str">
        <x:v>未进入三次错题并集；逐题结构一致性复核</x:v>
      </x:c>
      <x:c r="K321" s="63" t="str">
        <x:v>如图a、b、c三个实心小球，其中a与b质量相等，b与c体积相同；将三个小球放入水中静止不动时，a球漂浮、b球悬浮、c球沉底。则下列判断中正确的是（ ）</x:v>
      </x:c>
      <x:c r="L321" s="63" t="str">
        <x:v>A. 它们在水中的体积关系是：Va＜Vb=Vc B. 它们的重力关系是Ga=Gb＞Gc C. 它们的密度关系是：ρa＜ρb＜ρc D. 它们所受的浮力关系是：Fa=Fb=Fc</x:v>
      </x:c>
      <x:c r="M321" s="63" t="str">
        <x:v>解：A、由图可知，a漂浮，b悬浮，则V排a＜Va，V排b=Vb， 当物体的重力等于受到的浮力时物体悬浮或漂浮， Fa=Ga，Fb=Gb； a与b质量相等，则物体的重力相等， 所以浮力Fa=Fb， F浮=ρgV排， 所以V排a=V排b， 由题干可知：Vb=Vc， V排a=V排b=V排c，故A错误； B、b悬浮，c沉入底部， 所以Fb=Gb，Fc＜Gc； b与c体积相同， 根据F浮=ρgV排可知：Fb=Fc，Gb＜Gc；则Ga=Gb＜Gc，故B错误； C、当物体的密度大于液体的密度时物体下沉，当物体的密度等于液体的密度时物体悬浮，当物体的密度小于液体的密度时物体上浮或漂浮，根据a漂浮、b悬浮、c沉入底部可知：ρa＜ρb＜ρc，故C正确； D、由上分析可知：浮力Fa=Fb=Fc，故D正确。 故选：CD。</x:v>
      </x:c>
      <x:c r="N321" s="63" t="str">
        <x:v>https://k12static.xdf.cn/k12/image/externalized/f9ccf78e-438f-43ba-89cd-870de6d29c36.png</x:v>
      </x:c>
      <x:c r="O321" s="63" t="str">
        <x:v>https://k12static.xdf.cn/k12/image/externalized/5529ec0c-7723-4f9f-ad0a-bf2e20d78b25.png</x:v>
      </x:c>
      <x:c r="P321" s="63" t="str">
        <x:v>3-5步</x:v>
      </x:c>
      <x:c r="Q321" s="63" t="str">
        <x:v>概念判断</x:v>
      </x:c>
      <x:c r="R321" s="63" t="str">
        <x:v>单状态</x:v>
      </x:c>
      <x:c r="S321" s="63" t="str">
        <x:v>单一约束</x:v>
      </x:c>
      <x:c r="T321" s="63" t="str">
        <x:v>无</x:v>
      </x:c>
      <x:c r="U321" s="63" t="str">
        <x:v>无</x:v>
      </x:c>
      <x:c r="V321" s="63" t="str">
        <x:v>多层因果推理</x:v>
      </x:c>
    </x:row>
    <x:row r="322">
      <x:c r="A322" s="64" t="str">
        <x:v>​2701397421261352960</x:v>
      </x:c>
      <x:c r="B322" s="65" t="str">
        <x:v>中等题</x:v>
      </x:c>
      <x:c r="C322" s="65" t="str">
        <x:v>中等题</x:v>
      </x:c>
      <x:c r="D322" s="65" t="str">
        <x:v>中等题</x:v>
      </x:c>
      <x:c r="E322" s="65" t="str">
        <x:v>保留原GPT裁定</x:v>
      </x:c>
      <x:c r="F322" s="65" t="str">
        <x:v>高</x:v>
      </x:c>
      <x:c r="G322" s="65" t="str">
        <x:v>中等题</x:v>
      </x:c>
      <x:c r="H322" s="65" t="str">
        <x:v>基础题</x:v>
      </x:c>
      <x:c r="I322" s="65" t="str">
        <x:v>题干、解析与结构证据支持中等题：step=1-2步，题型=图像表格分析，状态=单状态，约束=无约束，推理=多层因果推理。教师、盲评和多次模型证据中未形成足以推翻原裁定的同向结构证据。</x:v>
      </x:c>
      <x:c r="J322" s="65" t="str">
        <x:v>未进入三次错题并集；逐题结构一致性复核</x:v>
      </x:c>
      <x:c r="K322" s="63" t="str">
        <x:v>P、Q是同一直线上相距10m的两点，甲、乙两小车同时从P点出发向Q运动，它们运动的s-t图像如图所示，由图像可知（ ）</x:v>
      </x:c>
      <x:c r="L322" s="63" t="str">
        <x:v>A. 甲车速度大于乙车速度 B. 经过6s,乙车离P点10m C. 甲车比乙车早3s通过Q点 D. 经过3s,甲、乙两车相距6m</x:v>
      </x:c>
      <x:c r="M322" s="63" t="str">
        <x:v>解：A、由图可知，甲、乙两车运动相同时间时，甲车通过的路程较大，由v=$\frac{s}{t}$可知甲车的速度较大，故A正确； B、由图可知，经过6s,乙车通过的路程为12m,则乙车离P点12m,故B错误； C、已知P、Q相距10m,由图可知，甲车通过10m所用的时间为2.5s,乙车通过10m所用的时间为5s,则甲车比乙车早2.5s通过Q点，故C错误； D、由图可知，经过3s,甲车通过的路程为12m,乙车通过的路程为6m,则甲、乙两车相距：12m-6m=6m,故D正确。 故选：AD。</x:v>
      </x:c>
      <x:c r="N322" s="63" t="str">
        <x:v>https://k12static.xdf.cn/k12/image/externalized/b819d9c2-d994-4bed-83a9-360738f59d89.png</x:v>
      </x:c>
      <x:c r="O322" s="63" t="str">
        <x:v>https://k12static.xdf.cn/k12/image/externalized/2aafe1a2-32c6-4839-88b7-a5f776530e2b.png</x:v>
      </x:c>
      <x:c r="P322" s="63" t="str">
        <x:v>1-2步</x:v>
      </x:c>
      <x:c r="Q322" s="63" t="str">
        <x:v>图像表格分析</x:v>
      </x:c>
      <x:c r="R322" s="63" t="str">
        <x:v>单状态</x:v>
      </x:c>
      <x:c r="S322" s="63" t="str">
        <x:v>无约束</x:v>
      </x:c>
      <x:c r="T322" s="63" t="str">
        <x:v>无</x:v>
      </x:c>
      <x:c r="U322" s="63" t="str">
        <x:v>直接读数</x:v>
      </x:c>
      <x:c r="V322" s="63" t="str">
        <x:v>多层因果推理</x:v>
      </x:c>
    </x:row>
    <x:row r="323">
      <x:c r="A323" s="64" t="str">
        <x:v>​2713375508241883136</x:v>
      </x:c>
      <x:c r="B323" s="65" t="str">
        <x:v>基础题</x:v>
      </x:c>
      <x:c r="C323" s="65" t="str">
        <x:v>基础题</x:v>
      </x:c>
      <x:c r="D323" s="65" t="str">
        <x:v>基础题</x:v>
      </x:c>
      <x:c r="E323" s="65" t="str">
        <x:v>保留原GPT裁定</x:v>
      </x:c>
      <x:c r="F323" s="65" t="str">
        <x:v>高</x:v>
      </x:c>
      <x:c r="G323" s="65" t="str">
        <x:v>基础题</x:v>
      </x:c>
      <x:c r="H323" s="65" t="str">
        <x:v>送分题</x:v>
      </x:c>
      <x:c r="I323" s="65" t="str">
        <x:v>题干、解析与结构证据支持基础题：step=1-2步，题型=概念判断，状态=单状态，约束=无约束，推理=简单因果推理。教师、盲评和多次模型证据中未形成足以推翻原裁定的同向结构证据。</x:v>
      </x:c>
      <x:c r="J323" s="65" t="str">
        <x:v>未进入三次错题并集；逐题结构一致性复核</x:v>
      </x:c>
      <x:c r="K323" s="63" t="str">
        <x:v>2023年12月15日，威海地区受强冷空气影响，出现了云中撒雪的“雪幕”景观，吸引了大量游客。下列自然现象涉及到的物态变化与雪的形成相同的是（ ）</x:v>
      </x:c>
      <x:c r="L323" s="63" t="str">
        <x:v>A. 细雨绵绵 B. 冰凌高挂 C. 雾气朦胧 D. 霜林尽染</x:v>
      </x:c>
      <x:c r="M323" s="63" t="str">
        <x:v>解：雪是水蒸气变成雪花的，物态变化是从气态直接变固态，是凝华现象。 A．细雨绵绵中的雨是液态，形成过程较复杂，含有液化和熔化等，故A错误； B．冰凌高挂中冰的形成是凝固，故B错误； C．雾气朦胧中的雾，是水蒸气液化形成的小液滴，是液化现象，故C错误； D．霜林尽染，霜是空气中的水蒸气凝华形成固态的霜，是凝华，故D正确。 故答案为：D。</x:v>
      </x:c>
      <x:c r="N323" s="63" t="str">
        <x:v>https://k12static.xdf.cn/k12/image/externalized/e3a0a910-0929-4f2e-b117-4f6ac58d430e.png</x:v>
      </x:c>
      <x:c r="O323" s="63" t="str">
        <x:v>https://k12static.xdf.cn/k12/image/externalized/48951cf8-0c88-4ec5-ac8b-9610d40e9366.png</x:v>
      </x:c>
      <x:c r="P323" s="63" t="str">
        <x:v>1-2步</x:v>
      </x:c>
      <x:c r="Q323" s="63" t="str">
        <x:v>概念判断</x:v>
      </x:c>
      <x:c r="R323" s="63" t="str">
        <x:v>单状态</x:v>
      </x:c>
      <x:c r="S323" s="63" t="str">
        <x:v>无约束</x:v>
      </x:c>
      <x:c r="T323" s="63" t="str">
        <x:v>无</x:v>
      </x:c>
      <x:c r="U323" s="63" t="str">
        <x:v>无</x:v>
      </x:c>
      <x:c r="V323" s="63" t="str">
        <x:v>简单因果推理</x:v>
      </x:c>
    </x:row>
    <x:row r="324">
      <x:c r="A324" s="64" t="str">
        <x:v>​2713791228327505920</x:v>
      </x:c>
      <x:c r="B324" s="65" t="str">
        <x:v>送分题</x:v>
      </x:c>
      <x:c r="C324" s="65" t="str">
        <x:v>送分题</x:v>
      </x:c>
      <x:c r="D324" s="65" t="str">
        <x:v>送分题</x:v>
      </x:c>
      <x:c r="E324" s="65" t="str">
        <x:v>逐题复核后保留GPT裁定</x:v>
      </x:c>
      <x:c r="F324" s="65" t="str">
        <x:v>高</x:v>
      </x:c>
      <x:c r="G324" s="65" t="str">
        <x:v>送分题</x:v>
      </x:c>
      <x:c r="H324" s="65" t="str">
        <x:v>送分题</x:v>
      </x:c>
      <x:c r="I324" s="65" t="str">
        <x:v>核心只需识别一个唯一、熟悉且关系显性的教材模板（教材概念与常规物理关系），没有第二次独立物理决策；背景、选项数量或机械作答动作不增加难度。</x:v>
      </x:c>
      <x:c r="J324" s="65" t="str">
        <x:v>三次运行错题并集逐题复核</x:v>
      </x:c>
      <x:c r="K324" s="63" t="str">
        <x:v>在物理探究活动中，某同学在手上涂抹酒精，过了一会儿，酒精消失，手感到凉凉的。根据以上证据，能得出的结论是（ ）</x:v>
      </x:c>
      <x:c r="L324" s="63" t="str">
        <x:v>A. 酒精发生了沸腾现象 B. 酒精蒸发需要吸热 C. 酒精温度越低，蒸发越快 D. 这是液化现象，酒精从手上吸热</x:v>
      </x:c>
      <x:c r="M324" s="63" t="str">
        <x:v>解：A、酒精消失是发生了蒸发现象，而不是沸腾，故A错误； B、蒸发吸热，所以手上涂抹酒精，过一会酒精消失，手感到凉凉的，故B符合题意； C、蒸发快慢与温度有关，温度越高，蒸发越快，故C错误； D、蒸发是汽化的一种方式，故D错误。 故选：B。</x:v>
      </x:c>
      <x:c r="N324" s="63" t="str">
        <x:v>https://k12static.xdf.cn/k12/image/externalized/1fed39d5-f71e-412b-97a0-ae1a3355ac10.png</x:v>
      </x:c>
      <x:c r="O324" s="63" t="str">
        <x:v>https://k12static.xdf.cn/k12/image/externalized/36be2b62-58e7-497a-b63b-6be9711c0d2f.png</x:v>
      </x:c>
      <x:c r="P324" s="63" t="str">
        <x:v>1-2步</x:v>
      </x:c>
      <x:c r="Q324" s="63" t="str">
        <x:v>概念判断</x:v>
      </x:c>
      <x:c r="R324" s="63" t="str">
        <x:v>单状态</x:v>
      </x:c>
      <x:c r="S324" s="63" t="str">
        <x:v>无约束</x:v>
      </x:c>
      <x:c r="T324" s="63" t="str">
        <x:v>无</x:v>
      </x:c>
      <x:c r="U324" s="63" t="str">
        <x:v>无</x:v>
      </x:c>
      <x:c r="V324" s="63" t="str">
        <x:v>简单因果推理</x:v>
      </x:c>
    </x:row>
    <x:row r="325">
      <x:c r="A325" s="64" t="str">
        <x:v>​2719515582774480896</x:v>
      </x:c>
      <x:c r="B325" s="65" t="str">
        <x:v>拔高题</x:v>
      </x:c>
      <x:c r="C325" s="65" t="str">
        <x:v>拔高题</x:v>
      </x:c>
      <x:c r="D325" s="65" t="str">
        <x:v>拔高题</x:v>
      </x:c>
      <x:c r="E325" s="65" t="str">
        <x:v>逐题复核后保留GPT裁定</x:v>
      </x:c>
      <x:c r="F325" s="65" t="str">
        <x:v>高</x:v>
      </x:c>
      <x:c r="G325" s="65" t="str">
        <x:v>拔高题</x:v>
      </x:c>
      <x:c r="H325" s="65" t="str">
        <x:v>拔高题</x:v>
      </x:c>
      <x:c r="I325" s="65" t="str">
        <x:v>最高难任务在图表信息提取与关系反推中包含图线反推、状态转换、误差评价、几何/等效转换、方程联立或参数反求等决定性卡点，整体约5—6个有效决策；尚未形成压轴所需的完整复杂约束网络。</x:v>
      </x:c>
      <x:c r="J325" s="65" t="str">
        <x:v>三次运行错题并集逐题复核</x:v>
      </x:c>
      <x:c r="K325" s="63" t="str">
        <x:v>如图甲所示，重为120N的物体A在水平拉力F作用下沿水平面做匀速直线运动，其路程随时间变化的图像如图乙所示。已知物体A在水平方向上受到的阻力为物重的0.1倍，滑轮组机械效率为80%，滑轮组和绳子的自重不计。下列分析计算正确的是（ ）</x:v>
      </x:c>
      <x:c r="L325" s="63" t="str">
        <x:v>A. 左侧墙受到滑轮组20N拉力作用 B. 绳子自由端移动的速度为0.4m/s C. 作用在绳子自由端的拉力F为4N D. 拉力F做功的功率为1.2W</x:v>
      </x:c>
      <x:c r="M325" s="63" t="str">
        <x:v>解：B、由图甲可知，n=3，由图乙可知，10s内物体移动了1m,则绳子自由端移动的速度为： v绳=nv物=$\frac{ns}{t}$=$\frac{3×1m}{10s}$=0.3m/s,故B错误； AC、物体A在水平方向上受到的阻力f=0.1G=0.1×120N=12N， 根据η=$\frac{W_有}{W_总}$=$\frac{fs}{Fs'}$=$\frac{fs}{Fns}$=$\frac{f}{nF}$可知，绳子自由端的拉力为： $F=\frac{f}{3η}=\frac{12N}{3×80\% }=5N$。 左侧墙受到滑轮组的拉力F拉=4F=4×5N=20N，故A正确，C错误； D．绳子自由端的速度为0.3m/s,拉力F做功的功率为： P=$\frac{W}{t}$=$\frac{Fs}{t}$=Fv绳=5N×0.3m/s=1.5W，故D错误。 故选：A。</x:v>
      </x:c>
      <x:c r="N325" s="63" t="str">
        <x:v>https://k12static.xdf.cn/k12/image/externalized/d64eb8b8-7084-42da-b651-1f422f3c44ad.png</x:v>
      </x:c>
      <x:c r="O325" s="63" t="str">
        <x:v>https://k12static.xdf.cn/k12/image/externalized/5c696783-2f41-457a-88f6-b9d5bfdf6f96.png</x:v>
      </x:c>
      <x:c r="P325" s="63" t="str">
        <x:v>3-5步</x:v>
      </x:c>
      <x:c r="Q325" s="63" t="str">
        <x:v>力学综合</x:v>
      </x:c>
      <x:c r="R325" s="63" t="str">
        <x:v>单状态</x:v>
      </x:c>
      <x:c r="S325" s="63" t="str">
        <x:v>单一约束</x:v>
      </x:c>
      <x:c r="T325" s="63" t="str">
        <x:v>无</x:v>
      </x:c>
      <x:c r="U325" s="63" t="str">
        <x:v>直接读数</x:v>
      </x:c>
      <x:c r="V325" s="63" t="str">
        <x:v>多层因果推理</x:v>
      </x:c>
    </x:row>
    <x:row r="326">
      <x:c r="A326" s="64" t="str">
        <x:v>​2719526568174882816</x:v>
      </x:c>
      <x:c r="B326" s="65" t="str">
        <x:v>中等题</x:v>
      </x:c>
      <x:c r="C326" s="65" t="str">
        <x:v>中等题</x:v>
      </x:c>
      <x:c r="D326" s="65" t="str">
        <x:v>中等题</x:v>
      </x:c>
      <x:c r="E326" s="65" t="str">
        <x:v>逐题复核后保留GPT裁定</x:v>
      </x:c>
      <x:c r="F326" s="65" t="str">
        <x:v>高</x:v>
      </x:c>
      <x:c r="G326" s="65" t="str">
        <x:v>拔高题</x:v>
      </x:c>
      <x:c r="H326" s="65" t="str">
        <x:v>中等题</x:v>
      </x:c>
      <x:c r="I326" s="65" t="str">
        <x:v>存在约3—4步常规连续分析、共享过程或完整标准实验任务，关系仍显性。 题目证据：最高难选项实际有效推理约3步。五维中知识量2个关联知识点，过程对象需要区分平面镜前阻挡和平面镜后阻挡两种情况，思维层次为常规分析，知识量和思维层次落在中等，数学工具无需计算，情境为常规平面镜成像变式。核心任务是分析不同位置阻挡物对平面镜成像完整性的影响，区分成像和观察范围的不同逻辑，围绕成像本质辨析选项表述。</x:v>
      </x:c>
      <x:c r="J326" s="65" t="str">
        <x:v>三次运行错题并集逐题复核</x:v>
      </x:c>
      <x:c r="K326" s="63" t="str">
        <x:v>如图所示，物体AB直立于足够大的平面镜前，若分别在平面镜前、后插入不透光的木板CD、MN。则（ ）</x:v>
      </x:c>
      <x:c r="L326" s="63" t="str">
        <x:v>A. 因为CD阻挡，AB不成完整的像 B. 因为MN阻挡，AB的像会被挡住部分 C. 两种情况下镜前观察到像的范围相同 D. 两种情况下AB都能成完整的像</x:v>
      </x:c>
      <x:c r="M326" s="63" t="str">
        <x:v>解：（1）先根据“物像关于平面镜对称”画出A、B点在平面镜中成的像A′、B′； 从A点反射的光线沿CD的最下边缘射到平面镜上，根据反射角等于入射角画出反射光线，若这条反射光线的反向延长线能过像点A′，则AB能在平面镜内成完整的虚像A'B'。如图所示： （2）平面镜成的是虚像，像是反射光线的反向延长线会聚形成的，不是实际光线照到像点，所以镜子背面放什么物体都不会影响成像；并且根据物像关于平面镜对称，物体AB能在平面镜中成完整的像。 故选：D。</x:v>
      </x:c>
      <x:c r="N326" s="63" t="str">
        <x:v>https://k12static.xdf.cn/k12/image/externalized/c64e2d37-95ad-4ebe-9d84-c8a36c918db1.png</x:v>
      </x:c>
      <x:c r="O326" s="63" t="str">
        <x:v>https://k12static.xdf.cn/k12/image/externalized/3d8827e9-6ea2-437c-8457-caba85e8a383.png</x:v>
      </x:c>
      <x:c r="P326" s="63" t="str">
        <x:v>1-2步</x:v>
      </x:c>
      <x:c r="Q326" s="63" t="str">
        <x:v>光学声学综合</x:v>
      </x:c>
      <x:c r="R326" s="63" t="str">
        <x:v>单状态</x:v>
      </x:c>
      <x:c r="S326" s="63" t="str">
        <x:v>无约束</x:v>
      </x:c>
      <x:c r="T326" s="63" t="str">
        <x:v>无</x:v>
      </x:c>
      <x:c r="U326" s="63" t="str">
        <x:v>无</x:v>
      </x:c>
      <x:c r="V326" s="63" t="str">
        <x:v>简单因果推理</x:v>
      </x:c>
    </x:row>
    <x:row r="327">
      <x:c r="A327" s="64" t="str">
        <x:v>​2720765260804419584</x:v>
      </x:c>
      <x:c r="B327" s="65" t="str">
        <x:v>中等题</x:v>
      </x:c>
      <x:c r="C327" s="65" t="str">
        <x:v>中等题</x:v>
      </x:c>
      <x:c r="D327" s="65" t="str">
        <x:v>中等题</x:v>
      </x:c>
      <x:c r="E327" s="65" t="str">
        <x:v>保留原GPT裁定</x:v>
      </x:c>
      <x:c r="F327" s="65" t="str">
        <x:v>高</x:v>
      </x:c>
      <x:c r="G327" s="65" t="str">
        <x:v>中等题</x:v>
      </x:c>
      <x:c r="H327" s="65" t="str">
        <x:v>拔高题</x:v>
      </x:c>
      <x:c r="I327" s="65" t="str">
        <x:v>题干、解析与结构证据支持中等题：step=3-5步，题型=概念判断，状态=连续变化或临界状态，约束=无约束，推理=多层因果推理。教师、盲评和多次模型证据中未形成足以推翻原裁定的同向结构证据。</x:v>
      </x:c>
      <x:c r="J327" s="65" t="str">
        <x:v>未进入三次错题并集；逐题结构一致性复核</x:v>
      </x:c>
      <x:c r="K327" s="63" t="str">
        <x:v>小明做作业时，动手操作了如下的实验探究：找了一个圆柱形的玻璃杯，里面装满水，把一支普通铅笔放在玻璃杯的一侧，透过玻璃杯，可以看到那支笔，如图所示，把笔由靠近玻璃杯的位置向远处慢慢移动，不会观察到的现象是（ ）</x:v>
      </x:c>
      <x:c r="L327" s="63" t="str">
        <x:v>A. 先成虚像，后成实像 B. 铅笔先变粗，后变细 C. 到某一位置，笔尖突然改变方向 D. 铅笔先变长，后变短</x:v>
      </x:c>
      <x:c r="M327" s="63" t="str">
        <x:v>解：装满水的玻璃瓶相当于一个凸透镜； 当笔尖离玻璃瓶较近时，玻璃瓶相当于放大镜，成正立放大的虚像；当笔尖离玻璃瓶较远时（物距大于焦距），成倒立的实像，所以先成虚像，后成实像； 当铅笔由靠近瓶子的位置逐渐远离时，先成虚像后成实像，且虚像是正立的、实像是倒立的，所以到达某一位置时，笔尖会突然改变方向； 凸透镜成虚像时，物远像远像变大（即越靠近焦点，虚像越大）；凸透镜成实像时，物远像近像变小，所以，把笔由靠近玻璃瓶的位置向远处慢慢移动时，笔尖先变长变大，后变短变小；由此可知，不会观察到的现象是铅笔先变粗，后变细，故B符合题意。 故选：B。</x:v>
      </x:c>
      <x:c r="N327" s="63" t="str">
        <x:v>https://k12static.xdf.cn/k12/image/externalized/748a8370-ca97-4002-b11f-467215ae60ca.png</x:v>
      </x:c>
      <x:c r="O327" s="63" t="str">
        <x:v>https://k12static.xdf.cn/k12/image/externalized/d1ab4e01-faa2-4df9-b338-531383b40b24.png</x:v>
      </x:c>
      <x:c r="P327" s="63" t="str">
        <x:v>3-5步</x:v>
      </x:c>
      <x:c r="Q327" s="63" t="str">
        <x:v>概念判断</x:v>
      </x:c>
      <x:c r="R327" s="63" t="str">
        <x:v>连续变化或临界状态</x:v>
      </x:c>
      <x:c r="S327" s="63" t="str">
        <x:v>无约束</x:v>
      </x:c>
      <x:c r="T327" s="63" t="str">
        <x:v>无</x:v>
      </x:c>
      <x:c r="U327" s="63" t="str">
        <x:v>无</x:v>
      </x:c>
      <x:c r="V327" s="63" t="str">
        <x:v>多层因果推理</x:v>
      </x:c>
    </x:row>
    <x:row r="328">
      <x:c r="A328" s="64" t="str">
        <x:v>​2721534662736715776</x:v>
      </x:c>
      <x:c r="B328" s="65" t="str">
        <x:v>基础题</x:v>
      </x:c>
      <x:c r="C328" s="65" t="str">
        <x:v>基础题</x:v>
      </x:c>
      <x:c r="D328" s="65" t="str">
        <x:v>基础题</x:v>
      </x:c>
      <x:c r="E328" s="65" t="str">
        <x:v>保留原GPT裁定</x:v>
      </x:c>
      <x:c r="F328" s="65" t="str">
        <x:v>高</x:v>
      </x:c>
      <x:c r="G328" s="65" t="str">
        <x:v>基础题</x:v>
      </x:c>
      <x:c r="H328" s="65" t="str">
        <x:v>送分题</x:v>
      </x:c>
      <x:c r="I328" s="65" t="str">
        <x:v>题干、解析与结构证据支持基础题：step=1-2步，题型=概念判断，状态=单状态，约束=无约束，推理=简单因果推理。教师、盲评和多次模型证据中未形成足以推翻原裁定的同向结构证据。</x:v>
      </x:c>
      <x:c r="J328" s="65" t="str">
        <x:v>未进入三次错题并集；逐题结构一致性复核</x:v>
      </x:c>
      <x:c r="K328" s="63" t="str">
        <x:v>下列四种光学现象，成实像的是（ ）</x:v>
      </x:c>
      <x:c r="L328" s="63" t="str">
        <x:v>A. 水中塔的倒影 B. 后视镜中的景物 C. 勺子看起来变弯 D. 烛焰透过小孔成像</x:v>
      </x:c>
      <x:c r="M328" s="63" t="str">
        <x:v>解：A、水面上塔的倒影，属于平面镜成像，平面镜成的像是正立等大的虚像，故A不符合题意； B、后视镜是凸面镜，成正立的虚像，故B不符合题意； C、勺子看起来变弯，是光的折射形成的虚像，故C不符合题意； D、小孔成像，成的是物体倒立的实像，是光线的实际会聚点，因为光的直线传播形成的，故D符合题意； 故选：D。</x:v>
      </x:c>
      <x:c r="N328" s="63" t="str">
        <x:v>https://k12static.xdf.cn/k12/image/externalized/2260101b-fa11-4433-9ddb-032d04e1b7b7.png</x:v>
      </x:c>
      <x:c r="O328" s="63" t="str">
        <x:v>https://k12static.xdf.cn/k12/image/externalized/32a29956-b8b1-4745-b7a2-c9869fd4fe52.png</x:v>
      </x:c>
      <x:c r="P328" s="63" t="str">
        <x:v>1-2步</x:v>
      </x:c>
      <x:c r="Q328" s="63" t="str">
        <x:v>概念判断</x:v>
      </x:c>
      <x:c r="R328" s="63" t="str">
        <x:v>单状态</x:v>
      </x:c>
      <x:c r="S328" s="63" t="str">
        <x:v>无约束</x:v>
      </x:c>
      <x:c r="T328" s="63" t="str">
        <x:v>无</x:v>
      </x:c>
      <x:c r="U328" s="63" t="str">
        <x:v>无</x:v>
      </x:c>
      <x:c r="V328" s="63" t="str">
        <x:v>简单因果推理</x:v>
      </x:c>
    </x:row>
    <x:row r="329">
      <x:c r="A329" s="64" t="str">
        <x:v>​2731143989326077952</x:v>
      </x:c>
      <x:c r="B329" s="65" t="str">
        <x:v>基础题</x:v>
      </x:c>
      <x:c r="C329" s="65" t="str">
        <x:v>基础题</x:v>
      </x:c>
      <x:c r="D329" s="65" t="str">
        <x:v>基础题</x:v>
      </x:c>
      <x:c r="E329" s="65" t="str">
        <x:v>保留原GPT裁定</x:v>
      </x:c>
      <x:c r="F329" s="65" t="str">
        <x:v>高</x:v>
      </x:c>
      <x:c r="G329" s="65" t="str">
        <x:v>基础题</x:v>
      </x:c>
      <x:c r="H329" s="65" t="str">
        <x:v>送分题</x:v>
      </x:c>
      <x:c r="I329" s="65" t="str">
        <x:v>题干、解析与结构证据支持基础题：step=1-2步，题型=概念判断，状态=单状态，约束=无约束，推理=简单因果推理。教师、盲评和多次模型证据中未形成足以推翻原裁定的同向结构证据。</x:v>
      </x:c>
      <x:c r="J329" s="65" t="str">
        <x:v>未进入三次错题并集；逐题结构一致性复核</x:v>
      </x:c>
      <x:c r="K329" s="63" t="str">
        <x:v>在一只玻璃杯中先后装入不同量的水，用细棒轻轻敲击，会听到不同频率的声音。与此类似，当医生给病人检查腹部是否有积水时，常会用手轻轻敲击患者腹部，细细倾听其发出的声音，此为“扣诊”。医生主要是根据（ ）判定患者腹部是否有积水。</x:v>
      </x:c>
      <x:c r="L329" s="63" t="str">
        <x:v>A. 音调 B. 响度 C. 音色 D. 声音是否悦耳动听</x:v>
      </x:c>
      <x:c r="M329" s="63" t="str">
        <x:v>解：当病人腹部有积水时，敲击患者腹部，振动频率会发生变化，音调就不同，所以可以根据音调判断患者腹部是否有积水。 故选：A。</x:v>
      </x:c>
      <x:c r="N329" s="63" t="str">
        <x:v>https://k12static.xdf.cn/k12/image/externalized/a36fd611-e4ee-498a-bd8d-9a05a4848fde.png</x:v>
      </x:c>
      <x:c r="O329" s="63" t="str">
        <x:v>https://k12static.xdf.cn/k12/image/externalized/ca268fba-9b26-41ab-b11f-e788992e594b.png</x:v>
      </x:c>
      <x:c r="P329" s="63" t="str">
        <x:v>1-2步</x:v>
      </x:c>
      <x:c r="Q329" s="63" t="str">
        <x:v>概念判断</x:v>
      </x:c>
      <x:c r="R329" s="63" t="str">
        <x:v>单状态</x:v>
      </x:c>
      <x:c r="S329" s="63" t="str">
        <x:v>无约束</x:v>
      </x:c>
      <x:c r="T329" s="63" t="str">
        <x:v>无</x:v>
      </x:c>
      <x:c r="U329" s="63" t="str">
        <x:v>无</x:v>
      </x:c>
      <x:c r="V329" s="63" t="str">
        <x:v>简单因果推理</x:v>
      </x:c>
    </x:row>
    <x:row r="330">
      <x:c r="A330" s="64" t="str">
        <x:v>​2731299509185896448</x:v>
      </x:c>
      <x:c r="B330" s="65" t="str">
        <x:v>中等题</x:v>
      </x:c>
      <x:c r="C330" s="65" t="str">
        <x:v>中等题</x:v>
      </x:c>
      <x:c r="D330" s="65" t="str">
        <x:v>中等题</x:v>
      </x:c>
      <x:c r="E330" s="65" t="str">
        <x:v>保留原GPT裁定</x:v>
      </x:c>
      <x:c r="F330" s="65" t="str">
        <x:v>高</x:v>
      </x:c>
      <x:c r="G330" s="65" t="str">
        <x:v>中等题</x:v>
      </x:c>
      <x:c r="H330" s="65" t="str">
        <x:v>拔高题</x:v>
      </x:c>
      <x:c r="I330" s="65" t="str">
        <x:v>题干、解析与结构证据支持中等题：step=3-5步，题型=电路综合，状态=双状态，约束=单一约束，推理=多层因果推理。教师、盲评和多次模型证据中未形成足以推翻原裁定的同向结构证据。</x:v>
      </x:c>
      <x:c r="J330" s="65" t="str">
        <x:v>未进入三次错题并集；逐题结构一致性复核</x:v>
      </x:c>
      <x:c r="K330" s="63" t="str">
        <x:v>如图所示的电路中，电源电压保持不变。表①②③是电流表或电压表，滑动变阻器R2的滑片P在中点。当开关S闭合后，三块电表均有示数。滑片P向右移动时，下列说法正确的是（ ）</x:v>
      </x:c>
      <x:c r="L330" s="63" t="str">
        <x:v>A. 若电阻并联，①③是电流表，则表②示数变大 B. 若电阻并联，①③是电流表，则表①示数变小 C. 若电阻串联，①③是电压表，则表②示数变小 D. 若电阻串联，①③是电压表，则表③示数变大</x:v>
      </x:c>
      <x:c r="M330" s="63" t="str">
        <x:v>解：AB、当电阻并联时，①是电流表，测量总电流，③是电流表，测量通过滑动变阻器的电流，②是电压表，测量滑动变阻器两端电压，也就是电源电压；电源电压不变，则②的示数不变；电源电压不变，当滑片向右移动时，滑动变阻器接入电路电阻变大，流过滑动变阻器的电流变小，总电路电流变小，①表示数变小，故A错误，B正确； CD、当电阻串联时，①是电压表，测量滑动变阻器两端的电压，②是电流表，测量电路中电流，③是电压表，测量电源电压；因为电源电压不变，所以③的示数不变；当滑片向右移动时，滑动变阻器电阻接入电路的阻值变大，总电阻变大，根据欧姆定律可知，通过滑动变阻器的电流变小，即②的示数变小，故D错误，C正确。 故选：BC。</x:v>
      </x:c>
      <x:c r="N330" s="63" t="str">
        <x:v>https://k12static.xdf.cn/k12/image/externalized/afe5f0a4-82a1-47b4-93a3-61f05459378e.png</x:v>
      </x:c>
      <x:c r="O330" s="63" t="str">
        <x:v>https://k12static.xdf.cn/k12/image/externalized/0dc1bda9-6f0b-4e96-9d18-4785f032ef42.png</x:v>
      </x:c>
      <x:c r="P330" s="63" t="str">
        <x:v>3-5步</x:v>
      </x:c>
      <x:c r="Q330" s="63" t="str">
        <x:v>电路综合</x:v>
      </x:c>
      <x:c r="R330" s="63" t="str">
        <x:v>双状态</x:v>
      </x:c>
      <x:c r="S330" s="63" t="str">
        <x:v>单一约束</x:v>
      </x:c>
      <x:c r="T330" s="63" t="str">
        <x:v>无</x:v>
      </x:c>
      <x:c r="U330" s="63" t="str">
        <x:v>无</x:v>
      </x:c>
      <x:c r="V330" s="63" t="str">
        <x:v>多层因果推理</x:v>
      </x:c>
    </x:row>
    <x:row r="331">
      <x:c r="A331" s="64" t="str">
        <x:v>​2731324821441437696</x:v>
      </x:c>
      <x:c r="B331" s="65" t="str">
        <x:v>中等题</x:v>
      </x:c>
      <x:c r="C331" s="65" t="str">
        <x:v>中等题</x:v>
      </x:c>
      <x:c r="D331" s="65" t="str">
        <x:v>中等题</x:v>
      </x:c>
      <x:c r="E331" s="65" t="str">
        <x:v>保留原GPT裁定</x:v>
      </x:c>
      <x:c r="F331" s="65" t="str">
        <x:v>高</x:v>
      </x:c>
      <x:c r="G331" s="65" t="str">
        <x:v>中等题</x:v>
      </x:c>
      <x:c r="H331" s="65" t="str">
        <x:v>拔高题</x:v>
      </x:c>
      <x:c r="I331" s="65" t="str">
        <x:v>题干、解析与结构证据支持中等题：step=3-5步，题型=概念判断，状态=双状态，约束=单一约束，推理=多层因果推理。教师、盲评和多次模型证据中未形成足以推翻原裁定的同向结构证据。</x:v>
      </x:c>
      <x:c r="J331" s="65" t="str">
        <x:v>未进入三次错题并集；逐题结构一致性复核</x:v>
      </x:c>
      <x:c r="K331" s="63" t="str">
        <x:v>如图所示的电路中，电源电压保持不变。当开关S闭合后，只有一个电表的示数发生变化。若电路中只有一处故障，且只发生在电阻R或小灯泡L上，则可能是（ ）</x:v>
      </x:c>
      <x:c r="L331" s="63" t="str">
        <x:v>A. 电压表V的示数发生变化，小灯泡L断路 B. 电压表V的示数发生变化，电阻R短路 C. 电流表A的示数发生变化，小灯泡L短路 D. 电流表A的示数发生变化，电阻R断路</x:v>
      </x:c>
      <x:c r="M331" s="63" t="str">
        <x:v>解：开关断开时，电压表和电流表示数均为零； （1）电流表示数发生变化，说明电路为通路，因此L短路或R短路，电压表示数不变，即示数为零，则故障一定为L短路。 （2）电压表示数发生变化，说明电压表与电源相连，因此L断路或R短路，电流表示数不变，即示数为零，则故障一定为断路，故BD错误；AC正确。 故选：AC。</x:v>
      </x:c>
      <x:c r="N331" s="63" t="str">
        <x:v>https://k12static.xdf.cn/k12/image/externalized/124c7fd3-9b18-4c78-8f0b-2724f87d4b2e.png</x:v>
      </x:c>
      <x:c r="O331" s="63" t="str">
        <x:v>https://k12static.xdf.cn/k12/image/externalized/5c0f013b-b065-49b0-803c-157d586a43b6.png</x:v>
      </x:c>
      <x:c r="P331" s="63" t="str">
        <x:v>3-5步</x:v>
      </x:c>
      <x:c r="Q331" s="63" t="str">
        <x:v>概念判断</x:v>
      </x:c>
      <x:c r="R331" s="63" t="str">
        <x:v>双状态</x:v>
      </x:c>
      <x:c r="S331" s="63" t="str">
        <x:v>单一约束</x:v>
      </x:c>
      <x:c r="T331" s="63" t="str">
        <x:v>无</x:v>
      </x:c>
      <x:c r="U331" s="63" t="str">
        <x:v>无</x:v>
      </x:c>
      <x:c r="V331" s="63" t="str">
        <x:v>多层因果推理</x:v>
      </x:c>
    </x:row>
    <x:row r="332">
      <x:c r="A332" s="64" t="str">
        <x:v>​2731326880406867968</x:v>
      </x:c>
      <x:c r="B332" s="65" t="str">
        <x:v>中等题</x:v>
      </x:c>
      <x:c r="C332" s="65" t="str">
        <x:v>中等题</x:v>
      </x:c>
      <x:c r="D332" s="65" t="str">
        <x:v>中等题</x:v>
      </x:c>
      <x:c r="E332" s="65" t="str">
        <x:v>保留原GPT裁定</x:v>
      </x:c>
      <x:c r="F332" s="65" t="str">
        <x:v>高</x:v>
      </x:c>
      <x:c r="G332" s="65" t="str">
        <x:v>基础题</x:v>
      </x:c>
      <x:c r="H332" s="65" t="str">
        <x:v>中等题</x:v>
      </x:c>
      <x:c r="I332" s="65" t="str">
        <x:v>题干、解析与结构证据支持中等题：step=1-2步，题型=实验探究，状态=单状态，约束=无约束，推理=多层因果推理。教师、盲评和多次模型证据中未形成足以推翻原裁定的同向结构证据。</x:v>
      </x:c>
      <x:c r="J332" s="65" t="str">
        <x:v>未进入三次错题并集；逐题结构一致性复核</x:v>
      </x:c>
      <x:c r="K332" s="63" t="str">
        <x:v>小西发现严冬季节水缸里的水结冰了，但腌菜缸里的盐水却没有。小西猜想，水中加入别的物质后，一定会对水的凝固点产生影响。为了验证这一猜想，他将一些盐放入水中，并把盐水用容器盛好放入冰箱，研究盐水的凝固过程。每隔一定时间，小西就观察盐水状态、测出温度，并将凝固过程记录的温度数据画成了凝固图像如图甲所示。 （1）从图像中可以看出盐水的凝固过程用了 分钟。 （2）从图像中得到晶体的液态物质在凝固时的温度将 。（填“变大”、“变小”或“不变”） （3）实验验证了小西的猜想，因为与水相比，凝固点变 了（填“高”或“低”）。 （4）如果将一个装有冰水混合物的试管放入正在熔化的盐冰水混合物中，如图乙所示，试管中冰水混合物中的冰会 （填“变多”、“变少”或“不变”）。</x:v>
      </x:c>
      <x:c r="L332" s="63" t="str"/>
      <x:c r="M332" s="63" t="str">
        <x:v>解：（1）从图象中可以看出盐水从第10分钟开始凝固，到第20分钟凝固完成，凝固过程用了10分钟； （2）晶体凝固的过程中温度是保持不变的， （3）从图象可知：温度保持不变的温度是-2℃，故该盐水的凝固点是-2℃； 又知：水的凝固点是0℃，与水相比，盐水的凝固点变低； （4）冰水混合物的温度是0℃，而盐冰水混合物的温度是-2℃；冰水混合物会向盐冰水混合物放热；冰水混合物中的水会达到凝固结冰的条件， 冰水混合物中的冰会变多。 故答案为：（1）10；（2）不变；（3）低；（4）变多。</x:v>
      </x:c>
      <x:c r="N332" s="63" t="str">
        <x:v>https://k12static.xdf.cn/k12/image/externalized/de02b297-68fb-4dae-9981-f88920dcaeb6.png</x:v>
      </x:c>
      <x:c r="O332" s="63" t="str">
        <x:v>https://k12static.xdf.cn/k12/image/externalized/584b3817-ef01-4993-ae59-3005288a6bbe.png</x:v>
      </x:c>
      <x:c r="P332" s="63" t="str">
        <x:v>1-2步</x:v>
      </x:c>
      <x:c r="Q332" s="63" t="str">
        <x:v>实验探究</x:v>
      </x:c>
      <x:c r="R332" s="63" t="str">
        <x:v>单状态</x:v>
      </x:c>
      <x:c r="S332" s="63" t="str">
        <x:v>无约束</x:v>
      </x:c>
      <x:c r="T332" s="63" t="str">
        <x:v>控制变量或故障分析</x:v>
      </x:c>
      <x:c r="U332" s="63" t="str">
        <x:v>直接读数</x:v>
      </x:c>
      <x:c r="V332" s="63" t="str">
        <x:v>多层因果推理</x:v>
      </x:c>
    </x:row>
    <x:row r="333">
      <x:c r="A333" s="64" t="str">
        <x:v>​2735479003016695808</x:v>
      </x:c>
      <x:c r="B333" s="65" t="str">
        <x:v>中等题</x:v>
      </x:c>
      <x:c r="C333" s="65" t="str">
        <x:v>中等题</x:v>
      </x:c>
      <x:c r="D333" s="65" t="str">
        <x:v>中等题</x:v>
      </x:c>
      <x:c r="E333" s="65" t="str">
        <x:v>保留原GPT裁定</x:v>
      </x:c>
      <x:c r="F333" s="65" t="str">
        <x:v>高</x:v>
      </x:c>
      <x:c r="G333" s="65" t="str">
        <x:v>中等题</x:v>
      </x:c>
      <x:c r="H333" s="65" t="str">
        <x:v>拔高题</x:v>
      </x:c>
      <x:c r="I333" s="65" t="str">
        <x:v>题干、解析与结构证据支持中等题：step=3-5步，题型=光学声学综合，状态=单状态，约束=单一约束，推理=多层因果推理。教师、盲评和多次模型证据中未形成足以推翻原裁定的同向结构证据。</x:v>
      </x:c>
      <x:c r="J333" s="65" t="str">
        <x:v>未进入三次错题并集；逐题结构一致性复核</x:v>
      </x:c>
      <x:c r="K333" s="63" t="str">
        <x:v>如图所示为凸透镜成像实验，烛焰在图示位置时恰能在光屏上成清晰的像（像未画出）。则下列说法正确的是（ ）</x:v>
      </x:c>
      <x:c r="L333" s="63" t="str">
        <x:v>A. 此时的成像原理和投影仪相同 B. 该凸透镜的焦距可能是25cm C. 若透镜不动，将蜡烛和光屏互换位置，光屏上仍能成像，但像会变小 D. 若透镜位置不动，像会跟随物体左移而左移，但物体移动速度更快</x:v>
      </x:c>
      <x:c r="M333" s="63" t="str">
        <x:v>解：A、B、由图可知，此时u=60.0cm-10.0cm=50.0，v=92.0-60.0=32.0cm,此时u＞v,成倒立、缩小的实像，应用为照相机，所以有f＜32.0cm＜2f,50.0cm＞2f,解得：16.0cm＜f＜25.0cm,故AB错误； C、保持凸透镜位置不变，将蜡烛和光屏互换位置，由光的可逆性，光屏上可得到倒立、放大的清晰的像，故C错误； D、成实像时物距逐渐增大，像距逐渐减小，且当u＞2f时，随着物距的增大，像距减小得越来越慢，所以物体移动速度大于像移动的速度，故D正确。 故选：D。</x:v>
      </x:c>
      <x:c r="N333" s="63" t="str">
        <x:v>https://k12static.xdf.cn/k12/image/externalized/5e12cec9-c1d2-41ab-94f2-6bd7b7843e16.png</x:v>
      </x:c>
      <x:c r="O333" s="63" t="str">
        <x:v>https://k12static.xdf.cn/k12/image/externalized/38722a84-c30e-4554-a2ea-44b1471afc49.png</x:v>
      </x:c>
      <x:c r="P333" s="63" t="str">
        <x:v>3-5步</x:v>
      </x:c>
      <x:c r="Q333" s="63" t="str">
        <x:v>光学声学综合</x:v>
      </x:c>
      <x:c r="R333" s="63" t="str">
        <x:v>单状态</x:v>
      </x:c>
      <x:c r="S333" s="63" t="str">
        <x:v>单一约束</x:v>
      </x:c>
      <x:c r="T333" s="63" t="str">
        <x:v>无</x:v>
      </x:c>
      <x:c r="U333" s="63" t="str">
        <x:v>无</x:v>
      </x:c>
      <x:c r="V333" s="63" t="str">
        <x:v>多层因果推理</x:v>
      </x:c>
    </x:row>
    <x:row r="334">
      <x:c r="A334" s="64" t="str">
        <x:v>​2735484206199693312</x:v>
      </x:c>
      <x:c r="B334" s="65" t="str">
        <x:v>基础题</x:v>
      </x:c>
      <x:c r="C334" s="65" t="str">
        <x:v>基础题</x:v>
      </x:c>
      <x:c r="D334" s="65" t="str">
        <x:v>基础题</x:v>
      </x:c>
      <x:c r="E334" s="65" t="str">
        <x:v>保留原GPT裁定</x:v>
      </x:c>
      <x:c r="F334" s="65" t="str">
        <x:v>高</x:v>
      </x:c>
      <x:c r="G334" s="65" t="str">
        <x:v>基础题</x:v>
      </x:c>
      <x:c r="H334" s="65" t="str">
        <x:v>送分题</x:v>
      </x:c>
      <x:c r="I334" s="65" t="str">
        <x:v>题干、解析与结构证据支持基础题：step=1-2步，题型=概念判断，状态=单状态，约束=无约束，推理=简单因果推理。教师、盲评和多次模型证据中未形成足以推翻原裁定的同向结构证据。</x:v>
      </x:c>
      <x:c r="J334" s="65" t="str">
        <x:v>未进入三次错题并集；逐题结构一致性复核</x:v>
      </x:c>
      <x:c r="K334" s="63" t="str">
        <x:v>光屏上有一个由某凸透镜所成的清晰明亮的倒立像，若用黑纸把该凸透镜的上半部挡住，则光屏上的像将会发生的变化是（ ）</x:v>
      </x:c>
      <x:c r="L334" s="63" t="str">
        <x:v>A. 亮度不变，上半部消失，只有下半部的像 B. 亮度变暗，仍能成完整的像 C. 亮度不变，下半部消失，只有上半部的像 D. 亮度变暗，只有上半部的像</x:v>
      </x:c>
      <x:c r="M334" s="63" t="str">
        <x:v>解：在做凸透镜成像的实验时，当将凸透镜的上半部挡住时，下半部仍可以汇聚光线，所以仍可以成物体完整的像，但照射到凸透镜上部的光线将被挡住，所以汇聚到像点的光线少了，所以像的亮度将变暗，只有选项B符合题意。 故选：B。</x:v>
      </x:c>
      <x:c r="N334" s="63" t="str">
        <x:v>https://k12static.xdf.cn/k12/image/externalized/3126cf39-14b1-4022-b439-259c782e1d3d.png</x:v>
      </x:c>
      <x:c r="O334" s="63" t="str">
        <x:v>https://k12static.xdf.cn/k12/image/externalized/ca3a3d4b-9de0-4c3b-a531-e7f9ae0b0945.png</x:v>
      </x:c>
      <x:c r="P334" s="63" t="str">
        <x:v>1-2步</x:v>
      </x:c>
      <x:c r="Q334" s="63" t="str">
        <x:v>概念判断</x:v>
      </x:c>
      <x:c r="R334" s="63" t="str">
        <x:v>单状态</x:v>
      </x:c>
      <x:c r="S334" s="63" t="str">
        <x:v>无约束</x:v>
      </x:c>
      <x:c r="T334" s="63" t="str">
        <x:v>无</x:v>
      </x:c>
      <x:c r="U334" s="63" t="str">
        <x:v>无</x:v>
      </x:c>
      <x:c r="V334" s="63" t="str">
        <x:v>简单因果推理</x:v>
      </x:c>
    </x:row>
    <x:row r="335">
      <x:c r="A335" s="64" t="str">
        <x:v>​2735484248073998336</x:v>
      </x:c>
      <x:c r="B335" s="65" t="str">
        <x:v>中等题</x:v>
      </x:c>
      <x:c r="C335" s="65" t="str">
        <x:v>中等题</x:v>
      </x:c>
      <x:c r="D335" s="65" t="str">
        <x:v>中等题</x:v>
      </x:c>
      <x:c r="E335" s="65" t="str">
        <x:v>逐题复核后保留GPT裁定</x:v>
      </x:c>
      <x:c r="F335" s="65" t="str">
        <x:v>中</x:v>
      </x:c>
      <x:c r="G335" s="65" t="str">
        <x:v>中等题</x:v>
      </x:c>
      <x:c r="H335" s="65" t="str">
        <x:v>基础题</x:v>
      </x:c>
      <x:c r="I335" s="65" t="str">
        <x:v>存在约3—4步常规连续分析、共享过程或完整标准实验任务，关系仍显性。 题目证据：对四个选项，每个选项需要结合物距范围和凸透镜成像规律逐一分析，最高难选项实际有3个有效物理决策，五维锚定过程/对象、思维层次落在中等区间，知识量、情境均符合中等题特征。任务为围绕凸透镜成像规律，针对不同物距区域分别判断成像性质、像距范围和像的位置变化，是常规多层因果辨析，没有决定性转换或全链耦合。</x:v>
      </x:c>
      <x:c r="J335" s="65" t="str">
        <x:v>三次运行错题并集逐题复核</x:v>
      </x:c>
      <x:c r="K335" s="63" t="str">
        <x:v>如图所示，烛焰、凸透镜和光屏三者的中心在同一高度，该凸透镜的焦距为10.0cm,凸透镜的位置保持不变。以下说法正确的是（ ）</x:v>
      </x:c>
      <x:c r="L335" s="63" t="str">
        <x:v>A. 当蜡烛放在图中B区域时，调节光屏的位置可呈现清晰的倒立放大的像 B. 当蜡烛放在图中A区域时，光屏应放在图中D区域才可能呈现清晰的像 C. 要模拟放大镜成像，蜡烛应放在图中C区域并调节光屏的位置至呈现清晰的像 D. 随着蜡烛不断燃烧变短，光屏上的像会向下移</x:v>
      </x:c>
      <x:c r="M335" s="63" t="str">
        <x:v>解：A、当蜡烛放在图中B区域时，物距大于一倍焦距小于二倍焦距，调节光屏的位置可呈现清晰的倒立放大的像，故A正确； B、当蜡烛放在图中A区域，此时物距大于二倍焦距，根据u＞2f,2f＞v＞f,成倒立、缩小的实像，光屏应放在图中E区域才可能呈现清晰的像，故B错误； C、要模拟放大镜成像，此时的物距应该小于一倍焦距，所成的像是虚像，虚像不能成在光屏上，故C错误； D、随着蜡烛不断燃烧变短，根据经过光心的光线的传播方向不变可知，光屏上的像会向上移，故D错误。 故选：A。</x:v>
      </x:c>
      <x:c r="N335" s="63" t="str">
        <x:v>https://k12static.xdf.cn/k12/image/externalized/6ddd2e89-620b-47b9-8164-ae3a07b3f68f.png</x:v>
      </x:c>
      <x:c r="O335" s="63" t="str">
        <x:v>https://k12static.xdf.cn/k12/image/externalized/abe48bde-12ed-4bac-8e79-f3bf7f25bb1b.png</x:v>
      </x:c>
      <x:c r="P335" s="63" t="str">
        <x:v>1-2步</x:v>
      </x:c>
      <x:c r="Q335" s="63" t="str">
        <x:v>概念判断</x:v>
      </x:c>
      <x:c r="R335" s="63" t="str">
        <x:v>单状态</x:v>
      </x:c>
      <x:c r="S335" s="63" t="str">
        <x:v>无约束</x:v>
      </x:c>
      <x:c r="T335" s="63" t="str">
        <x:v>无</x:v>
      </x:c>
      <x:c r="U335" s="63" t="str">
        <x:v>无</x:v>
      </x:c>
      <x:c r="V335" s="63" t="str">
        <x:v>多层因果推理</x:v>
      </x:c>
    </x:row>
    <x:row r="336">
      <x:c r="A336" s="64" t="str">
        <x:v>​2738866259222704128</x:v>
      </x:c>
      <x:c r="B336" s="65" t="str">
        <x:v>送分题</x:v>
      </x:c>
      <x:c r="C336" s="65" t="str">
        <x:v>送分题</x:v>
      </x:c>
      <x:c r="D336" s="65" t="str">
        <x:v>送分题</x:v>
      </x:c>
      <x:c r="E336" s="65" t="str">
        <x:v>逐题复核后保留GPT裁定</x:v>
      </x:c>
      <x:c r="F336" s="65" t="str">
        <x:v>高</x:v>
      </x:c>
      <x:c r="G336" s="65" t="str">
        <x:v>送分题</x:v>
      </x:c>
      <x:c r="H336" s="65" t="str">
        <x:v>送分题</x:v>
      </x:c>
      <x:c r="I336" s="65" t="str">
        <x:v>只需识别一个熟悉教材模板，没有第二次物理决策。 题目证据：最长连续链仅1个有效物理决策：判断足球离开脚后，不计空气阻力时只受重力，方向竖直向下。五维锚定：知识量为单一力学知识点，过程/对象为单对象单状态，无数学计算，情境是常见运动场景不增难，思维层次为直接识别，符合送分题特征。</x:v>
      </x:c>
      <x:c r="J336" s="65" t="str">
        <x:v>三次运行错题并集逐题复核</x:v>
      </x:c>
      <x:c r="K336" s="63" t="str">
        <x:v>在某次足球训练课中，小明将足球踢向空中（如图），若不计空气阻力，则足球在空中运动过程中其受力示意图正确的是（F表示脚对球的作用力）（ ）</x:v>
      </x:c>
      <x:c r="L336" s="63" t="str"/>
      <x:c r="M336" s="63" t="str">
        <x:v>因为不计空气阻力，空中飞行的足球已经离开脚，脚对球没有力的作用，足球只受到重力的作用，并且重力的方向是竖直向下的，故A正确，BCD均错误。故选A。</x:v>
      </x:c>
      <x:c r="N336" s="63" t="str">
        <x:v>https://k12static.xdf.cn/k12/image/externalized/05e3204a-9004-49e7-b46e-8ed8eb34ef06.png</x:v>
      </x:c>
      <x:c r="O336" s="63" t="str">
        <x:v>https://k12static.xdf.cn/k12/image/externalized/02cf5220-0502-4f13-9167-e2f21a4d15c8.png</x:v>
      </x:c>
      <x:c r="P336" s="63" t="str">
        <x:v>1-2步</x:v>
      </x:c>
      <x:c r="Q336" s="63" t="str">
        <x:v>概念判断</x:v>
      </x:c>
      <x:c r="R336" s="63" t="str">
        <x:v>单状态</x:v>
      </x:c>
      <x:c r="S336" s="63" t="str">
        <x:v>无约束</x:v>
      </x:c>
      <x:c r="T336" s="63" t="str">
        <x:v>无</x:v>
      </x:c>
      <x:c r="U336" s="63" t="str">
        <x:v>无</x:v>
      </x:c>
      <x:c r="V336" s="63" t="str">
        <x:v>简单因果推理</x:v>
      </x:c>
    </x:row>
    <x:row r="337">
      <x:c r="A337" s="64" t="str">
        <x:v>​2746966062093844480</x:v>
      </x:c>
      <x:c r="B337" s="65" t="str">
        <x:v>拔高题</x:v>
      </x:c>
      <x:c r="C337" s="65" t="str">
        <x:v>拔高题</x:v>
      </x:c>
      <x:c r="D337" s="65" t="str">
        <x:v>拔高题</x:v>
      </x:c>
      <x:c r="E337" s="65" t="str">
        <x:v>逐题复核后保留GPT裁定</x:v>
      </x:c>
      <x:c r="F337" s="65" t="str">
        <x:v>高</x:v>
      </x:c>
      <x:c r="G337" s="65" t="str">
        <x:v>拔高题</x:v>
      </x:c>
      <x:c r="H337" s="65" t="str">
        <x:v>拔高题</x:v>
      </x:c>
      <x:c r="I337" s="65" t="str">
        <x:v>最高难任务在电路状态、图线/参数与安全约束中包含图线反推、状态转换、误差评价、几何/等效转换、方程联立或参数反求等决定性卡点，整体约5—6个有效决策；尚未形成压轴所需的完整复杂约束网络。</x:v>
      </x:c>
      <x:c r="J337" s="65" t="str">
        <x:v>三次运行错题并集逐题复核</x:v>
      </x:c>
      <x:c r="K337" s="63" t="str">
        <x:v>寒冬，为给小鸡仔提供温暖的环境，小明制作了恒温箱系统，原理如图。控制电路由电磁继电器、滑动变阻器R1、热敏电阻R2（安装在恒温箱内，阻值随温度升高而显著减小）、低压电源等组成。加热电路由电源、电热丝R3和R4等组成。调好R1阻值，闭合开关S1、S2，箱内温度升高到设定值后即在小范围内波动，且降温阶段降温比较平缓。 （1）通电线圈上端是 极，温度升高时，电磁铁磁性 ；（2）R3阻值 （大于/小于）R4阻值；（3）将R1的阻值稍微调小一些，恒温箱控制的温度将 。</x:v>
      </x:c>
      <x:c r="L337" s="63" t="str"/>
      <x:c r="M337" s="63" t="str">
        <x:v>（1）[1]根据安培定则，右手握住螺线管，四指指向电流方向，大拇指所指方向为N极，因此通电线圈上端为N极。[2]因为热敏电阻R2阻值随温度升高而显著减小，所以温度升高时，控制电路总电阻减小，电流增大，电磁铁磁性增强。（2）[3]由上述可知，当温度升高时，电磁铁磁性会增强，此时衔铁被吸下，电阻R4开始工作，为了保证在恒温箱内温度较为平稳，现在加热功率应较低，根据$P=\dfrac{U^{2}}{R}$可知，电压不变，电阻较大，因此R3阻值小于R4阻值。（3）[4]将R1的阻值稍微调小一些，热敏电阻R2阻值降低较小时即恒温箱温度未达到原来温度，控制电路电流已达到可以使电磁铁磁性强度把衔铁吸引下来，从而进入较小加热功率，因此恒温箱控制的温度将降低。</x:v>
      </x:c>
      <x:c r="N337" s="63" t="str">
        <x:v>https://k12static.xdf.cn/k12/image/externalized/91e63e27-c32d-4b04-8ee2-8c5f664dcd36.png</x:v>
      </x:c>
      <x:c r="O337" s="63" t="str">
        <x:v>https://k12static.xdf.cn/k12/image/externalized/a3c86d71-5b53-4b05-a050-f4c05f12cd24.png</x:v>
      </x:c>
      <x:c r="P337" s="63" t="str">
        <x:v>3-5步</x:v>
      </x:c>
      <x:c r="Q337" s="63" t="str">
        <x:v>电学综合</x:v>
      </x:c>
      <x:c r="R337" s="63" t="str">
        <x:v>双状态</x:v>
      </x:c>
      <x:c r="S337" s="63" t="str">
        <x:v>单一约束</x:v>
      </x:c>
      <x:c r="T337" s="63" t="str">
        <x:v>无</x:v>
      </x:c>
      <x:c r="U337" s="63" t="str">
        <x:v>无</x:v>
      </x:c>
      <x:c r="V337" s="63" t="str">
        <x:v>多层因果推理</x:v>
      </x:c>
    </x:row>
    <x:row r="338">
      <x:c r="A338" s="64" t="str">
        <x:v>​2747070319289192448</x:v>
      </x:c>
      <x:c r="B338" s="65" t="str">
        <x:v>中等题</x:v>
      </x:c>
      <x:c r="C338" s="65" t="str">
        <x:v>中等题</x:v>
      </x:c>
      <x:c r="D338" s="65" t="str">
        <x:v>中等题</x:v>
      </x:c>
      <x:c r="E338" s="65" t="str">
        <x:v>保留原GPT裁定</x:v>
      </x:c>
      <x:c r="F338" s="65" t="str">
        <x:v>高</x:v>
      </x:c>
      <x:c r="G338" s="65" t="str">
        <x:v>基础题</x:v>
      </x:c>
      <x:c r="H338" s="65" t="str">
        <x:v>中等题</x:v>
      </x:c>
      <x:c r="I338" s="65" t="str">
        <x:v>题干、解析与结构证据支持中等题：step=3-5步，题型=概念判断，状态=双状态，约束=单一约束，推理=多层因果推理。教师、盲评和多次模型证据中未形成足以推翻原裁定的同向结构证据。</x:v>
      </x:c>
      <x:c r="J338" s="65" t="str">
        <x:v>未进入三次错题并集；逐题结构一致性复核</x:v>
      </x:c>
      <x:c r="K338" s="63" t="str">
        <x:v>如图所示电路，电源电压不变，闭合S1和S2，灯泡$\mathrm{L}_{1}$和$\mathrm{L}_{2}$均能正常发光，电流表和电压表均有示数。下列分析正确的是（ ）</x:v>
      </x:c>
      <x:c r="L338" s="63" t="str">
        <x:v>A. 只闭合$\mathrm{S}_{1}$，电压表可以测量出电源两端的电压 B. 只闭合$\mathrm{S}_{1}$，电流表可以测量出通过$\mathrm{L}_{1}$的电流 C. 先闭合$\mathrm{S}_{1}$，再闭合$\mathrm{S}_{2}$，$\mathrm{L}_{2}$的亮度不变 D. 先闭合$\mathrm{S}_{1}$，再闭合$\mathrm{S}_{2}$电流表和电压表的示数均不变</x:v>
      </x:c>
      <x:c r="M338" s="63" t="str">
        <x:v>AB．只闭合S1，电流表与L2串联，测L2电流，电压表可以测电源电压，S2断开，L1没有接入电路，故A正确，B错误；CD．先闭合S1，再闭合S2，L1与L2并联，电流表与L2串联，测L2电流，由于并联电路互不影响，通过L2电流不变，电流表示数不变，L2亮度不变，电压表测电源电压，示数不变，故CD正确。故选ACD。</x:v>
      </x:c>
      <x:c r="N338" s="63" t="str">
        <x:v>https://k12static.xdf.cn/k12/image/externalized/f4eaf287-be85-477e-9b1c-ea0901379748.png</x:v>
      </x:c>
      <x:c r="O338" s="63" t="str">
        <x:v>https://k12static.xdf.cn/k12/image/externalized/b0306ce6-3fc5-4f58-860e-52d73d31bc37.png</x:v>
      </x:c>
      <x:c r="P338" s="63" t="str">
        <x:v>3-5步</x:v>
      </x:c>
      <x:c r="Q338" s="63" t="str">
        <x:v>概念判断</x:v>
      </x:c>
      <x:c r="R338" s="63" t="str">
        <x:v>双状态</x:v>
      </x:c>
      <x:c r="S338" s="63" t="str">
        <x:v>单一约束</x:v>
      </x:c>
      <x:c r="T338" s="63" t="str">
        <x:v>无</x:v>
      </x:c>
      <x:c r="U338" s="63" t="str">
        <x:v>无</x:v>
      </x:c>
      <x:c r="V338" s="63" t="str">
        <x:v>多层因果推理</x:v>
      </x:c>
    </x:row>
    <x:row r="339">
      <x:c r="A339" s="64" t="str">
        <x:v>​2747164764849872896</x:v>
      </x:c>
      <x:c r="B339" s="65" t="str">
        <x:v>拔高题</x:v>
      </x:c>
      <x:c r="C339" s="65" t="str">
        <x:v>拔高题</x:v>
      </x:c>
      <x:c r="D339" s="65" t="str">
        <x:v>拔高题</x:v>
      </x:c>
      <x:c r="E339" s="65" t="str">
        <x:v>保留原GPT裁定</x:v>
      </x:c>
      <x:c r="F339" s="65" t="str">
        <x:v>高</x:v>
      </x:c>
      <x:c r="G339" s="65" t="str">
        <x:v>压轴题</x:v>
      </x:c>
      <x:c r="H339" s="65" t="str">
        <x:v>拔高题</x:v>
      </x:c>
      <x:c r="I339" s="65" t="str">
        <x:v>题干、解析与结构证据支持拔高题：step=3-5步，题型=跨模块综合，状态=双状态，约束=多约束，推理=逆向推理或临界分析。教师、盲评和多次模型证据中未形成足以推翻原裁定的同向结构证据。</x:v>
      </x:c>
      <x:c r="J339" s="65" t="str">
        <x:v>未进入三次错题并集；逐题结构一致性复核</x:v>
      </x:c>
      <x:c r="K339" s="63" t="str">
        <x:v>小明设计了如图甲所示的电路，以使房内温度能保持在一定范围内，控制电路由电磁继电器、电阻箱$R_{0}$、热敏电阻$R_{\mathrm{t}}$（安装在房间内，阻值随温度的变化如图乙）、低压电源（3V）等组成。工作电路由电源、空调线路等组成，调好$R_{0}$阻值，闭合开关$\mathrm{S}_{1}$、$\mathrm{S}_{2}$，房内温度能在一定范围内波动。（电磁铁线圈中电流高于某临界值时衔铁即被吸下，低于该值会被释放，线圈电阻忽略不计）（1）通电线圈上端是 极；（2）根据控制电路可判断出此时空调为 （加热/制冷）模式，若房内气温在26~30℃范围内波动，电阻箱$R_{0}$的阻值应设定为 Ω；（3）为使房内气温波动的范围增大一些，应将电阻箱$R_{0}$的阻值适当调 。</x:v>
      </x:c>
      <x:c r="L339" s="63" t="str"/>
      <x:c r="M339" s="63" t="str">
        <x:v>（1）[1]由图得，电流从螺线管的下端流入，由安培定则得，通电线圈上端是N极。（2）[2]依题意得，电磁铁线圈中电流高于某临界值时衔铁即被吸下，低于该值会被释放；由图甲得，此时衔铁处于断开状态，说明控制电路中电流变小，电阻变大，则Rt阻值变大，温度减小，说明空调为制冷模式。[3]若房内气温在26~30℃范围内波动，由图乙得，当气温为26℃时$R_{t}=30\Omega$当气温为30℃时$R'_{\mathrm{t}}=20\Omega$随着温度升高到30℃时，空调开始制冷，衔铁被吸下，此时控制电路中Rt与R0并联；当温度降低到26℃时，衔铁被释放，此时控制电路中只有Rt工作。由于临界电流相等，即$\dfrac{U}{R'_{\mathrm{t}}}=\dfrac{U}{R_{\mathrm{t}}}+\dfrac{U}{R_{0}}$即$\dfrac{3\mathrm{V}}{20\Omega }=\dfrac{3\mathrm{V}}{30\Omega }+\dfrac{3\mathrm{V}}{R_{0}}$解得$R_{0}=60\Omega$（3）[4]为使房内气温波动的范围增大一些，则低温时，对应的Rt更大，高温时对应的Rt更小，由于临界电流相等，即$\dfrac{U}{R_{\mathrm{t}\mathrm{高温}}}=\dfrac{U}{R_{\mathrm{t}\mathrm{低温}}}+\dfrac{U}{R_{0}}$即$\dfrac{3\mathrm{V}}{R_{0}}=\dfrac{3\mathrm{V}}{R_{\mathrm{t}\mathrm{高温}}}-\dfrac{3\mathrm{V}}{R_{\mathrm{t}\mathrm{低温}}}$则$\dfrac{3\mathrm{V}}{R_{0}}$变大，故R0变小，</x:v>
      </x:c>
      <x:c r="N339" s="63" t="str">
        <x:v>https://k12static.xdf.cn/k12/image/externalized/cc066301-ae45-4e66-8474-9507d0e8d6da.png</x:v>
      </x:c>
      <x:c r="O339" s="63" t="str">
        <x:v>https://k12static.xdf.cn/k12/image/externalized/6d0d0308-c120-4ca1-8a21-258f7905ca9c.png</x:v>
      </x:c>
      <x:c r="P339" s="63" t="str">
        <x:v>3-5步</x:v>
      </x:c>
      <x:c r="Q339" s="63" t="str">
        <x:v>跨模块综合</x:v>
      </x:c>
      <x:c r="R339" s="63" t="str">
        <x:v>双状态</x:v>
      </x:c>
      <x:c r="S339" s="63" t="str">
        <x:v>多约束</x:v>
      </x:c>
      <x:c r="T339" s="63" t="str">
        <x:v>无</x:v>
      </x:c>
      <x:c r="U339" s="63" t="str">
        <x:v>图像反推或外推</x:v>
      </x:c>
      <x:c r="V339" s="63" t="str">
        <x:v>逆向推理或临界分析</x:v>
      </x:c>
    </x:row>
    <x:row r="340">
      <x:c r="A340" s="64" t="str">
        <x:v>​2748423881675370496</x:v>
      </x:c>
      <x:c r="B340" s="65" t="str">
        <x:v>基础题</x:v>
      </x:c>
      <x:c r="C340" s="65" t="str">
        <x:v>基础题</x:v>
      </x:c>
      <x:c r="D340" s="65" t="str">
        <x:v>基础题</x:v>
      </x:c>
      <x:c r="E340" s="65" t="str">
        <x:v>保留原GPT裁定</x:v>
      </x:c>
      <x:c r="F340" s="65" t="str">
        <x:v>高</x:v>
      </x:c>
      <x:c r="G340" s="65" t="str">
        <x:v>送分题</x:v>
      </x:c>
      <x:c r="H340" s="65" t="str">
        <x:v>中等题</x:v>
      </x:c>
      <x:c r="I340" s="65" t="str">
        <x:v>题干、解析与结构证据支持基础题：step=1-2步，题型=概念判断，状态=单状态，约束=无约束，推理=多层因果推理。教师、盲评和多次模型证据中未形成足以推翻原裁定的同向结构证据。</x:v>
      </x:c>
      <x:c r="J340" s="65" t="str">
        <x:v>未进入三次错题并集；逐题结构一致性复核</x:v>
      </x:c>
      <x:c r="K340" s="63" t="str">
        <x:v>一台单缸四冲程汽油机的飞轮转速为1200r/min，如图所示为它工作循环中的一个冲程。下列说法正确的是（ ）</x:v>
      </x:c>
      <x:c r="L340" s="63" t="str">
        <x:v>A. 汽油是化石能源 B. 该冲程为做功冲程 C. 该汽油机每秒对外做功20次 D. 热机的功率越大，效率就越高</x:v>
      </x:c>
      <x:c r="M340" s="63" t="str">
        <x:v>A．汽油是动植物的遗体经过漫长的地质年代形成的，是化石能源，故A正确；B．如图，进气门、排气门关闭，火花塞点火，该冲程为做功冲程，故B正确；C．单缸四冲程汽油机的飞轮转速为1200r/min，每秒钟飞轮转20r，转两圈汽油机做一次功，该汽油机每秒对外做功10次，故C错误；D．热机的功率是单位时间做的功，效率等于有用功与燃料产生热量的比值，是两个不同的物理量，没有必然联系，故D错误。故选AB。</x:v>
      </x:c>
      <x:c r="N340" s="63" t="str">
        <x:v>https://k12static.xdf.cn/k12/image/externalized/fefb25ba-12a6-4ada-b4f0-7229074864e7.png</x:v>
      </x:c>
      <x:c r="O340" s="63" t="str">
        <x:v>https://k12static.xdf.cn/k12/image/externalized/2d78b69c-4b5d-4a2f-855a-3bdf48b1b879.png</x:v>
      </x:c>
      <x:c r="P340" s="63" t="str">
        <x:v>1-2步</x:v>
      </x:c>
      <x:c r="Q340" s="63" t="str">
        <x:v>概念判断</x:v>
      </x:c>
      <x:c r="R340" s="63" t="str">
        <x:v>单状态</x:v>
      </x:c>
      <x:c r="S340" s="63" t="str">
        <x:v>无约束</x:v>
      </x:c>
      <x:c r="T340" s="63" t="str">
        <x:v>无</x:v>
      </x:c>
      <x:c r="U340" s="63" t="str">
        <x:v>无</x:v>
      </x:c>
      <x:c r="V340" s="63" t="str">
        <x:v>多层因果推理</x:v>
      </x:c>
    </x:row>
    <x:row r="341">
      <x:c r="A341" s="64" t="str">
        <x:v>​2749685708213227520</x:v>
      </x:c>
      <x:c r="B341" s="65" t="str">
        <x:v>基础题</x:v>
      </x:c>
      <x:c r="C341" s="65" t="str">
        <x:v>基础题</x:v>
      </x:c>
      <x:c r="D341" s="65" t="str">
        <x:v>基础题</x:v>
      </x:c>
      <x:c r="E341" s="65" t="str">
        <x:v>保留原GPT裁定</x:v>
      </x:c>
      <x:c r="F341" s="65" t="str">
        <x:v>高</x:v>
      </x:c>
      <x:c r="G341" s="65" t="str">
        <x:v>中等题</x:v>
      </x:c>
      <x:c r="H341" s="65" t="str">
        <x:v>基础题</x:v>
      </x:c>
      <x:c r="I341" s="65" t="str">
        <x:v>题干、解析与结构证据支持基础题：step=1-2步，题型=跨模块综合，状态=单状态，约束=无约束，推理=直接套用。教师、盲评和多次模型证据中未形成足以推翻原裁定的同向结构证据。</x:v>
      </x:c>
      <x:c r="J341" s="65" t="str">
        <x:v>未进入三次错题并集；逐题结构一致性复核</x:v>
      </x:c>
      <x:c r="K341" s="63" t="str">
        <x:v>太阳内部的原子核发生 （选填“裂变”、“聚变”）从而释放能量，太阳能是 （选填“可再生”或“不可再生”）能源，具有安全、清洁等优点。小陈家里的太阳能热水器水箱内盛有100kg水，在太阳照射下水温从20℃上升到70℃，则水吸收的热量为 J。[$c_{\mathrm{水}}=4.2\times 10^{3}\mathrm{J}/\left(\mathrm{kg}\cdot \text{℃}\right)$]</x:v>
      </x:c>
      <x:c r="L341" s="63" t="str"/>
      <x:c r="M341" s="63" t="str">
        <x:v>[1][2]太阳能是由太阳内部原子发生核聚变而释放的能量，太阳能取之不尽，可以从自然界中源源不断获得，属于可再生能源。[3]水吸收的热量Q吸＝cm∆t＝4.2×103J/（kg•℃）×100kg×（70℃﹣20℃）＝2.1×107J</x:v>
      </x:c>
      <x:c r="N341" s="63" t="str">
        <x:v>https://k12static.xdf.cn/k12/image/externalized/63909f8e-be17-488f-8ce5-55dd8ddd0691.png</x:v>
      </x:c>
      <x:c r="O341" s="63" t="str">
        <x:v>https://k12static.xdf.cn/k12/image/externalized/3ad0fb73-74d8-4652-a9cc-a32d726234d9.png</x:v>
      </x:c>
      <x:c r="P341" s="63" t="str">
        <x:v>1-2步</x:v>
      </x:c>
      <x:c r="Q341" s="63" t="str">
        <x:v>跨模块综合</x:v>
      </x:c>
      <x:c r="R341" s="63" t="str">
        <x:v>单状态</x:v>
      </x:c>
      <x:c r="S341" s="63" t="str">
        <x:v>无约束</x:v>
      </x:c>
      <x:c r="T341" s="63" t="str">
        <x:v>无</x:v>
      </x:c>
      <x:c r="U341" s="63" t="str">
        <x:v>无</x:v>
      </x:c>
      <x:c r="V341" s="63" t="str">
        <x:v>直接套用</x:v>
      </x:c>
    </x:row>
    <x:row r="342">
      <x:c r="A342" s="64" t="str">
        <x:v>​2749962320517652480</x:v>
      </x:c>
      <x:c r="B342" s="65" t="str">
        <x:v>中等题</x:v>
      </x:c>
      <x:c r="C342" s="65" t="str">
        <x:v>中等题</x:v>
      </x:c>
      <x:c r="D342" s="65" t="str">
        <x:v>中等题</x:v>
      </x:c>
      <x:c r="E342" s="65" t="str">
        <x:v>逐题复核后保留GPT裁定</x:v>
      </x:c>
      <x:c r="F342" s="65" t="str">
        <x:v>高</x:v>
      </x:c>
      <x:c r="G342" s="65" t="str">
        <x:v>中等题</x:v>
      </x:c>
      <x:c r="H342" s="65" t="str">
        <x:v>拔高题</x:v>
      </x:c>
      <x:c r="I342" s="65" t="str">
        <x:v>存在约3—4步常规连续分析、共享过程或完整标准实验任务，关系仍显性。 题目证据：最长连续链为第(2)问密度计算，实际有效物理决策共3步：识别浮力方向与弹簧测力计读数、利用示数变化推导重力、应用称重法+阿基米德原理推导密度；整题覆盖天平调节与读数、弹簧测力计法测密度、实验误差评估三个不同实验环节，形成完整测量密度实验闭环，符合中等题完整任务结构要求。五维锚定：知识量2-3个关联知识点，过程/对象为单对象单过程但需要识别常规实验模型，数学工具为多步简单笔算，情境为常规实验变式，思维层次为常规应用分析，符合中等题特征。</x:v>
      </x:c>
      <x:c r="J342" s="65" t="str">
        <x:v>三次运行错题并集逐题复核</x:v>
      </x:c>
      <x:c r="K342" s="63" t="str">
        <x:v>“混放是垃圾，分类是资源”，垃圾分类收集逐渐成为市民的好习惯。小吴同学在家里收集到一个废旧水龙头，同学们想通过测量密度知道它是由什么材料制成的。（1）小吴将天平放在水平桌面上，游码移到零刻度线，发现天平的左盘较高，应将平衡螺母向 调节，直至指针对准分度盘的 刻度线。将水龙头放在天平左盘，向右盘加减砝码并移动游码，天平平衡时如图甲所示，测得水龙头质量为 g；然后用溢水杯、水、小烧杯、细线和天平测出水龙头的体积并算出密度；（2）小欣提出用弹簧测力计测量密度更方便。她先用弹簧测力计测出水龙头的重力；然后将水龙头浸没在水中静止，发现弹簧测力计的示数减小了2小格，这是因为水龙头受到竖直向 的浮力，此时弹簧测力计的示数如图乙所示为 N；小欣计算出水龙头的密度是 $\mathrm{g}/\mathrm{cm}^{3}$；（3）同学们对实验进行交流评估，认为 同学测得的密度误差较大，主要原因是 。</x:v>
      </x:c>
      <x:c r="L342" s="63" t="str"/>
      <x:c r="M342" s="63" t="str">
        <x:v>（1）[1][2]天平的左盘较高，说明天平右端下沉，应将平衡螺母向左调节，直至指针对准分度盘的中央刻度线。[3]由图甲可知，游码的分度值为0.2g，游码的示数为1.4g，则测得水龙头质量为$m=100\mathrm{g}+50\mathrm{g}+20\mathrm{g}+10\mathrm{g}+1.4\mathrm{g}=181.4\mathrm{g}$（2）[4]将水龙头浸没在水中静止，水龙头会受到水的浮力，方向竖直向上。[5]由图乙可知，弹簧测力计的分度值为0.2N，示数为1.4N。[6]由题意可知，水龙头放入水中后弹簧测力计的示数减小了2小格，则水龙头的重力为1.8N，水龙头的质量为$m_{1}=\dfrac{G}{g}=\dfrac{1.8\mathrm{N}}{10\mathrm{N}/\mathrm{kg}}=0.18\mathrm{kg}$根据称重法测浮力可知，水龙头受到的浮力为$F_{\mathrm{浮}}=G-F_{\mathrm{示}}=1.8\mathrm{N}-1.4\mathrm{N}=0.4\mathrm{N}$根据阿基米德原理可知，水龙头的体积等于其排开水的体积，为$V=V_{\mathrm{排}}=\dfrac{F_{\mathrm{浮}}}{\rho _{\mathrm{水}}g}=\dfrac{0.4\mathrm{N}}{10^{3}\mathrm{kg}/\mathrm{m}^{3}\times 10\mathrm{N}/\mathrm{kg}}=4\times 10^{-5}\mathrm{m}^{3}$水龙头的密度为$\rho =\dfrac{m_{1}}{V}=\dfrac{0.18\mathrm{kg}}{4\times 10^{-5}\mathrm{m}^{3}}=4.5\times 10^{3}\mathrm{kg}/\mathrm{m}^{3}=4.5\mathrm{g}/\mathrm{cm}^{3}$（3）[7][8]在进行实验测量时，仪器越精确，读出的数据越准确，最终的实验结果误差越小。根据两位同学的测量仪器可知，天平的读数比弹簧测力计的读数更准确，即小欣同学根据弹簧测力计的示数得出的水龙头的质量和体积误差较大，因此小欣同学测得的密度误差较大。</x:v>
      </x:c>
      <x:c r="N342" s="63" t="str">
        <x:v>https://k12static.xdf.cn/k12/image/externalized/26d4c716-fe00-4f45-91a7-7acafda48ef3.png</x:v>
      </x:c>
      <x:c r="O342" s="63" t="str">
        <x:v>https://k12static.xdf.cn/k12/image/externalized/679cfd49-8693-43f0-9f58-8f129b7dcf44.png</x:v>
      </x:c>
      <x:c r="P342" s="63" t="str">
        <x:v>3-5步</x:v>
      </x:c>
      <x:c r="Q342" s="63" t="str">
        <x:v>实验探究</x:v>
      </x:c>
      <x:c r="R342" s="63" t="str">
        <x:v>单状态</x:v>
      </x:c>
      <x:c r="S342" s="63" t="str">
        <x:v>无约束</x:v>
      </x:c>
      <x:c r="T342" s="63" t="str">
        <x:v>控制变量或故障分析</x:v>
      </x:c>
      <x:c r="U342" s="63" t="str">
        <x:v>直接读数</x:v>
      </x:c>
      <x:c r="V342" s="63" t="str">
        <x:v>多层因果推理</x:v>
      </x:c>
    </x:row>
    <x:row r="343">
      <x:c r="A343" s="64" t="str">
        <x:v>​2750152976583188480</x:v>
      </x:c>
      <x:c r="B343" s="65" t="str">
        <x:v>中等题</x:v>
      </x:c>
      <x:c r="C343" s="65" t="str">
        <x:v>中等题</x:v>
      </x:c>
      <x:c r="D343" s="65" t="str">
        <x:v>中等题</x:v>
      </x:c>
      <x:c r="E343" s="65" t="str">
        <x:v>保留原GPT裁定</x:v>
      </x:c>
      <x:c r="F343" s="65" t="str">
        <x:v>高</x:v>
      </x:c>
      <x:c r="G343" s="65" t="str">
        <x:v>基础题</x:v>
      </x:c>
      <x:c r="H343" s="65" t="str">
        <x:v>中等题</x:v>
      </x:c>
      <x:c r="I343" s="65" t="str">
        <x:v>题干、解析与结构证据支持中等题：step=3-5步，题型=电路综合，状态=单状态，约束=单一约束，推理=多层因果推理。教师、盲评和多次模型证据中未形成足以推翻原裁定的同向结构证据。</x:v>
      </x:c>
      <x:c r="J343" s="65" t="str">
        <x:v>未进入三次错题并集；逐题结构一致性复核</x:v>
      </x:c>
      <x:c r="K343" s="63" t="str">
        <x:v>如图所示，R1为定值电阻，R2为滑动变阻器，电源电压保持不变。闭合开关S，滑动变阻器滑片P从中点向右移动过程中，下列说法正确的是（ ）</x:v>
      </x:c>
      <x:c r="L343" s="63" t="str">
        <x:v>A. 电压表示数变大，电流表A1变小 B. 电压表示数不变，电流表A2示数变大 C. 电压表示数与电流表A2示数的比值变大 D. 电压表示数与电流表A2、A1示数之差的比值变小</x:v>
      </x:c>
      <x:c r="M343" s="63" t="str">
        <x:v>解：由电路图可知，R1与R2并联，电压表测电源的电压，电流表A2测干路电流，电流表A1测R2支路的电流； AB、由于电源电压不变，则电压表示数不变；闭合开关S，当滑动变阻器的滑片P从中点向右移动时，滑动变阻器接入电路的电阻变大，根据欧姆定律可知，通过滑动变阻器的电流减小，即电流表A1示数变小；由于并联电路互不影响，则通过R1的电流不变，根据并联电路的电流规律可知，干路中的电流变小，即电流表A2示数变小；故AB错误； C、电压表示数不变，电流表A2示数变小，其比值变大，故C正确； D、电流表A2、A1示数之差为通过R1的电流，保持不变，电压表示数不变，所以电压表示数与电流表A2、A1示数之差的比值不变，故D错误。 故选：C。</x:v>
      </x:c>
      <x:c r="N343" s="63" t="str">
        <x:v>https://k12static.xdf.cn/k12/image/externalized/a3a5bc8d-56cc-455f-a119-fa84067810a6.png</x:v>
      </x:c>
      <x:c r="O343" s="63" t="str">
        <x:v>https://k12static.xdf.cn/k12/image/externalized/f6c7c4a0-17c4-44e4-b067-50835fdfab6d.png</x:v>
      </x:c>
      <x:c r="P343" s="63" t="str">
        <x:v>3-5步</x:v>
      </x:c>
      <x:c r="Q343" s="63" t="str">
        <x:v>电路综合</x:v>
      </x:c>
      <x:c r="R343" s="63" t="str">
        <x:v>单状态</x:v>
      </x:c>
      <x:c r="S343" s="63" t="str">
        <x:v>单一约束</x:v>
      </x:c>
      <x:c r="T343" s="63" t="str">
        <x:v>无</x:v>
      </x:c>
      <x:c r="U343" s="63" t="str">
        <x:v>无</x:v>
      </x:c>
      <x:c r="V343" s="63" t="str">
        <x:v>多层因果推理</x:v>
      </x:c>
    </x:row>
    <x:row r="344">
      <x:c r="A344" s="64" t="str">
        <x:v>​2752683913401880576</x:v>
      </x:c>
      <x:c r="B344" s="65" t="str">
        <x:v>中等题</x:v>
      </x:c>
      <x:c r="C344" s="65" t="str">
        <x:v>中等题</x:v>
      </x:c>
      <x:c r="D344" s="65" t="str">
        <x:v>中等题</x:v>
      </x:c>
      <x:c r="E344" s="65" t="str">
        <x:v>保留原GPT裁定</x:v>
      </x:c>
      <x:c r="F344" s="65" t="str">
        <x:v>高</x:v>
      </x:c>
      <x:c r="G344" s="65" t="str">
        <x:v>基础题</x:v>
      </x:c>
      <x:c r="H344" s="65" t="str">
        <x:v>拔高题</x:v>
      </x:c>
      <x:c r="I344" s="65" t="str">
        <x:v>题干、解析与结构证据支持中等题：step=3-5步，题型=力学综合，状态=双状态，约束=单一约束，推理=多层因果推理。教师、盲评和多次模型证据中未形成足以推翻原裁定的同向结构证据。</x:v>
      </x:c>
      <x:c r="J344" s="65" t="str">
        <x:v>未进入三次错题并集；逐题结构一致性复核</x:v>
      </x:c>
      <x:c r="K344" s="63" t="str">
        <x:v>为研究雨滴从高空下落的运动情况，小明用小木球从高处释放来模拟雨滴的下落（如图所示）。他查阅资料了解到：物体下落过程中会受到空气阻力的作用，阻力f的大小与物体的速度v的平方成正比，公式为f＝kv2（k为比例常数）。小木球质量为m，让木球从足够高处由静止下落，则小木球在整个竖直下落过程中的速度是 （选填“一直增大”、“先增大后匀速”、“先增大后减小”），小木球下落过程中能达到的最大速度为 。</x:v>
      </x:c>
      <x:c r="L344" s="63" t="str"/>
      <x:c r="M344" s="63" t="str">
        <x:v>物体下落过程中所受空气的阻力与其运动的速度的平方成正比，即f＝kv2；所以小木球从高空释放，其速度是增加的，即其所受的阻力是增大的，当小球运动速度达到一定程度后，小球所受的阻力会等于自身的重力，故此时小球只受两个力，即重力和阻力，其大小相等，方向相反，作用在同一条直线上，所以此时这两个力是一对平衡力，故此时小球将做匀速直线运动，所以小球的整个运动过程的速度变化是：先增大后匀速；小球达到最大速度时，小球所受的阻力等于自身重力时，即f＝mg＝kv2；所以小球的运动速度v＝$\sqrt{\dfrac{mg}{k}}$。</x:v>
      </x:c>
      <x:c r="N344" s="63" t="str">
        <x:v>https://k12static.xdf.cn/k12/image/externalized/4506076c-f855-44fa-8568-f3874058242c.png</x:v>
      </x:c>
      <x:c r="O344" s="63" t="str">
        <x:v>https://k12static.xdf.cn/k12/image/externalized/e666412e-8fdc-4054-b336-1d650b3fa322.png</x:v>
      </x:c>
      <x:c r="P344" s="63" t="str">
        <x:v>3-5步</x:v>
      </x:c>
      <x:c r="Q344" s="63" t="str">
        <x:v>力学综合</x:v>
      </x:c>
      <x:c r="R344" s="63" t="str">
        <x:v>双状态</x:v>
      </x:c>
      <x:c r="S344" s="63" t="str">
        <x:v>单一约束</x:v>
      </x:c>
      <x:c r="T344" s="63" t="str">
        <x:v>无</x:v>
      </x:c>
      <x:c r="U344" s="63" t="str">
        <x:v>无</x:v>
      </x:c>
      <x:c r="V344" s="63" t="str">
        <x:v>多层因果推理</x:v>
      </x:c>
    </x:row>
    <x:row r="345">
      <x:c r="A345" s="64" t="str">
        <x:v>​2755674690724421632</x:v>
      </x:c>
      <x:c r="B345" s="65" t="str">
        <x:v>拔高题</x:v>
      </x:c>
      <x:c r="C345" s="65" t="str">
        <x:v>拔高题</x:v>
      </x:c>
      <x:c r="D345" s="65" t="str">
        <x:v>拔高题</x:v>
      </x:c>
      <x:c r="E345" s="65" t="str">
        <x:v>逐题复核后保留GPT裁定</x:v>
      </x:c>
      <x:c r="F345" s="65" t="str">
        <x:v>高</x:v>
      </x:c>
      <x:c r="G345" s="65" t="str">
        <x:v>拔高题</x:v>
      </x:c>
      <x:c r="H345" s="65" t="str">
        <x:v>拔高题</x:v>
      </x:c>
      <x:c r="I345" s="65" t="str">
        <x:v>最高难任务在标准实验流程、读数与数据归纳中包含图线反推、状态转换、误差评价、几何/等效转换、方程联立或参数反求等决定性卡点，整体约5—6个有效决策；尚未形成压轴所需的完整复杂约束网络。</x:v>
      </x:c>
      <x:c r="J345" s="65" t="str">
        <x:v>三次运行错题并集逐题复核</x:v>
      </x:c>
      <x:c r="K345" s="63" t="str">
        <x:v>阅读短文，回答问题：远程输电发电厂发出的电要传输到很远的地方供人们使用。在输电线上，由于电流的热效应，必然有一部分电能转化成内能而损失掉，导线越长，损失越多。目前远距离送电主要采取高压送电的方式来实施。在保证输送功率不变的情况下，采用提高电压的方法减少线路上的损失。高压送电过程：发电机、升压变压器、高压输电线、降压变压器、居民用电。变压器原理简化为：原线圈匝数$n_{1}$，副线圈匝数$n_{2}$，若输入电压$U_{1}$，输出电压$U_{2}$（如图甲），它们之间的关系式为：$\dfrac{U_{1}}{U_{2}}=\dfrac{n_{1}}{n_{2}}$。请结合短文和所学知识回答下列问题：（1）从发电厂发出电到进入家庭，变压器使电压的大小经过了两次改变，最终直接进入家庭的电压为 V，是 （交流电/直流电）；（2）下列单位不能够表示远程输电损耗电能大小的是 ；A.$\mathrm{A}^{2}\cdot \Omega \cdot \mathrm{s}$ B.$\mathrm{V}\cdot \mathrm{A}$ C.$\mathrm{V}^{2}\cdot \Omega ^{-1}\cdot \mathrm{s}$ D.$\mathrm{W}\cdot \mathrm{s}$（3）在输电阶段，输电线上常用如图丙装置将四根导线并联起来，相当于增大了导线的横截面积，从而减小了导线的 ，以达到减少输电线上电能损失的目的；（4）如图甲属于 变压器（升压、降压）；（5）目前我国正在进行1500kV的特高压输电技术实验。若甲、乙两地原来用500kV的超高压输电，建成后改用1500kV的特高压输电，当输电功率相同时，线路上的功率损耗为原来的 倍（线路电阻不变）；（6）由发电厂向用户输电，输送的功率P一定，关于输电电压U与输电电流的I的关系图像正确的是 。A.B.C.D.</x:v>
      </x:c>
      <x:c r="L345" s="63" t="str"/>
      <x:c r="M345" s="63" t="str">
        <x:v>（1）[1][2]我国家庭电路的电压为220V，则最终直接进入家庭的电压为220V，家庭电路使用交流电。（2）[3]由$Q=I^{2}Rt=\dfrac{U^{2}}{R}t=UIt=Pt$可知，对应的单位为A2·Ω·s、V2·Ω-1·s、V·A·s、W·s，故ACD不符合题意，B符合题意。故选B。（3）[4]当其它条件一定时，导体的横截面积越大，电阻越小，输电线上常用如图丙装置将四根导线并联起来，相当于增大了导线的横截面积，从而减小了导线的电阻。（4）[5]图甲中满足$\dfrac{U_{1}}{U_{2}}=\dfrac{n_{1}}{n_{2}}$因n1&gt;n2所以U1&gt;U2即输出电压小于输入电压，因此相当于降压器。（5）[6]前后两次输电电压之比$\dfrac{U_{1}}{U_{2}}=\dfrac{500\mathrm{kV}}{1500\mathrm{kV}}=\dfrac{1}{3}$因输电功率相同，由P=UI可知，前后两次电流之比$\dfrac{I_{1}}{I_{2}}=\dfrac{U_{2}}{U_{1}}=\dfrac{3}{1}$输电线的电阻不变，由P=I2R可知，前后两次输电线上损失的功率之比为$\dfrac{P_{1}}{P_{2}}=\left(\dfrac{I_{1}}{I_{2}}\right)^{2}=\left(\dfrac{3}{1}\right)^{2}=\dfrac{9}{1}$因此$P_{2}=\dfrac{1}{9}P_{1}$（6）[7]根据公式P=UI可知，输送的功率P一定时，电压越大，电流越小，即电压与电流成反比，故C符合题意，ABD不符合题意。故选C。</x:v>
      </x:c>
      <x:c r="N345" s="63" t="str">
        <x:v>https://k12static.xdf.cn/k12/image/externalized/81d8e0f7-912a-4742-85e6-a6cd82252828.png</x:v>
      </x:c>
      <x:c r="O345" s="63" t="str">
        <x:v>https://k12static.xdf.cn/k12/image/externalized/f6e0e642-d2c5-4072-823b-88fc28d68a81.png</x:v>
      </x:c>
      <x:c r="P345" s="63" t="str">
        <x:v>3-5步</x:v>
      </x:c>
      <x:c r="Q345" s="63" t="str">
        <x:v>跨模块综合</x:v>
      </x:c>
      <x:c r="R345" s="63" t="str">
        <x:v>双状态</x:v>
      </x:c>
      <x:c r="S345" s="63" t="str">
        <x:v>单一约束</x:v>
      </x:c>
      <x:c r="T345" s="63" t="str">
        <x:v>无</x:v>
      </x:c>
      <x:c r="U345" s="63" t="str">
        <x:v>无</x:v>
      </x:c>
      <x:c r="V345" s="63" t="str">
        <x:v>多层因果推理</x:v>
      </x:c>
    </x:row>
    <x:row r="346">
      <x:c r="A346" s="64" t="str">
        <x:v>​2758452957026713600</x:v>
      </x:c>
      <x:c r="B346" s="65" t="str">
        <x:v>中等题</x:v>
      </x:c>
      <x:c r="C346" s="65" t="str">
        <x:v>中等题</x:v>
      </x:c>
      <x:c r="D346" s="65" t="str">
        <x:v>中等题</x:v>
      </x:c>
      <x:c r="E346" s="65" t="str">
        <x:v>保留原GPT裁定</x:v>
      </x:c>
      <x:c r="F346" s="65" t="str">
        <x:v>高</x:v>
      </x:c>
      <x:c r="G346" s="65" t="str">
        <x:v>中等题</x:v>
      </x:c>
      <x:c r="H346" s="65" t="str">
        <x:v>中等题</x:v>
      </x:c>
      <x:c r="I346" s="65" t="str">
        <x:v>题干、解析与结构证据支持中等题：step=3-5步，题型=力学综合，状态=单状态，约束=单一约束，推理=多层因果推理。教师、盲评和多次模型证据中未形成足以推翻原裁定的同向结构证据。</x:v>
      </x:c>
      <x:c r="J346" s="65" t="str">
        <x:v>未进入三次错题并集；逐题结构一致性复核</x:v>
      </x:c>
      <x:c r="K346" s="63" t="str">
        <x:v>如图所示，一方形容器置于水平面上，用竖直薄隔板将其分成左、右两部分，右侧部分横截面积是左侧的2倍，隔板底部有一小圆孔用薄橡皮膜封闭。左、右两侧分别注入两种不同液体，液面在图中位置时，橡皮膜恰好不发生形变。下列说法正确的是（ ）</x:v>
      </x:c>
      <x:c r="L346" s="63" t="str">
        <x:v>A. 左、右两侧液体对橡皮膜的压强相等 B. 右侧液体对容器底的压力是左侧液体对容器底部压力的2倍 C. 容器中左、右两侧液体的质量相等 D. 右侧液体的密度大于左侧液体的密度</x:v>
      </x:c>
      <x:c r="M346" s="63" t="str">
        <x:v>A．液体压强的大小是通过橡皮膜的凸起体现出来的，左、右两侧分别注入两种不同液体，液面在图中位置时，橡皮膜恰好不发生形变，说明左、右两侧液体对橡皮膜的压强相等，故A正确；B．左、右两侧液体对橡皮膜的压强相等，而橡皮膜位于隔板底部，所以左、右两侧液体对容器底部的压强相等，右侧部分横截面积是左侧的2倍，根据F=pS可知，右侧液体对容器底的压力是左侧液体对容器底的压力的2倍，故B正确；C．由于隔板左、右两侧的形状都是长方体，容器对底部的压力等于液体的重力，左侧液体对容器底的压力小于右侧液体对容器底的压力，则左侧液体的重力小于右侧液体的重力，故左侧液体的质量小于右侧液体的质量，故C错误；D．左、右两侧液体对容器底部的压强相等，而左侧液体的深度大于右侧液体的深度，根据可知，左侧液体的密度小于右侧液体密度，故D正确。故选ABD。</x:v>
      </x:c>
      <x:c r="N346" s="63" t="str">
        <x:v>https://k12static.xdf.cn/k12/image/externalized/c9eccc82-5863-41e7-a2ae-b3161932cbc7.png</x:v>
      </x:c>
      <x:c r="O346" s="63" t="str">
        <x:v>https://k12static.xdf.cn/k12/image/externalized/95405f1f-d00b-4f95-8eff-57e567b23603.png</x:v>
      </x:c>
      <x:c r="P346" s="63" t="str">
        <x:v>3-5步</x:v>
      </x:c>
      <x:c r="Q346" s="63" t="str">
        <x:v>力学综合</x:v>
      </x:c>
      <x:c r="R346" s="63" t="str">
        <x:v>单状态</x:v>
      </x:c>
      <x:c r="S346" s="63" t="str">
        <x:v>单一约束</x:v>
      </x:c>
      <x:c r="T346" s="63" t="str">
        <x:v>无</x:v>
      </x:c>
      <x:c r="U346" s="63" t="str">
        <x:v>无</x:v>
      </x:c>
      <x:c r="V346" s="63" t="str">
        <x:v>多层因果推理</x:v>
      </x:c>
    </x:row>
    <x:row r="347">
      <x:c r="A347" s="64" t="str">
        <x:v>​2759881153910509568</x:v>
      </x:c>
      <x:c r="B347" s="65" t="str">
        <x:v>中等题</x:v>
      </x:c>
      <x:c r="C347" s="65" t="str">
        <x:v>中等题</x:v>
      </x:c>
      <x:c r="D347" s="65" t="str">
        <x:v>中等题</x:v>
      </x:c>
      <x:c r="E347" s="65" t="str">
        <x:v>保留原GPT裁定</x:v>
      </x:c>
      <x:c r="F347" s="65" t="str">
        <x:v>高</x:v>
      </x:c>
      <x:c r="G347" s="65" t="str">
        <x:v>基础题</x:v>
      </x:c>
      <x:c r="H347" s="65" t="str">
        <x:v>中等题</x:v>
      </x:c>
      <x:c r="I347" s="65" t="str">
        <x:v>题干、解析与结构证据支持中等题：step=3-5步，题型=图像表格分析，状态=单状态，约束=无约束，推理=多层因果推理。教师、盲评和多次模型证据中未形成足以推翻原裁定的同向结构证据。</x:v>
      </x:c>
      <x:c r="J347" s="65" t="str">
        <x:v>未进入三次错题并集；逐题结构一致性复核</x:v>
      </x:c>
      <x:c r="K347" s="63" t="str">
        <x:v>如图所示的是电阻甲和乙的U-I图象，下列e是小明根据图象信息所做出的分析，其中正确的是（ ）</x:v>
      </x:c>
      <x:c r="L347" s="63" t="str">
        <x:v>A. 当甲两端的电压为2.5V时，通过它的电流为0.5A B. 当乙两端的电压为0.5V时，通过它的电流为0.3A C. 将甲、乙串联，当通过它们的电流为0.4A时，它们两端的电压之和为2V D. 将甲、乙并联，当它们两端的电压为1V时，则通过干路的电流为0.6A</x:v>
      </x:c>
      <x:c r="M347" s="63" t="str">
        <x:v>解：A．由图象可知，当甲两端的电压为2.5V时，通过它的电流为0.5A，故A正确； B．由图象可知，当乙两端的电压为0.5V时，通过它的电流大于0.3A，故B错误； C．将甲、乙串联，当通过它们的电流为0.4A时，由图象可知，它们两端的电压分别为U甲=2V，U乙=1V， 因串联电路中总电压等于各分电压之和，所以，甲、乙两端的电压之和U=U甲+U乙′=2V+1V=3V，故C错误； D．将甲、乙并联，当它们两端的电压为1V时，由图象可知，通过的电流分别为I甲=0.2A、I乙=0.4A， 因并联电路中干路电流等于各支路电流之和，所以，干路电流I=I甲+I乙=0.2A+0.4A=0.6A，故D正确。 故选：AD。</x:v>
      </x:c>
      <x:c r="N347" s="63" t="str">
        <x:v>https://k12static.xdf.cn/k12/image/externalized/9ccd92d8-2534-4e6c-9543-26f5c26ca7aa.png</x:v>
      </x:c>
      <x:c r="O347" s="63" t="str">
        <x:v>https://k12static.xdf.cn/k12/image/externalized/e0713a96-37c6-4397-a0aa-b75eaf3ecfb2.png</x:v>
      </x:c>
      <x:c r="P347" s="63" t="str">
        <x:v>3-5步</x:v>
      </x:c>
      <x:c r="Q347" s="63" t="str">
        <x:v>图像表格分析</x:v>
      </x:c>
      <x:c r="R347" s="63" t="str">
        <x:v>单状态</x:v>
      </x:c>
      <x:c r="S347" s="63" t="str">
        <x:v>无约束</x:v>
      </x:c>
      <x:c r="T347" s="63" t="str">
        <x:v>无</x:v>
      </x:c>
      <x:c r="U347" s="63" t="str">
        <x:v>直接读数</x:v>
      </x:c>
      <x:c r="V347" s="63" t="str">
        <x:v>多层因果推理</x:v>
      </x:c>
    </x:row>
    <x:row r="348">
      <x:c r="A348" s="64" t="str">
        <x:v>​2759882938218831872</x:v>
      </x:c>
      <x:c r="B348" s="65" t="str">
        <x:v>中等题</x:v>
      </x:c>
      <x:c r="C348" s="65" t="str">
        <x:v>中等题</x:v>
      </x:c>
      <x:c r="D348" s="65" t="str">
        <x:v>中等题</x:v>
      </x:c>
      <x:c r="E348" s="65" t="str">
        <x:v>保留原GPT裁定</x:v>
      </x:c>
      <x:c r="F348" s="65" t="str">
        <x:v>高</x:v>
      </x:c>
      <x:c r="G348" s="65" t="str">
        <x:v>送分题</x:v>
      </x:c>
      <x:c r="H348" s="65" t="str">
        <x:v>中等题</x:v>
      </x:c>
      <x:c r="I348" s="65" t="str">
        <x:v>题干、解析与结构证据支持中等题：step=3-5步，题型=概念判断，状态=单状态，约束=无约束，推理=多层因果推理。教师、盲评和多次模型证据中未形成足以推翻原裁定的同向结构证据。</x:v>
      </x:c>
      <x:c r="J348" s="65" t="str">
        <x:v>未进入三次错题并集；逐题结构一致性复核</x:v>
      </x:c>
      <x:c r="K348" s="63" t="str">
        <x:v>根据图片信息判断，下列说法不正确的是（ ） 物质 酒精 冰 铝 铜 密度/（kg/m3） 0.8×103 0.9×103 2.7×103 8.9×103 比热容/[J/（kg•℃）] 2.4×103 2.1×103 0.88×103 0.39×103</x:v>
      </x:c>
      <x:c r="L348" s="63" t="str">
        <x:v>A. 同种物质状态发生了改变，比热容一般也会改变 B. 给等质量的铜块和铝块加热，它们吸收热量多少与升高的温度的关系可用图象甲表示，其中图象a表示的是铜块 C. 长度和粗细都相同的铜丝和铝丝，分别接入图乙所示电路的A、B中，则通过铜丝的电流更小 D. 把质量相同的铜块、铝块，分别拉成粗细相同的铜丝、铝丝后，铝丝的电阻较小</x:v>
      </x:c>
      <x:c r="M348" s="63" t="str">
        <x:v>解：A．根据表格知冰的比热容和水不同，可知同种物质状态发生了改变，比热容一般也会改变，故A正确； B．给等质量的铜块和铝块加热，它们吸收热量Q=cmΔt,铝的比热容大，质量和升高温度相同，铝吸收的热量多，是上方的图像，即图象a表示的是铝块，故B错误； C．长度和粗细都相同的铜丝和铝丝，铜的导电性能好，电阻较小，分别接入图乙所示电路的A、B中，则通过铜丝的电流更大，故C错误； D．把质量相同的铜块、铝块，由于铝的密度小，质量相同，则体积较大，分别拉成粗细相同的铜丝、铝丝后，铝的长度较大，且铝的导电性能差，则铝丝的电阻较大，故D错误。 故选：BCD。</x:v>
      </x:c>
      <x:c r="N348" s="63" t="str">
        <x:v>https://k12static.xdf.cn/k12/image/externalized/8084d81f-82b3-4f31-b098-fbe37709ec12.png</x:v>
      </x:c>
      <x:c r="O348" s="63" t="str">
        <x:v>https://k12static.xdf.cn/k12/image/externalized/b405eed6-3442-422b-9b4c-203391bd83f0.png</x:v>
      </x:c>
      <x:c r="P348" s="63" t="str">
        <x:v>3-5步</x:v>
      </x:c>
      <x:c r="Q348" s="63" t="str">
        <x:v>概念判断</x:v>
      </x:c>
      <x:c r="R348" s="63" t="str">
        <x:v>单状态</x:v>
      </x:c>
      <x:c r="S348" s="63" t="str">
        <x:v>无约束</x:v>
      </x:c>
      <x:c r="T348" s="63" t="str">
        <x:v>无</x:v>
      </x:c>
      <x:c r="U348" s="63" t="str">
        <x:v>多组比较归纳</x:v>
      </x:c>
      <x:c r="V348" s="63" t="str">
        <x:v>多层因果推理</x:v>
      </x:c>
    </x:row>
    <x:row r="349">
      <x:c r="A349" s="64" t="str">
        <x:v>​2761957342410964992</x:v>
      </x:c>
      <x:c r="B349" s="65" t="str">
        <x:v>中等题</x:v>
      </x:c>
      <x:c r="C349" s="65" t="str">
        <x:v>中等题</x:v>
      </x:c>
      <x:c r="D349" s="65" t="str">
        <x:v>中等题</x:v>
      </x:c>
      <x:c r="E349" s="65" t="str">
        <x:v>保留原GPT裁定</x:v>
      </x:c>
      <x:c r="F349" s="65" t="str">
        <x:v>中</x:v>
      </x:c>
      <x:c r="G349" s="65" t="str">
        <x:v>中等题</x:v>
      </x:c>
      <x:c r="H349" s="65" t="str">
        <x:v>拔高题</x:v>
      </x:c>
      <x:c r="I349" s="65" t="str">
        <x:v>题干、解析与结构证据支持中等题：step=1-2步，题型=实验探究，状态=单状态，约束=无约束，推理=多层因果推理。教师、盲评和多次模型证据中未形成足以推翻原裁定的同向结构证据。</x:v>
      </x:c>
      <x:c r="J349" s="65" t="str">
        <x:v>未进入三次错题并集；逐题结构一致性复核</x:v>
      </x:c>
      <x:c r="K349" s="63" t="str">
        <x:v>在“探究二力平衡的条件”的活动中，小真按图甲完成实验。（1）小真将系于小卡片（重力可忽略不计）两端的线分别跨过左右支架上的滑轮，在线的两端挂上钩码，使作用在小卡片上的两个拉力方向 （选填“相同”或“不相同”），再在两线另一端分别都挂上1个、2个、3个钩码，卡片都能平衡，由此 （选填“能”或“不能”）得出使物体平衡的两个力必须大小相等；（2）当纸片平衡时，用手将纸片转过一个角度，这是为了探究： ，松手后纸片 平衡（选填“能”或“不能”）；（3）不计摩擦，在卡片平衡时，小真用手向上托一下左侧钩码（卡片和钩码始终未接触滑轮），当手离开钩码后，卡片将 （选填“加速”、“减速”或“匀速”）运动；（4）小求在做实验时，左右支架上装配两个滑轮时没有安装在相同的高度，如图乙所示，你认为小求的装置 进行实验（选填“能”或“不能”）。</x:v>
      </x:c>
      <x:c r="L349" s="63" t="str"/>
      <x:c r="M349" s="63" t="str">
        <x:v>（1）[1][2] 小真将系于小卡片（重力可忽略不计）两端的线分别跨过左右支架上的滑轮，在线的两端挂上钩码，使作用在小卡片上的两个拉力方向相反，即方向不同；再在两线另一端分别都挂上1个、2个、3个钩码，卡片都能平衡，由此不能得出使物体平衡的两个力必须大小相等，因为没有测试两个力不等的情况。（2）[3][4] 当纸片平衡时，用手将纸片转过一个角度，则两个力不再作用在同一条直线上，这是为了探究平衡力是否必须作用在同一直线上，松手后纸片不能平衡，还会转回来，说明一对平衡力必须作用在同一直线上。（3）[5] 在卡片平衡时，小真用手向上托一下左侧钩码，卡片将不再平衡，右侧拉力较大，所以卡片会向右运动，当手离开钩码后，卡片再次受到平衡力，所以卡片将以当前速度做匀速直线运动。（4）[6] 做实验时，左右支架上装配两个滑轮时没有安装在相同的高度，小卡片仍然可以在两个拉力的作用下处于平衡状态，所以小求的装置能进行实验。</x:v>
      </x:c>
      <x:c r="N349" s="63" t="str">
        <x:v>https://k12static.xdf.cn/k12/image/externalized/25c7a751-7d7c-4508-af73-f61a91cc4be7.png</x:v>
      </x:c>
      <x:c r="O349" s="63" t="str">
        <x:v>https://k12static.xdf.cn/k12/image/externalized/31ae861b-e26f-42b0-a9aa-a573f52678fa.png</x:v>
      </x:c>
      <x:c r="P349" s="63" t="str">
        <x:v>1-2步</x:v>
      </x:c>
      <x:c r="Q349" s="63" t="str">
        <x:v>实验探究</x:v>
      </x:c>
      <x:c r="R349" s="63" t="str">
        <x:v>单状态</x:v>
      </x:c>
      <x:c r="S349" s="63" t="str">
        <x:v>无约束</x:v>
      </x:c>
      <x:c r="T349" s="63" t="str">
        <x:v>控制变量或故障分析</x:v>
      </x:c>
      <x:c r="U349" s="63" t="str">
        <x:v>无</x:v>
      </x:c>
      <x:c r="V349" s="63" t="str">
        <x:v>多层因果推理</x:v>
      </x:c>
    </x:row>
    <x:row r="350">
      <x:c r="A350" s="64" t="str">
        <x:v>​2763157046213316608</x:v>
      </x:c>
      <x:c r="B350" s="65" t="str">
        <x:v>中等题</x:v>
      </x:c>
      <x:c r="C350" s="65" t="str">
        <x:v>中等题</x:v>
      </x:c>
      <x:c r="D350" s="65" t="str">
        <x:v>中等题</x:v>
      </x:c>
      <x:c r="E350" s="65" t="str">
        <x:v>保留原GPT裁定</x:v>
      </x:c>
      <x:c r="F350" s="65" t="str">
        <x:v>高</x:v>
      </x:c>
      <x:c r="G350" s="65" t="str">
        <x:v>中等题</x:v>
      </x:c>
      <x:c r="H350" s="65" t="str">
        <x:v>拔高题</x:v>
      </x:c>
      <x:c r="I350" s="65" t="str">
        <x:v>题干、解析与结构证据支持中等题：step=3-5步，题型=实验探究，状态=单状态，约束=单一约束，推理=多层因果推理。教师、盲评和多次模型证据中未形成足以推翻原裁定的同向结构证据。</x:v>
      </x:c>
      <x:c r="J350" s="65" t="str">
        <x:v>未进入三次错题并集；逐题结构一致性复核</x:v>
      </x:c>
      <x:c r="K350" s="63" t="str">
        <x:v>小明和小辉学习了燃料的热值后，他们一起设计了一个实验来探究煤油和菜籽油的热值的大小关系，他们组装了如图甲和乙所示的装置进行实验，记录结果如表：燃料加热前的水温/℃燃料燃尽后水温/℃煤油2544菜籽油2534（1）为了保证实验结论的可靠性，小明和小辉选择了两套完全相同的装置，并且控制油的质量以及水的质量 。但对于两杯水的初温他们的看法却不同，请将下列他们的想法补充完整；①小辉认为实验中是直接用 来表示煤油和菜籽油放出热量的多少，所以，实验中两杯水的初温可以不同；②小明认为因为探究过程中他们采用了 法，所以只有燃料的种类不同，其他因素都必须控制相同。如果两杯水的初温不同，那么水的蒸发快慢以及水与周围环境的温差都不相同，于是两杯水的 就不相同，就有可能会出现燃料燃烧放出的热量多，而水吸收的热量少、水温变化低的情况，所以实验时必须控制水的初温相同；③你认为 （选填“小明”或“小辉”）的想法更合理；（2）根据他们的实验记录，你认为煤油和菜籽油两种燃料中，热值较大是 ；（3）小明和小辉在实验前用天平分别测出了烧杯中水的质量以及燃油的质量。并由记录的数据，利用公式Q吸=cm（t﹣t0）计算出了水吸收的热量。小辉他想通过这些数据计算出煤油和菜籽油的热值。你认为他的计算结果与真实值相比 （选填“偏大”、“偏小”或“不变”），理由是： 。</x:v>
      </x:c>
      <x:c r="L350" s="63" t="str"/>
      <x:c r="M350" s="63" t="str">
        <x:v>（1）[1]根据Q放＝mq，燃料燃烧放出热量的多少与物体的质量和热值有关，所以要探究热值的大小，需使菜籽油和煤油的质量相等；水吸收热量后温度的变化，与吸热的多少及质量有关，所以还要控制两杯水的质量相等。[2]质量相同的水，温度变化越大，说明吸收热量越多，所以实验中通过水温升高的多少来表示煤油和菜籽油放出热量的多少。[3]要探究不同燃料热值的大小，应使其它条件相同，只有燃料的种类不同，即用到控制变量法。[4][5]根据热传递的条件，水温与周围环境温度相差越大，越容易发生热传递，若水的初温不同，便可造成水的散热情况不同，所以实验中应控制水的初温相同；由上分析知，小明的分析更加合理。（2）[6]根据表格中数据，相同质量的两种燃料燃烧完后，煤油的水温升高较大，说明煤油放出的热量较多，即煤油的热值较大。（3）[7][8]在实验过程中，燃油不可能完全燃烧，且燃料燃烧放出的热量一部分直接散失掉、一部分被烧杯吸收，同时水也会向外散热，所以不能通过水温的变化得出燃料燃烧放出的热量，计算结果不准确。</x:v>
      </x:c>
      <x:c r="N350" s="63" t="str">
        <x:v>https://k12static.xdf.cn/k12/image/externalized/9194a89f-c83e-427c-8e98-8fb8ab56877b.png</x:v>
      </x:c>
      <x:c r="O350" s="63" t="str">
        <x:v>https://k12static.xdf.cn/k12/image/externalized/54bde349-9a81-4709-8cf4-297a51d83670.png</x:v>
      </x:c>
      <x:c r="P350" s="63" t="str">
        <x:v>3-5步</x:v>
      </x:c>
      <x:c r="Q350" s="63" t="str">
        <x:v>实验探究</x:v>
      </x:c>
      <x:c r="R350" s="63" t="str">
        <x:v>单状态</x:v>
      </x:c>
      <x:c r="S350" s="63" t="str">
        <x:v>单一约束</x:v>
      </x:c>
      <x:c r="T350" s="63" t="str">
        <x:v>控制变量或故障分析</x:v>
      </x:c>
      <x:c r="U350" s="63" t="str">
        <x:v>多组比较归纳</x:v>
      </x:c>
      <x:c r="V350" s="63" t="str">
        <x:v>多层因果推理</x:v>
      </x:c>
    </x:row>
    <x:row r="351">
      <x:c r="A351" s="64" t="str">
        <x:v>​2763186075930824704</x:v>
      </x:c>
      <x:c r="B351" s="65" t="str">
        <x:v>中等题</x:v>
      </x:c>
      <x:c r="C351" s="65" t="str">
        <x:v>中等题</x:v>
      </x:c>
      <x:c r="D351" s="65" t="str">
        <x:v>中等题</x:v>
      </x:c>
      <x:c r="E351" s="65" t="str">
        <x:v>保留原GPT裁定</x:v>
      </x:c>
      <x:c r="F351" s="65" t="str">
        <x:v>高</x:v>
      </x:c>
      <x:c r="G351" s="65" t="str">
        <x:v>中等题</x:v>
      </x:c>
      <x:c r="H351" s="65" t="str">
        <x:v>中等题</x:v>
      </x:c>
      <x:c r="I351" s="65" t="str">
        <x:v>题干、解析与结构证据支持中等题：step=3-5步，题型=概念判断，状态=双状态，约束=单一约束，推理=多层因果推理。教师、盲评和多次模型证据中未形成足以推翻原裁定的同向结构证据。</x:v>
      </x:c>
      <x:c r="J351" s="65" t="str">
        <x:v>未进入三次错题并集；逐题结构一致性复核</x:v>
      </x:c>
      <x:c r="K351" s="63" t="str">
        <x:v>小明将吸管的一端缠绕一些细铜丝，并用石蜡封口，自制一个简易密度计。水平桌面上，两个完全相同的容器分别装有甲、乙两种液体，将该密度计依次放入甲、乙两种液体中，静止时，液面相平，如图下列正确的是（ ）</x:v>
      </x:c>
      <x:c r="L351" s="63" t="str">
        <x:v>A. 密度计越靠上的刻度，对应的密度值越大 B. 密度计在甲液体中比在乙液体中受到的浮力小 C. 甲液体对容器底的压力小于乙液体对容器底的压力 D. 若将原密度计底部再多缠几圈细铜丝，则密度计相邻两刻度线之间的距离变小</x:v>
      </x:c>
      <x:c r="M351" s="63" t="str">
        <x:v>A．密度计浸入液体深度越小，液体密度越大，所以密度计越往上的刻度，对应密度越小，故A错误；B．密度计始终漂浮，浮力大小等于密度计的重力，所以浮力相等，故B错误；C．由于甲、乙液面相平，甲液体的密度小，所以甲液体比乙液体对容器底的压强小，因为容器的底面积相同，由F=pS可知，甲液体对容器底的压力小于乙液体对容器底的压力，故C正确；D．密度计底部多缠几圈细铜丝，密度计自身重力变大，根据公式F浮=ρ液ghS=G，液体密度相同时，密度计的浸没深度h增大，所以密度计的测量范围变小，所以相邻两刻度的距离变大，故D错误。故选C。</x:v>
      </x:c>
      <x:c r="N351" s="63" t="str">
        <x:v>https://k12static.xdf.cn/k12/image/externalized/9336cc34-22c3-4aa6-9ae4-e0473e55d28c.png</x:v>
      </x:c>
      <x:c r="O351" s="63" t="str">
        <x:v>https://k12static.xdf.cn/k12/image/externalized/a05bcbd4-30ec-45d9-b529-82cc81445e3a.png</x:v>
      </x:c>
      <x:c r="P351" s="63" t="str">
        <x:v>3-5步</x:v>
      </x:c>
      <x:c r="Q351" s="63" t="str">
        <x:v>概念判断</x:v>
      </x:c>
      <x:c r="R351" s="63" t="str">
        <x:v>双状态</x:v>
      </x:c>
      <x:c r="S351" s="63" t="str">
        <x:v>单一约束</x:v>
      </x:c>
      <x:c r="T351" s="63" t="str">
        <x:v>无</x:v>
      </x:c>
      <x:c r="U351" s="63" t="str">
        <x:v>无</x:v>
      </x:c>
      <x:c r="V351" s="63" t="str">
        <x:v>多层因果推理</x:v>
      </x:c>
    </x:row>
    <x:row r="352">
      <x:c r="A352" s="64" t="str">
        <x:v>​2763302932226842624</x:v>
      </x:c>
      <x:c r="B352" s="65" t="str">
        <x:v>中等题</x:v>
      </x:c>
      <x:c r="C352" s="65" t="str">
        <x:v>中等题</x:v>
      </x:c>
      <x:c r="D352" s="65" t="str">
        <x:v>中等题</x:v>
      </x:c>
      <x:c r="E352" s="65" t="str">
        <x:v>保留原GPT裁定</x:v>
      </x:c>
      <x:c r="F352" s="65" t="str">
        <x:v>高</x:v>
      </x:c>
      <x:c r="G352" s="65" t="str">
        <x:v>中等题</x:v>
      </x:c>
      <x:c r="H352" s="65" t="str">
        <x:v>拔高题</x:v>
      </x:c>
      <x:c r="I352" s="65" t="str">
        <x:v>题干、解析与结构证据支持中等题：step=3-5步，题型=跨模块综合，状态=单状态，约束=单一约束，推理=多层因果推理。教师、盲评和多次模型证据中未形成足以推翻原裁定的同向结构证据。</x:v>
      </x:c>
      <x:c r="J352" s="65" t="str">
        <x:v>未进入三次错题并集；逐题结构一致性复核</x:v>
      </x:c>
      <x:c r="K352" s="63" t="str">
        <x:v>某款恒温箱的简化电路如图甲所示，控制电路中电源电压为$36\mathrm{V}$且保持不变，电磁铁线圈电阻为$50\Omega$，R为热敏电阻（置于恒温箱内），其阻值随温度变化的关系如图乙所示；工作电路中的加热器（图中未画出）正常工作时的电阻为$44\Omega$。求：</x:v>
      </x:c>
      <x:c r="L352" s="63" t="str"/>
      <x:c r="M352" s="63" t="str"/>
      <x:c r="N352" s="63" t="str">
        <x:v>https://k12static.xdf.cn/k12/image/externalized/8d5b01a8-9020-497e-b586-2d9e04c84268.png</x:v>
      </x:c>
      <x:c r="O352" s="63" t="str">
        <x:v>https://k12static.xdf.cn/k12/image/externalized/a7c6f4a9-84fe-4cc3-9394-9ae0207b2fa3.png</x:v>
      </x:c>
      <x:c r="P352" s="63" t="str">
        <x:v>3-5步</x:v>
      </x:c>
      <x:c r="Q352" s="63" t="str">
        <x:v>跨模块综合</x:v>
      </x:c>
      <x:c r="R352" s="63" t="str">
        <x:v>单状态</x:v>
      </x:c>
      <x:c r="S352" s="63" t="str">
        <x:v>单一约束</x:v>
      </x:c>
      <x:c r="T352" s="63" t="str">
        <x:v>无</x:v>
      </x:c>
      <x:c r="U352" s="63" t="str">
        <x:v>直接读数</x:v>
      </x:c>
      <x:c r="V352" s="63" t="str">
        <x:v>多层因果推理</x:v>
      </x:c>
    </x:row>
    <x:row r="353">
      <x:c r="A353" s="64" t="str">
        <x:v>​2766342282730651648</x:v>
      </x:c>
      <x:c r="B353" s="65" t="str">
        <x:v>拔高题</x:v>
      </x:c>
      <x:c r="C353" s="65" t="str">
        <x:v>拔高题</x:v>
      </x:c>
      <x:c r="D353" s="65" t="str">
        <x:v>拔高题</x:v>
      </x:c>
      <x:c r="E353" s="65" t="str">
        <x:v>逐题复核后保留GPT裁定</x:v>
      </x:c>
      <x:c r="F353" s="65" t="str">
        <x:v>高</x:v>
      </x:c>
      <x:c r="G353" s="65" t="str">
        <x:v>中等题</x:v>
      </x:c>
      <x:c r="H353" s="65" t="str">
        <x:v>压轴题</x:v>
      </x:c>
      <x:c r="I353" s="65" t="str">
        <x:v>最高难任务在标准实验流程、读数与数据归纳中包含图线反推、状态转换、误差评价、几何/等效转换、方程联立或参数反求等决定性卡点，整体约5—6个有效决策；尚未形成压轴所需的完整复杂约束网络。</x:v>
      </x:c>
      <x:c r="J353" s="65" t="str">
        <x:v>三次运行错题并集逐题复核</x:v>
      </x:c>
      <x:c r="K353" s="63" t="str">
        <x:v>小明利用“曹冲称象”原理，在家利用量筒、碗、透明水槽和足量的水（密度ρ水已知）、油性笔等，测量小玻璃珠的密度。（1）如图所示，实验步骤如下（请将步骤D补充完整）：A.如图甲，把碗放入盛有水的透明水槽中，取一定数量的小玻璃珠放入碗中，用油性笔在水槽外壁“标记”水面位置；B.如图乙，在量筒内倒入适量的水，记下量筒中水的体积V1；C.如图丙，取出碗中所有的小玻璃珠后放入量筒中，记下小玻璃珠和水的总体积V2；D.如图丁，将丙图量筒中的水倒入空碗内，直到水槽中的水面与标记 ，记下量筒中小玻璃珠和剩余水的总体积V3；（2）完成下列填空（选用V1、V2、V3和ρ水表示）：①小玻璃珠的总体积为V= ；②小玻璃珠的总质量为m= ；③小玻璃珠密度的表达式为ρ玻= ；（3）为了提高测量精度，有以下几项措施，其中有效的是 。（a）减小水槽的口径（b）增大碗的容积（c）增加小玻璃珠的数量</x:v>
      </x:c>
      <x:c r="L353" s="63" t="str"/>
      <x:c r="M353" s="63" t="str">
        <x:v>（1）[1]当丁图水槽中液面与标记相平时，甲图与丁图中碗排开水的体积相等V排甲=V排丁（2）①[2]由乙、丙两图可知，玻璃珠的体积V=V2-V1②[3]由于V排甲=V排丁由阿基米德原理可知甲、丁两图中碗受到的浮力相等，又由于碗处于漂浮，浮力等于碗和碗内物体的总重力，所以甲图碗内玻璃珠的总重力等于丁图碗内水的重力，由G=mg知二者质量相等，即玻璃珠的总质量m=m水根据题意可知，丁图碗中水的质量m水=ρ水(V2-V3)故玻璃珠的总质量m=ρ水(V2-V3)③[4]玻璃的密度$\rho _{玻}=\dfrac{m}{V}=$$\dfrac{\rho _{水}(V_{2}-V_{3})}{V_{2}-V_{1}}$=$\dfrac{V_{2}-V_{3}}{V_{2}-V_{1}}$ρ水（3）[5]在水槽中排开水的体积相同时，减小水槽底面积，可以增加水的深度的变化量，从而提高精度，a正确；增加玻璃珠的数量，利用累积法，可以减小测量误差，提高测量精度，c正确，而增大碗的容积对不能提高测量精度，故选ac。</x:v>
      </x:c>
      <x:c r="N353" s="63" t="str">
        <x:v>https://k12static.xdf.cn/k12/image/externalized/82169c67-4fb5-4898-91ba-be603a3e5e0d.png</x:v>
      </x:c>
      <x:c r="O353" s="63" t="str">
        <x:v>https://k12static.xdf.cn/k12/image/externalized/ffffc001-7428-4975-8bb9-1ffe1e47f8e6.png</x:v>
      </x:c>
      <x:c r="P353" s="63" t="str">
        <x:v>3-5步</x:v>
      </x:c>
      <x:c r="Q353" s="63" t="str">
        <x:v>实验探究</x:v>
      </x:c>
      <x:c r="R353" s="63" t="str">
        <x:v>双状态</x:v>
      </x:c>
      <x:c r="S353" s="63" t="str">
        <x:v>单一约束</x:v>
      </x:c>
      <x:c r="T353" s="63" t="str">
        <x:v>控制变量或故障分析</x:v>
      </x:c>
      <x:c r="U353" s="63" t="str">
        <x:v>无</x:v>
      </x:c>
      <x:c r="V353" s="63" t="str">
        <x:v>多层因果推理</x:v>
      </x:c>
    </x:row>
    <x:row r="354">
      <x:c r="A354" s="64" t="str">
        <x:v>​2766378275610087424</x:v>
      </x:c>
      <x:c r="B354" s="65" t="str">
        <x:v>拔高题</x:v>
      </x:c>
      <x:c r="C354" s="65" t="str">
        <x:v>拔高题</x:v>
      </x:c>
      <x:c r="D354" s="65" t="str">
        <x:v>拔高题</x:v>
      </x:c>
      <x:c r="E354" s="65" t="str">
        <x:v>保留原GPT裁定</x:v>
      </x:c>
      <x:c r="F354" s="65" t="str">
        <x:v>高</x:v>
      </x:c>
      <x:c r="G354" s="65" t="str">
        <x:v>拔高题</x:v>
      </x:c>
      <x:c r="H354" s="65" t="str">
        <x:v>压轴题</x:v>
      </x:c>
      <x:c r="I354" s="65" t="str">
        <x:v>题干、解析与结构证据支持拔高题：step=6-8步，题型=实验探究，状态=多状态，约束=多约束，推理=多层因果推理。教师、盲评和多次模型证据中未形成足以推翻原裁定的同向结构证据。</x:v>
      </x:c>
      <x:c r="J354" s="65" t="str">
        <x:v>未进入三次错题并集；逐题结构一致性复核</x:v>
      </x:c>
      <x:c r="K354" s="63" t="str">
        <x:v>某实验小组的小泉同学用图甲所示的实验电路测量额定电压为2.5V的小灯泡正常发光时的电阻，其中电源由四节新的干电池串联组成。</x:v>
      </x:c>
      <x:c r="L354" s="63" t="str"/>
      <x:c r="M354" s="63" t="str"/>
      <x:c r="N354" s="63" t="str">
        <x:v>https://k12static.xdf.cn/k12/image/externalized/02b8e3d9-6644-4104-8f51-7fcf3419b540.png</x:v>
      </x:c>
      <x:c r="O354" s="63" t="str">
        <x:v>https://k12static.xdf.cn/k12/image/externalized/649ca011-e872-4b4a-880d-169c0f7efdf0.png</x:v>
      </x:c>
      <x:c r="P354" s="63" t="str">
        <x:v>6-8步</x:v>
      </x:c>
      <x:c r="Q354" s="63" t="str">
        <x:v>实验探究</x:v>
      </x:c>
      <x:c r="R354" s="63" t="str">
        <x:v>多状态</x:v>
      </x:c>
      <x:c r="S354" s="63" t="str">
        <x:v>多约束</x:v>
      </x:c>
      <x:c r="T354" s="63" t="str">
        <x:v>方案设计或误差评价</x:v>
      </x:c>
      <x:c r="U354" s="63" t="str">
        <x:v>直接读数</x:v>
      </x:c>
      <x:c r="V354" s="63" t="str">
        <x:v>多层因果推理</x:v>
      </x:c>
    </x:row>
    <x:row r="355">
      <x:c r="A355" s="64" t="str">
        <x:v>​2767516922013061120</x:v>
      </x:c>
      <x:c r="B355" s="65" t="str">
        <x:v>中等题</x:v>
      </x:c>
      <x:c r="C355" s="65" t="str">
        <x:v>中等题</x:v>
      </x:c>
      <x:c r="D355" s="65" t="str">
        <x:v>中等题</x:v>
      </x:c>
      <x:c r="E355" s="65" t="str">
        <x:v>保留原GPT裁定</x:v>
      </x:c>
      <x:c r="F355" s="65" t="str">
        <x:v>高</x:v>
      </x:c>
      <x:c r="G355" s="65" t="str">
        <x:v>中等题</x:v>
      </x:c>
      <x:c r="H355" s="65" t="str">
        <x:v>中等题</x:v>
      </x:c>
      <x:c r="I355" s="65" t="str">
        <x:v>题干、解析与结构证据支持中等题：step=3-5步，题型=力学综合，状态=双状态，约束=单一约束，推理=多层因果推理。教师、盲评和多次模型证据中未形成足以推翻原裁定的同向结构证据。</x:v>
      </x:c>
      <x:c r="J355" s="65" t="str">
        <x:v>未进入三次错题并集；逐题结构一致性复核</x:v>
      </x:c>
      <x:c r="K355" s="63" t="str">
        <x:v>利用如图所示的甲、乙两滑轮组，在相同的时间内用大小相同的力F1和F2分别把质量相等的重物提升到相同的高度，则</x:v>
      </x:c>
      <x:c r="L355" s="63" t="str">
        <x:v>A. 力F1和力F2做功的功率相同 B. 力F1的功率大于力F2的功率 C. 乙滑轮组的机械效率高 D. 甲、乙两个滑轮组的总功相同</x:v>
      </x:c>
      <x:c r="M355" s="63" t="str">
        <x:v>（1）功率是表示物体做功快慢的物理量，根据公式p＝$\dfrac{\text{W}}{\text{t}}＝\dfrac{\text{Fs}}{\text{t}}$＝Fv分析出功率的大小；（2）滑轮组的机械效率是有用功与总功的比值，根据公式η＝$\dfrac{{{\text{W}}_{有}}}{{{\text{W}}_{总}}}＝\dfrac{\text{Gh}}{\text{Fs}}＝\dfrac{\text{G}}{\text{nF}}$分析出机械效率的高低；（3）拉力做的功为总功，根据公式W总＝Fs＝Fnh分析总功的大小．AB、在相同的时间内提升到相同的高度,即物体上升的速度v相同,甲滑轮组有3股绳子,乙滑轮组有两股绳子,所以甲的拉力移动的速度v1＝3v,v2＝2v，且拉力F相等，根据p＝$\dfrac{\text{W}}{t}＝\dfrac{\text{Fs}}{t}$＝Fv可知,力F1的功率较大，故A错误，B正确；C. 根据公式η＝$\dfrac{{{\text{W}}_{有}}}{{{\text{W}}_{总}}}＝\dfrac{\text{Gh}}{\text{Fs}}＝\dfrac{\text{G}}{\text{nF}}$可知,G1＝G2,F1＝F2,n1＝3,n2＝2,所以,η12，即甲的机械效率低，乙的机械效率高，故C正确；D. 甲拉力移动的距离s1＝3h,s2＝2h,拉力F相等,根据公式W总＝Fs可知，甲做的总功大，故D错误．故选BC.</x:v>
      </x:c>
      <x:c r="N355" s="63" t="str">
        <x:v>https://k12static.xdf.cn/k12/image/externalized/4ae01818-e6eb-43e9-b4bc-07677496707a.png</x:v>
      </x:c>
      <x:c r="O355" s="63" t="str">
        <x:v>https://k12static.xdf.cn/k12/image/externalized/27b29ec2-2dc7-42da-bfbd-25941b9ab739.png</x:v>
      </x:c>
      <x:c r="P355" s="63" t="str">
        <x:v>3-5步</x:v>
      </x:c>
      <x:c r="Q355" s="63" t="str">
        <x:v>力学综合</x:v>
      </x:c>
      <x:c r="R355" s="63" t="str">
        <x:v>双状态</x:v>
      </x:c>
      <x:c r="S355" s="63" t="str">
        <x:v>单一约束</x:v>
      </x:c>
      <x:c r="T355" s="63" t="str">
        <x:v>无</x:v>
      </x:c>
      <x:c r="U355" s="63" t="str">
        <x:v>无</x:v>
      </x:c>
      <x:c r="V355" s="63" t="str">
        <x:v>多层因果推理</x:v>
      </x:c>
    </x:row>
    <x:row r="356">
      <x:c r="A356" s="64" t="str">
        <x:v>​2768518130512191488</x:v>
      </x:c>
      <x:c r="B356" s="65" t="str">
        <x:v>中等题</x:v>
      </x:c>
      <x:c r="C356" s="65" t="str">
        <x:v>中等题</x:v>
      </x:c>
      <x:c r="D356" s="65" t="str">
        <x:v>中等题</x:v>
      </x:c>
      <x:c r="E356" s="65" t="str">
        <x:v>保留原GPT裁定</x:v>
      </x:c>
      <x:c r="F356" s="65" t="str">
        <x:v>高</x:v>
      </x:c>
      <x:c r="G356" s="65" t="str">
        <x:v>拔高题</x:v>
      </x:c>
      <x:c r="H356" s="65" t="str">
        <x:v>中等题</x:v>
      </x:c>
      <x:c r="I356" s="65" t="str">
        <x:v>题干、解析与结构证据支持中等题：step=1-2步，题型=实验探究，状态=单状态，约束=无约束，推理=多层因果推理。教师、盲评和多次模型证据中未形成足以推翻原裁定的同向结构证据。</x:v>
      </x:c>
      <x:c r="J356" s="65" t="str">
        <x:v>未进入三次错题并集；逐题结构一致性复核</x:v>
      </x:c>
      <x:c r="K356" s="63" t="str">
        <x:v>小明在学习了凸透镜后，想探究凸透镜的焦距大小与什么因素有关，于是他让平行光通过如图（a）的四个透镜（其中甲、乙和丙、丁是两组形状相同的凸透镜，它们分别用玻璃、塑料和水晶制成）。 （1）当与主光轴平行的光经过甲、丙两凸透镜后会聚于焦点处，如图（b）所示，比较两次实验数据，可以得到的结论是：在凸透镜的材料相同时，凸透镜表面越凸，凸透镜的焦距越 ________ （大/小）； （2）如果选择甲、乙两个透镜，那么他们可以探究凸透镜的焦距大小与 ________ 的关系，这里用到的一个物理研究方法是 ________ （控制变量法/类比法）； （3）联想到如图（c）光的色散现象，如果分别用红光和紫光平行于同一个凸透镜的主光轴射入， ________ （红/紫）光对凸透镜的焦距更大； （4）写出“利用太阳光测量凸透镜焦距”实验的注意事项： ________ （写出一点即可）。</x:v>
      </x:c>
      <x:c r="L356" s="63" t="str"/>
      <x:c r="M356" s="63" t="str">
        <x:v>解：（1）如图（b）所示，比较两次实验数据，可以得到的结论是：在凸透镜的材料相同时，凸透镜表面越凸，凸透镜的焦距越短； （2）如果选择甲、乙两个透镜，甲、乙凸透镜的外形相同，材料不同，所以探究的是凸透镜的焦距大小与材料的关系，这里用到的一个物理研究方法是控制变量法； （3）根据三棱镜对光线的偏折，由图丙丁可以得出，红光被偏折的程度小，紫光被偏折的程度大，当红光和紫光分别平行射向相同的凸透镜时，红光的会聚点，也就是红光的焦点距离透镜远，而紫光的焦点离透镜近，所以红光的焦距大； （4）利用太阳光测量凸透镜焦距时，需要让让凸透镜正对太阳光。 故答案为：（1）小；（2）材料；控制变量法；（3）红；（4）让凸透镜正对太阳光。</x:v>
      </x:c>
      <x:c r="N356" s="63" t="str">
        <x:v>https://k12static.xdf.cn/k12/image/externalized/3bc03cf5-0639-4702-8128-d7956f61cbb7.png</x:v>
      </x:c>
      <x:c r="O356" s="63" t="str">
        <x:v>https://k12static.xdf.cn/k12/image/externalized/e393da01-bcbd-461e-8c55-a5612ec49061.png</x:v>
      </x:c>
      <x:c r="P356" s="63" t="str">
        <x:v>1-2步</x:v>
      </x:c>
      <x:c r="Q356" s="63" t="str">
        <x:v>实验探究</x:v>
      </x:c>
      <x:c r="R356" s="63" t="str">
        <x:v>单状态</x:v>
      </x:c>
      <x:c r="S356" s="63" t="str">
        <x:v>无约束</x:v>
      </x:c>
      <x:c r="T356" s="63" t="str">
        <x:v>控制变量或故障分析</x:v>
      </x:c>
      <x:c r="U356" s="63" t="str">
        <x:v>多组比较归纳</x:v>
      </x:c>
      <x:c r="V356" s="63" t="str">
        <x:v>多层因果推理</x:v>
      </x:c>
    </x:row>
    <x:row r="357">
      <x:c r="A357" s="64" t="str">
        <x:v>​2770348763765116928</x:v>
      </x:c>
      <x:c r="B357" s="65" t="str">
        <x:v>中等题</x:v>
      </x:c>
      <x:c r="C357" s="65" t="str">
        <x:v>中等题</x:v>
      </x:c>
      <x:c r="D357" s="65" t="str">
        <x:v>中等题</x:v>
      </x:c>
      <x:c r="E357" s="65" t="str">
        <x:v>保留原GPT裁定</x:v>
      </x:c>
      <x:c r="F357" s="65" t="str">
        <x:v>高</x:v>
      </x:c>
      <x:c r="G357" s="65" t="str">
        <x:v>中等题</x:v>
      </x:c>
      <x:c r="H357" s="65" t="str">
        <x:v>拔高题</x:v>
      </x:c>
      <x:c r="I357" s="65" t="str">
        <x:v>题干、解析与结构证据支持中等题：step=3-5步，题型=实验探究，状态=双状态，约束=无约束，推理=多层因果推理。教师、盲评和多次模型证据中未形成足以推翻原裁定的同向结构证据。</x:v>
      </x:c>
      <x:c r="J357" s="65" t="str">
        <x:v>未进入三次错题并集；逐题结构一致性复核</x:v>
      </x:c>
      <x:c r="K357" s="63" t="str">
        <x:v>在“测量滑轮组机械效率”的实验中，小明利用同一滑轮组先后提升不同重力的物体进行实验，如图甲和乙所示，不计空气阻力。实验测量的数据记录在表格中：次数物重/N提升高度/m拉力/N绳端移动距离/m机械效率η130.12.00.350%260.13.20.3___________（1）根据测量的实验数据，可计算出表格中的横线上应填的数据为 ；（2）分析实验数据，可初步得出的实验结论为：同一滑轮组的机械效率与 有关；（3）小明在实验操作中发现：一边拉动弹簧测力计一边读数，非常不方便，因为这样弹簧测力计示数不稳定，为了方便读数，小明认为可以让弹簧测力计保持静止时读数，如果让弹簧测力计保持静止时读数，则所测出的滑轮组机械效率将比其真实值 （偏大/偏小/不变）；（4）如果不计绳重和摩擦，只是按照如图丙所示的绕绳方法组装滑轮组，并利用图丙方案提升相同重力的物体，对比图甲和图丙所示的滑轮组的机械效率，可知η甲 η丙（大于/等于/小于）；（5）结合生产实际，用滑轮组提升重物时，下列选项中也可以提高机械效率的是 。A．增大绳重B．减轻动滑轮重C．加快物体提升的速度D．提升物体上升高度</x:v>
      </x:c>
      <x:c r="L357" s="63" t="str"/>
      <x:c r="M357" s="63" t="str">
        <x:v>（1）[1]根据测量的实验数据，2的机械效率为$\eta =\dfrac{W_{\mathrm{有用}}}{W_{\mathrm{总}}}=\dfrac{Gh}{Fs}=\dfrac{6\mathrm{N}\times 0.1\mathrm{m}}{3.2\mathrm{N}\times 0.3\mathrm{m}}\times 100\mathrm{\% }=62.5\mathrm{\% }$（2）[2]从实验数据看，钩码上升的高度相同，钩码重不断增大，机械效率不断提高，所以可以看出滑轮组的机械效率与被提升物体的重力有关。（3）[3]在弹簧测力计静止时读出了数据，由于不会克服绳与轮之间的摩擦，所以测得的拉力偏小，她的想法是不正确的，实验过程中拉力F应该在弹簧测力计做匀速运动时读数，若为了方便，若在测力计静止时读数，则没有测量出机械的摩擦力，测量出的拉力变小，根据W=Fs，求出的总功变小，故测出的机械效率将比真实值偏大。（4）[4]不计绳重和摩擦，只是按照如图丙所示的绕绳方法组装滑轮组，并利用图丙方案提升相同重量的物体，绳子的有效股数不同、动滑轮的个数相同、物体的重力相等，绳子的缠绕方式不同，两装置中，提升相同的物体上升相同的高度时所做的有用功相同，动滑轮的个数和摩擦力的大小相同所做的额外功相等，由$\eta =\dfrac{W_{\mathrm{有用}}}{W_{\mathrm{总}}}\times 100\mathrm{\% }=\dfrac{W_{\mathrm{有用}}}{W_{\mathrm{有用}}+W_{\mathrm{额}}}\times 100\mathrm{\% }$可知两者的机械效率相等，可知η甲等于η丙。（5）[5]根据$\eta =\dfrac{W_{\mathrm{有用}}}{W_{\mathrm{总}}}=\dfrac{Gh}{Fs}=\dfrac{Gh}{Fnh}=\dfrac{G}{Fn}\times 100\mathrm{\% }$可知减轻动滑轮重可以提高机械效率，故ACD不符合题意，B符合题意。故选B。</x:v>
      </x:c>
      <x:c r="N357" s="63" t="str">
        <x:v>https://k12static.xdf.cn/k12/image/externalized/8930a400-bdec-4a93-800b-5b1b3f5478d2.png</x:v>
      </x:c>
      <x:c r="O357" s="63" t="str">
        <x:v>https://k12static.xdf.cn/k12/image/externalized/535a1ae4-f511-4536-8427-007e34c11a42.png</x:v>
      </x:c>
      <x:c r="P357" s="63" t="str">
        <x:v>3-5步</x:v>
      </x:c>
      <x:c r="Q357" s="63" t="str">
        <x:v>实验探究</x:v>
      </x:c>
      <x:c r="R357" s="63" t="str">
        <x:v>双状态</x:v>
      </x:c>
      <x:c r="S357" s="63" t="str">
        <x:v>无约束</x:v>
      </x:c>
      <x:c r="T357" s="63" t="str">
        <x:v>控制变量或故障分析</x:v>
      </x:c>
      <x:c r="U357" s="63" t="str">
        <x:v>多组比较归纳</x:v>
      </x:c>
      <x:c r="V357" s="63" t="str">
        <x:v>多层因果推理</x:v>
      </x:c>
    </x:row>
    <x:row r="358">
      <x:c r="A358" s="64" t="str">
        <x:v>​2777510087780057088</x:v>
      </x:c>
      <x:c r="B358" s="65" t="str">
        <x:v>中等题</x:v>
      </x:c>
      <x:c r="C358" s="65" t="str">
        <x:v>中等题</x:v>
      </x:c>
      <x:c r="D358" s="65" t="str">
        <x:v>中等题</x:v>
      </x:c>
      <x:c r="E358" s="65" t="str">
        <x:v>保留原GPT裁定</x:v>
      </x:c>
      <x:c r="F358" s="65" t="str">
        <x:v>高</x:v>
      </x:c>
      <x:c r="G358" s="65" t="str">
        <x:v>中等题</x:v>
      </x:c>
      <x:c r="H358" s="65" t="str">
        <x:v>拔高题</x:v>
      </x:c>
      <x:c r="I358" s="65" t="str">
        <x:v>题干、解析与结构证据支持中等题：step=3-5步，题型=实验探究，状态=单状态，约束=无约束，推理=多层因果推理。教师、盲评和多次模型证据中未形成足以推翻原裁定的同向结构证据。</x:v>
      </x:c>
      <x:c r="J358" s="65" t="str">
        <x:v>未进入三次错题并集；逐题结构一致性复核</x:v>
      </x:c>
      <x:c r="K358" s="63" t="str">
        <x:v>如图甲“探究阻力对物体运动的影响”实验。（1）小车在同一斜面同一高度由静止释放，是为了让小车 ；（2）实验时，将毛巾和棉布铺在 （选填“斜面”、“水平木板”或“斜面和水平木板”）上；（3）实验中根据 现象，进一步推理：如果小车受到的阻力减小为零，小车将做 ；牛顿在此基础上总结的牛顿第一定律 （选填“能”或“不能”）直接由实验得出；（4）根据力与运动的关系，如图乙所示你认为正确的观点是 ；A．小明 B．小华 C．都正确 D．都不正确（5）牛顿第一定律在生活中有广泛应用，比如一架运输机沿水平向右做匀速直线运动，间隔相同时间先后从飞机上静止释放三个相同的物体，若不计空气阻力，在水平地面上同一地点观察，能正确表示物体在空中的排列情况和着地位置的是 。（填序号）</x:v>
      </x:c>
      <x:c r="L358" s="63" t="str"/>
      <x:c r="M358" s="63" t="str">
        <x:v>（1）[1]为了控制变量，确保小车到达水平面的初速度相同，实验时要让小车从同一位置由静止释放。（2）[2]实验时要将毛巾和棉布铺在水平木板上，达到改变阻力大小的目的，不能将毛巾和棉布铺在斜面上，不然会导致小车到达水平面时的速度不相同。（3）[3]实验时观察到小车在最光滑的木板上移动的距离最远，在最粗糙的毛巾表面运动的距离最近，即水平面越光滑，小车运动的越远。[4][5]如果小车受到的阻力减小为零，则小车的运动状态不会发生改变，将做匀速直线运动，牛顿第一定律是在实验的基础上，经过科学的推导后得出的，所以不能通过实验验证。（4）[6]由牛顿第一定律可知，物体在不受力时将做匀速直线运动，说明力不是维持物体运动的原因，力是改变物体运动状态的原因，所以他们两个人的说法都不正确。故选D。（5）[7]物体由于惯性，将保持原来的运动状态继续向前运动，所以三个物体运动的速度相同，在空中的情景如图①所示。第一个小球先着地，三个物体着地位置间隔应相同，如图⑥所示。</x:v>
      </x:c>
      <x:c r="N358" s="63" t="str">
        <x:v>https://k12static.xdf.cn/k12/image/externalized/a9351e66-0d7f-498a-8f7a-76993534ca74.png</x:v>
      </x:c>
      <x:c r="O358" s="63" t="str">
        <x:v>https://k12static.xdf.cn/k12/image/externalized/6ed584b5-68b5-468f-b356-868ad1872470.png</x:v>
      </x:c>
      <x:c r="P358" s="63" t="str">
        <x:v>3-5步</x:v>
      </x:c>
      <x:c r="Q358" s="63" t="str">
        <x:v>实验探究</x:v>
      </x:c>
      <x:c r="R358" s="63" t="str">
        <x:v>单状态</x:v>
      </x:c>
      <x:c r="S358" s="63" t="str">
        <x:v>无约束</x:v>
      </x:c>
      <x:c r="T358" s="63" t="str">
        <x:v>控制变量或故障分析</x:v>
      </x:c>
      <x:c r="U358" s="63" t="str">
        <x:v>无</x:v>
      </x:c>
      <x:c r="V358" s="63" t="str">
        <x:v>多层因果推理</x:v>
      </x:c>
    </x:row>
    <x:row r="359">
      <x:c r="A359" s="64" t="str">
        <x:v>​2778860613220696064</x:v>
      </x:c>
      <x:c r="B359" s="65" t="str">
        <x:v>中等题</x:v>
      </x:c>
      <x:c r="C359" s="65" t="str">
        <x:v>中等题</x:v>
      </x:c>
      <x:c r="D359" s="65" t="str">
        <x:v>中等题</x:v>
      </x:c>
      <x:c r="E359" s="65" t="str">
        <x:v>保留原GPT裁定</x:v>
      </x:c>
      <x:c r="F359" s="65" t="str">
        <x:v>高</x:v>
      </x:c>
      <x:c r="G359" s="65" t="str">
        <x:v>基础题</x:v>
      </x:c>
      <x:c r="H359" s="65" t="str">
        <x:v>中等题</x:v>
      </x:c>
      <x:c r="I359" s="65" t="str">
        <x:v>题干、解析与结构证据支持中等题：step=1-2步，题型=实验探究，状态=单状态，约束=无约束，推理=多层因果推理。教师、盲评和多次模型证据中未形成足以推翻原裁定的同向结构证据。</x:v>
      </x:c>
      <x:c r="J359" s="65" t="str">
        <x:v>未进入三次错题并集；逐题结构一致性复核</x:v>
      </x:c>
      <x:c r="K359" s="63" t="str">
        <x:v>如图所示是“探究物体的动能大小与哪些因素有关”的实验装置图，其中$m_{\mathrm{A}}=m_{\mathrm{B}}，$h_{\mathrm{A}}=h_{\mathrm{C}}&gt; h_{\mathrm{B}}$，下列说法正确的是（ ）</x:v>
      </x:c>
      <x:c r="L359" s="63" t="str">
        <x:v>A. 实验中，探究的动能是指小球撞击木块时的动能 B. 甲、乙两次实验探究的是动能大小与小球速度的关系 C. 甲、乙、丙三次实验中，木块均应放在同一初始位置处 D. 实验中的水平面若是光滑的，也能完成本次实验</x:v>
      </x:c>
      <x:c r="M359" s="63" t="str">
        <x:v>A．实验中，探究的动能是指小球撞击木块时的动能，动能大小通过木块移动的距离来反映，故A正确；B．甲、乙两次实验小球的质量相同，释放的高度不同，则到达水平面的速度不同，探究的是动能大小与小球速度的关系，故B正确；C．根据控制变量法，为了比较木块在水平面移动的距离，三次实验中，木块的初始位置应该相同，即三次实验中，木块均在同一初始位置处，故C正确；D．若水平面绝对光滑，小球和木块不受摩擦力作用，根据牛顿第一定律，小球和木块将做匀速直线运动，无法比较木块移动的距离，因此不能达到实验目的，故D错误。故选ABC。</x:v>
      </x:c>
      <x:c r="N359" s="63" t="str">
        <x:v>https://k12static.xdf.cn/k12/image/externalized/eaf683b0-cddf-468b-b387-3714b7bea1e4.png</x:v>
      </x:c>
      <x:c r="O359" s="63" t="str">
        <x:v>https://k12static.xdf.cn/k12/image/externalized/d88fdd5e-8feb-4dd3-9b08-34db7e189cba.png</x:v>
      </x:c>
      <x:c r="P359" s="63" t="str">
        <x:v>1-2步</x:v>
      </x:c>
      <x:c r="Q359" s="63" t="str">
        <x:v>实验探究</x:v>
      </x:c>
      <x:c r="R359" s="63" t="str">
        <x:v>单状态</x:v>
      </x:c>
      <x:c r="S359" s="63" t="str">
        <x:v>无约束</x:v>
      </x:c>
      <x:c r="T359" s="63" t="str">
        <x:v>控制变量或故障分析</x:v>
      </x:c>
      <x:c r="U359" s="63" t="str">
        <x:v>无</x:v>
      </x:c>
      <x:c r="V359" s="63" t="str">
        <x:v>多层因果推理</x:v>
      </x:c>
    </x:row>
    <x:row r="360">
      <x:c r="A360" s="64" t="str">
        <x:v>​2780200883213844480</x:v>
      </x:c>
      <x:c r="B360" s="65" t="str">
        <x:v>送分题</x:v>
      </x:c>
      <x:c r="C360" s="65" t="str">
        <x:v>送分题</x:v>
      </x:c>
      <x:c r="D360" s="65" t="str">
        <x:v>送分题</x:v>
      </x:c>
      <x:c r="E360" s="65" t="str">
        <x:v>逐题复核后保留GPT裁定</x:v>
      </x:c>
      <x:c r="F360" s="65" t="str">
        <x:v>高</x:v>
      </x:c>
      <x:c r="G360" s="65" t="str">
        <x:v>送分题</x:v>
      </x:c>
      <x:c r="H360" s="65" t="str">
        <x:v>送分题</x:v>
      </x:c>
      <x:c r="I360" s="65" t="str">
        <x:v>核心只需识别一个唯一、熟悉且关系显性的教材模板（教材概念与常规物理关系），没有第二次独立物理决策；背景、选项数量或机械作答动作不增加难度。</x:v>
      </x:c>
      <x:c r="J360" s="65" t="str">
        <x:v>三次运行错题并集逐题复核</x:v>
      </x:c>
      <x:c r="K360" s="63" t="str">
        <x:v>有几位同学对电功率这个概念，有以下几种理解，你认为正确的是（ ）</x:v>
      </x:c>
      <x:c r="L360" s="63" t="str">
        <x:v>A. 电功率是表示电流通过用电器时做功多少的物理量 B. 电功率是表示电流通过用电器时做功快慢的物理量 C. 电功率大的用电器工作时消耗的电能一定多 D. 电功率大的用电器工作时所用的时间一定少</x:v>
      </x:c>
      <x:c r="M360" s="63" t="str">
        <x:v>解：电功率是指电流在单位时间内做的功的多少，是表示电流做功快慢的物理量，故A错误，B正确； 由于电功率是由功和时间共同决定的，故C、D错误。 故选：B。</x:v>
      </x:c>
      <x:c r="N360" s="63" t="str">
        <x:v>https://k12static.xdf.cn/k12/image/externalized/7f369dfa-9404-4b65-b3a2-499111e86f36.png</x:v>
      </x:c>
      <x:c r="O360" s="63" t="str">
        <x:v>https://k12static.xdf.cn/k12/image/externalized/31665594-7587-4a4b-8959-a4eab54cb47e.png</x:v>
      </x:c>
      <x:c r="P360" s="63" t="str">
        <x:v>1-2步</x:v>
      </x:c>
      <x:c r="Q360" s="63" t="str">
        <x:v>概念判断</x:v>
      </x:c>
      <x:c r="R360" s="63" t="str">
        <x:v>单状态</x:v>
      </x:c>
      <x:c r="S360" s="63" t="str">
        <x:v>无约束</x:v>
      </x:c>
      <x:c r="T360" s="63" t="str">
        <x:v>无</x:v>
      </x:c>
      <x:c r="U360" s="63" t="str">
        <x:v>无</x:v>
      </x:c>
      <x:c r="V360" s="63" t="str">
        <x:v>简单因果推理</x:v>
      </x:c>
    </x:row>
    <x:row r="361">
      <x:c r="A361" s="64" t="str">
        <x:v>​2780379418561986560</x:v>
      </x:c>
      <x:c r="B361" s="65" t="str">
        <x:v>拔高题</x:v>
      </x:c>
      <x:c r="C361" s="65" t="str">
        <x:v>拔高题</x:v>
      </x:c>
      <x:c r="D361" s="65" t="str">
        <x:v>拔高题</x:v>
      </x:c>
      <x:c r="E361" s="65" t="str">
        <x:v>逐题复核后保留GPT裁定</x:v>
      </x:c>
      <x:c r="F361" s="65" t="str">
        <x:v>高</x:v>
      </x:c>
      <x:c r="G361" s="65" t="str">
        <x:v>拔高题</x:v>
      </x:c>
      <x:c r="H361" s="65" t="str">
        <x:v>拔高题</x:v>
      </x:c>
      <x:c r="I361" s="65" t="str">
        <x:v>最高难任务在图表信息提取与关系反推中包含图线反推、状态转换、误差评价、几何/等效转换、方程联立或参数反求等决定性卡点，整体约5—6个有效决策；尚未形成压轴所需的完整复杂约束网络。</x:v>
      </x:c>
      <x:c r="J361" s="65" t="str">
        <x:v>三次运行错题并集逐题复核</x:v>
      </x:c>
      <x:c r="K361" s="63" t="str">
        <x:v>如图甲所示，电梯底部有物体M，其上表面通过轻质弹簧与电梯顶部相连。M对电梯底部的压力用F随时间t变化的图线如图乙所示表示。$0\sim t_{1}$内，电梯和M都处于静止状态，弹簧处于伸长状态，$t_{1}$时刻后电梯由静止开始沿竖直方向运动。以下分析正确的是（ ）</x:v>
      </x:c>
      <x:c r="L361" s="63" t="str">
        <x:v>A. $t_{1}\sim t_{4}$内，弹簧弹力大小不变 B. $t_{1}\sim t_{2}$内，电梯可能向上运动 C. $t_{2}\sim t_{3}$内，M受一对平衡力 D. $t_{3}\sim t_{4}$内，M可能向下做匀速直线运动</x:v>
      </x:c>
      <x:c r="M361" s="63" t="str">
        <x:v>A．由图像可知，M对电梯底部的压力始终大于零，说明M的位置不变，因而弹簧的长度始终不变，形变大小不变，因而$t_{1}\sim t_{4}$内，弹簧的弹力保持不变，故A正确；B．物体M静止在电梯底部，弹簧处于伸长状态，$0\sim t_{1}$内，电梯静止，物体也处于静止，受力平衡，则受到重力G，地面的支持力F和弹簧的拉力T，由于压力与支持力是相互作用力，大小是相等的，则有G=F2+T；当$t_{1}\sim t_{2}$内，压力变为小于F2的F1，弹力和重力不变，此时G&gt;F1+T，则物体受力不平衡，由静止变为运动，速度变大了，则运动方向与较大的力方向相同，说明电梯是向下加速运动的，故B错误；C．$t_{2}\sim t_{3}$内，压力恢复到静止时的大小，说明受力平衡，跟$0\sim t_{1}$内相同，在重力G，地面的支持力F和弹簧的拉力T三个力的作用下平衡，故C错误；D．$t_{3}\sim t_{4}$内，压力F3大于F2，此时GF3+T，如果电梯向下运动则是减速运动，如果向上运动，则是加速运动，受力不平衡，不可能是匀速直线运动，故D错误。故选A。</x:v>
      </x:c>
      <x:c r="N361" s="63" t="str">
        <x:v>https://k12static.xdf.cn/k12/image/externalized/dd210656-9fdf-4b10-8bc4-1c1d4545ae25.png</x:v>
      </x:c>
      <x:c r="O361" s="63" t="str">
        <x:v>https://k12static.xdf.cn/k12/image/externalized/17fac24d-9140-42e6-b1d6-f3d9d913fbeb.png</x:v>
      </x:c>
      <x:c r="P361" s="63" t="str">
        <x:v>3-5步</x:v>
      </x:c>
      <x:c r="Q361" s="63" t="str">
        <x:v>概念判断</x:v>
      </x:c>
      <x:c r="R361" s="63" t="str">
        <x:v>多状态</x:v>
      </x:c>
      <x:c r="S361" s="63" t="str">
        <x:v>单一约束</x:v>
      </x:c>
      <x:c r="T361" s="63" t="str">
        <x:v>无</x:v>
      </x:c>
      <x:c r="U361" s="63" t="str">
        <x:v>多组比较归纳</x:v>
      </x:c>
      <x:c r="V361" s="63" t="str">
        <x:v>多层因果推理</x:v>
      </x:c>
    </x:row>
    <x:row r="362">
      <x:c r="A362" s="64" t="str">
        <x:v>​2781519943774834688</x:v>
      </x:c>
      <x:c r="B362" s="65" t="str">
        <x:v>中等题</x:v>
      </x:c>
      <x:c r="C362" s="65" t="str">
        <x:v>中等题</x:v>
      </x:c>
      <x:c r="D362" s="65" t="str">
        <x:v>中等题</x:v>
      </x:c>
      <x:c r="E362" s="65" t="str">
        <x:v>保留原GPT裁定</x:v>
      </x:c>
      <x:c r="F362" s="65" t="str">
        <x:v>高</x:v>
      </x:c>
      <x:c r="G362" s="65" t="str">
        <x:v>中等题</x:v>
      </x:c>
      <x:c r="H362" s="65" t="str">
        <x:v>拔高题</x:v>
      </x:c>
      <x:c r="I362" s="65" t="str">
        <x:v>题干、解析与结构证据支持中等题：step=3-5步，题型=力学综合，状态=双状态，约束=单一约束，推理=多层因果推理。教师、盲评和多次模型证据中未形成足以推翻原裁定的同向结构证据。</x:v>
      </x:c>
      <x:c r="J362" s="65" t="str">
        <x:v>未进入三次错题并集；逐题结构一致性复核</x:v>
      </x:c>
      <x:c r="K362" s="63" t="str">
        <x:v>如图所示，用一根自重可忽略不计的撬棒撬石块，若撬棒C点受到石块P的压力，且$AD&gt;CD&gt;BC$，则要撬动石块P所用的最小的力是（ ）</x:v>
      </x:c>
      <x:c r="L362" s="63" t="str">
        <x:v>A. $F_1$ B. $F_{2}$ C. $F_{3}$ D. $F_{4}$</x:v>
      </x:c>
      <x:c r="M362" s="63" t="str">
        <x:v>①若以B点为支点，要使动力最小，则动力臂应最大，即此时应选$AB$为动力臂，$BC$为阻力臂，则作用在A点的最小力应垂直于撬棒斜向上，如解图1：②若以D点为支点，此时$AD$为动力臂，$CD$为阻力臂，则作用在A点的最小力应垂直于撬棒斜向下，如解图2：已知$DA，$CD&gt; BC$，所以①更省力，力$F_{1}$垂直于撬棒且力臂最大，由杠杆平衡条件可得$F_{1}，故BCD错误A正确。故选A。</x:v>
      </x:c>
      <x:c r="N362" s="63" t="str">
        <x:v>https://k12static.xdf.cn/k12/image/externalized/c182e00a-728d-48af-8944-4ac0ba90aaf2.png</x:v>
      </x:c>
      <x:c r="O362" s="63" t="str">
        <x:v>https://k12static.xdf.cn/k12/image/externalized/a3062e0d-1169-4214-8e73-5d061094aa93.png</x:v>
      </x:c>
      <x:c r="P362" s="63" t="str">
        <x:v>3-5步</x:v>
      </x:c>
      <x:c r="Q362" s="63" t="str">
        <x:v>力学综合</x:v>
      </x:c>
      <x:c r="R362" s="63" t="str">
        <x:v>双状态</x:v>
      </x:c>
      <x:c r="S362" s="63" t="str">
        <x:v>单一约束</x:v>
      </x:c>
      <x:c r="T362" s="63" t="str">
        <x:v>无</x:v>
      </x:c>
      <x:c r="U362" s="63" t="str">
        <x:v>无</x:v>
      </x:c>
      <x:c r="V362" s="63" t="str">
        <x:v>多层因果推理</x:v>
      </x:c>
    </x:row>
    <x:row r="363">
      <x:c r="A363" s="64" t="str">
        <x:v>​2781769423108984832</x:v>
      </x:c>
      <x:c r="B363" s="65" t="str">
        <x:v>中等题</x:v>
      </x:c>
      <x:c r="C363" s="65" t="str">
        <x:v>中等题</x:v>
      </x:c>
      <x:c r="D363" s="65" t="str">
        <x:v>中等题</x:v>
      </x:c>
      <x:c r="E363" s="65" t="str">
        <x:v>逐题复核后保留GPT裁定</x:v>
      </x:c>
      <x:c r="F363" s="65" t="str">
        <x:v>高</x:v>
      </x:c>
      <x:c r="G363" s="65" t="str">
        <x:v>中等题</x:v>
      </x:c>
      <x:c r="H363" s="65" t="str">
        <x:v>基础题</x:v>
      </x:c>
      <x:c r="I363" s="65" t="str">
        <x:v>存在约3—4步常规连续分析、共享过程或完整标准实验任务，关系仍显性。 题目证据：最长连续链实际有3个有效物理决策：先读取不同段的路程与时间、再分别对每个选项应用匀速直线运动判断规则、最后代入平均速度公式计算比较，五维锚定落在基础/中等区间。任务是针对同一段直线运动，分别对不同路段的运动性质、平均速度进行计算判断，所有条件显性给出，不需要模型转换。</x:v>
      </x:c>
      <x:c r="J363" s="65" t="str">
        <x:v>三次运行错题并集逐题复核</x:v>
      </x:c>
      <x:c r="K363" s="63" t="str">
        <x:v>我国运动员全红婵，在2024年巴黎奥运会上女子单人10米跳台中，出色地完成了“107B”动作。将一位跳水运动员下落阶段中的一段运动简化为直线运动，其中A、B、C、D四点是她下落过程中的四个位置，相邻两点间的时间间隔为0.5s,距离如图所示。关于运动员在此段运动过程中，下列判断正确的是（ ）</x:v>
      </x:c>
      <x:c r="L363" s="63" t="str">
        <x:v>A. 在AD段做匀速直线运动 B. 在AC段的平均速度为5m/s C. 经过D点入水的速度为0 D. 在BD段的平均速度为6m/s</x:v>
      </x:c>
      <x:c r="M363" s="63" t="str">
        <x:v>解：AC、全红婵通过AB段、BC段用时均为0.5s,但通过的路程分别为1.25m、3.75m,在相等时间内通过的路程不相等，因此全红婵在AC段没有做匀速直线运动，且经过D点入水的速度不为0，故AC错误； BD、全红婵在AC段的平均速度为v=$\frac{{s}_{AC}}{{t}_{AC}}$=5m/s； 在BD段的平均速度v=$\frac{{s}_{BD}}{{t}_{BD}}$=$\frac{3.75m+6.25m}{0.5s+0.5s}$=10m/s,故B正确、D错误。 故选：B。</x:v>
      </x:c>
      <x:c r="N363" s="63" t="str">
        <x:v>https://k12static.xdf.cn/k12/image/externalized/400ce22f-dabf-453d-bacd-89a9c0677621.png</x:v>
      </x:c>
      <x:c r="O363" s="63" t="str">
        <x:v>https://k12static.xdf.cn/k12/image/externalized/c4d5d3a3-dfe3-4f7b-8c00-09e4a7c38a6d.png</x:v>
      </x:c>
      <x:c r="P363" s="63" t="str">
        <x:v>3-5步</x:v>
      </x:c>
      <x:c r="Q363" s="63" t="str">
        <x:v>概念判断</x:v>
      </x:c>
      <x:c r="R363" s="63" t="str">
        <x:v>单状态</x:v>
      </x:c>
      <x:c r="S363" s="63" t="str">
        <x:v>无约束</x:v>
      </x:c>
      <x:c r="T363" s="63" t="str">
        <x:v>无</x:v>
      </x:c>
      <x:c r="U363" s="63" t="str">
        <x:v>无</x:v>
      </x:c>
      <x:c r="V363" s="63" t="str">
        <x:v>多层因果推理</x:v>
      </x:c>
    </x:row>
    <x:row r="364">
      <x:c r="A364" s="64" t="str">
        <x:v>​2781769466839904256</x:v>
      </x:c>
      <x:c r="B364" s="65" t="str">
        <x:v>基础题</x:v>
      </x:c>
      <x:c r="C364" s="65" t="str">
        <x:v>基础题</x:v>
      </x:c>
      <x:c r="D364" s="65" t="str">
        <x:v>基础题</x:v>
      </x:c>
      <x:c r="E364" s="65" t="str">
        <x:v>逐题复核后保留GPT裁定</x:v>
      </x:c>
      <x:c r="F364" s="65" t="str">
        <x:v>高</x:v>
      </x:c>
      <x:c r="G364" s="65" t="str">
        <x:v>送分题</x:v>
      </x:c>
      <x:c r="H364" s="65" t="str">
        <x:v>基础题</x:v>
      </x:c>
      <x:c r="I364" s="65" t="str">
        <x:v>最高难任务为1—2步显性应用、规范操作或简单因果，没有连续模型转换。 题目证据：最高难选项实际有效推理为1步，属于长度测量基本实验规则的逐项判断，四个选项分别调用不同的基础测量规则，不构成单一直接检索束。五维锚定：知识量为同小节内2-3个直接关联知识点，过程/对象为单对象单状态，数学工具无运算，情境为教材原型实验，思维层次为简单应用，落在基础题区间。</x:v>
      </x:c>
      <x:c r="J364" s="65" t="str">
        <x:v>三次运行错题并集逐题复核</x:v>
      </x:c>
      <x:c r="K364" s="63" t="str">
        <x:v>小明为了测量物理课本内一张纸的厚度，下列做法正确的是（ ）</x:v>
      </x:c>
      <x:c r="L364" s="63" t="str">
        <x:v>A. 用分度值为1mm的刻度尺可直接测量一张纸的厚度 B. 通过多次测量求平均值的方法就不会有误差 C. 测量厚度时，可以使用零刻度线磨损的刻度尺 D. 测出5本书的总厚度L，再除总页数n,就是一张纸的厚度</x:v>
      </x:c>
      <x:c r="M364" s="63" t="str">
        <x:v>解：A、一张纸的厚度远小于刻度尺的最小分度值1mm,故无法直接测量，故A错误；B、通过多次测量求平均值的方法可以减小误差，但不会消除误差，故B错误；C、零刻度线磨损的刻度尺仍然可以使用，在测量的时，从其它整刻度线处测起即可，故C正确；D、测出5本物理课本总的厚度L，纸张的张数为总页数n的一半即为$\frac{n}{2}$，用厚度除以张数，得到一张纸的厚度，故D错误。所以答案选：C。</x:v>
      </x:c>
      <x:c r="N364" s="63" t="str">
        <x:v>https://k12static.xdf.cn/k12/image/externalized/94b48a90-e1b5-4f2e-b1f6-ab3870cfbd6d.png</x:v>
      </x:c>
      <x:c r="O364" s="63" t="str">
        <x:v>https://k12static.xdf.cn/k12/image/externalized/35c5fd3f-423d-4f35-bb17-0fd873874239.png</x:v>
      </x:c>
      <x:c r="P364" s="63" t="str">
        <x:v>1-2步</x:v>
      </x:c>
      <x:c r="Q364" s="63" t="str">
        <x:v>概念判断</x:v>
      </x:c>
      <x:c r="R364" s="63" t="str">
        <x:v>单状态</x:v>
      </x:c>
      <x:c r="S364" s="63" t="str">
        <x:v>无约束</x:v>
      </x:c>
      <x:c r="T364" s="63" t="str">
        <x:v>基础操作或读数</x:v>
      </x:c>
      <x:c r="U364" s="63" t="str">
        <x:v>无</x:v>
      </x:c>
      <x:c r="V364" s="63" t="str">
        <x:v>简单因果推理</x:v>
      </x:c>
    </x:row>
    <x:row r="365">
      <x:c r="A365" s="64" t="str">
        <x:v>​2781913880185376768</x:v>
      </x:c>
      <x:c r="B365" s="65" t="str">
        <x:v>中等题</x:v>
      </x:c>
      <x:c r="C365" s="65" t="str">
        <x:v>中等题</x:v>
      </x:c>
      <x:c r="D365" s="65" t="str">
        <x:v>中等题</x:v>
      </x:c>
      <x:c r="E365" s="65" t="str">
        <x:v>逐题复核后保留GPT裁定</x:v>
      </x:c>
      <x:c r="F365" s="65" t="str">
        <x:v>高</x:v>
      </x:c>
      <x:c r="G365" s="65" t="str">
        <x:v>中等题</x:v>
      </x:c>
      <x:c r="H365" s="65" t="str">
        <x:v>基础题</x:v>
      </x:c>
      <x:c r="I365" s="65" t="str">
        <x:v>存在约3—4步常规连续分析、共享过程或完整标准实验任务，关系仍显性。 题目证据：保留原标。最长有效链为3-5步、题型为声学综合、涉及双状态、含单一约束、推理为多层因果推理，与中等题边界一致。 复核证据：独立盲评与三次模型中有3/4支持中等题。</x:v>
      </x:c>
      <x:c r="J365" s="65" t="str">
        <x:v>三次运行错题并集逐题复核</x:v>
      </x:c>
      <x:c r="K365" s="63" t="str">
        <x:v>如图所示，地质员在一两旁都是峭壁的山谷中敲打石块，0.5s后他听到从左边峭壁反射回来的第一次回声。这个山谷的宽度是340m，当时空气中的声速为340m/s。则</x:v>
      </x:c>
      <x:c r="L365" s="63" t="str"/>
      <x:c r="M365" s="63" t="str"/>
      <x:c r="N365" s="63" t="str">
        <x:v>https://k12static.xdf.cn/k12/image/externalized/a64f0a1b-9548-4625-a7cb-2443d12faa4a.png</x:v>
      </x:c>
      <x:c r="O365" s="63" t="str">
        <x:v>https://k12static.xdf.cn/k12/image/externalized/33b763c2-e3bf-4f3b-a2ca-74563c00d02d.png</x:v>
      </x:c>
      <x:c r="P365" s="63" t="str">
        <x:v>3-5步</x:v>
      </x:c>
      <x:c r="Q365" s="63" t="str">
        <x:v>声学综合</x:v>
      </x:c>
      <x:c r="R365" s="63" t="str">
        <x:v>双状态</x:v>
      </x:c>
      <x:c r="S365" s="63" t="str">
        <x:v>单一约束</x:v>
      </x:c>
      <x:c r="T365" s="63" t="str">
        <x:v>无</x:v>
      </x:c>
      <x:c r="U365" s="63" t="str">
        <x:v>无</x:v>
      </x:c>
      <x:c r="V365" s="63" t="str">
        <x:v>多层因果推理</x:v>
      </x:c>
    </x:row>
    <x:row r="366">
      <x:c r="A366" s="64" t="str">
        <x:v>​2781952030970855424</x:v>
      </x:c>
      <x:c r="B366" s="65" t="str">
        <x:v>中等题</x:v>
      </x:c>
      <x:c r="C366" s="65" t="str">
        <x:v>中等题</x:v>
      </x:c>
      <x:c r="D366" s="65" t="str">
        <x:v>中等题</x:v>
      </x:c>
      <x:c r="E366" s="65" t="str">
        <x:v>保留原GPT裁定</x:v>
      </x:c>
      <x:c r="F366" s="65" t="str">
        <x:v>中</x:v>
      </x:c>
      <x:c r="G366" s="65" t="str">
        <x:v>中等题</x:v>
      </x:c>
      <x:c r="H366" s="65" t="str">
        <x:v>拔高题</x:v>
      </x:c>
      <x:c r="I366" s="65" t="str">
        <x:v>题干、解析与结构证据支持中等题：step=1-2步，题型=实验探究，状态=单状态，约束=无约束，推理=多层因果推理。教师、盲评和多次模型证据中未形成足以推翻原裁定的同向结构证据。</x:v>
      </x:c>
      <x:c r="J366" s="65" t="str">
        <x:v>未进入三次错题并集；逐题结构一致性复核</x:v>
      </x:c>
      <x:c r="K366" s="63" t="str">
        <x:v>如图所示，在“探究凸透镜成像规律的实验”中。 （1）实验要求烛焰、凸透镜、光屏三者中心大致在同一高度，这样做的目的是使像成在 ；（2）如图甲所示，是小明测量焦距时所做的实验，则该凸透镜的焦距为 cm；（3）如图乙所示，将凸透镜固定在光具座50cm刻度线处，把点燃的蜡烛放置在光具座15cm刻度线处时，移动光屏，能成倒立、 （选填“放大”、“等大”或“缩小”）的实像；（4）实验一段时间后，蜡烛因燃烧变短，所成像向上移动，要使像能够成在光屏的中央，保持蜡烛和凸透镜不动，只需光屏将向 （选填“上”或“下”）调整；（5）如果将蜡烛在乙图的基础上远离透镜，仍要在光屏上得到清晰的像，光屏应向 （选填“靠近”或“远离”）透镜的方向移动。当光屏上出现清晰的像后，用不透明物体挡住透镜上半部分，光屏上的像将会 （选填“是”或“不是”）完整的。</x:v>
      </x:c>
      <x:c r="L366" s="63" t="str"/>
      <x:c r="M366" s="63" t="str">
        <x:v>（1）[1]实验中，为了使像成在光屏的中央，需要烛焰、凸透镜、光屏三者中心大致在同一高度。（2）[2]凸透镜正对平行光，平行光线平行于主光轴，经凸透镜折射后会聚在主光轴上一点，这点是凸透镜的焦点，焦点到光心的距离是凸透镜的焦距，所以凸透镜的焦距是f=41.0cm-30.0cm=11.0cm（3）[3]由图乙可知，物距u=50.0cm-15.0cm=35.0cm&gt;2f成倒立缩小的实像。（4）[4]随着蜡烛的燃烧，蜡烛越来越短，所成像向上移动，要使像能够成在光屏的中央，可以将光屏向上移动。（5）[5]如果将蜡烛在乙图的基础上远离透镜，物距变大，像距变小，仍要在光屏上得到清晰的像，光屏应向靠近透镜的方向移动。[6]用不透明物体挡住透镜上半部分，物体上任一点射向凸透镜的下半部，经凸透镜折射后，照样能会聚成像，像的大小不发生变化，折射光线减少，会聚成的像变暗。</x:v>
      </x:c>
      <x:c r="N366" s="63" t="str">
        <x:v>https://k12static.xdf.cn/k12/image/externalized/85da747a-de5a-444b-bd96-6ae8f5763a3d.png</x:v>
      </x:c>
      <x:c r="O366" s="63" t="str">
        <x:v>https://k12static.xdf.cn/k12/image/externalized/39c783c8-ac4d-4361-9610-5bb198eb9859.png</x:v>
      </x:c>
      <x:c r="P366" s="63" t="str">
        <x:v>1-2步</x:v>
      </x:c>
      <x:c r="Q366" s="63" t="str">
        <x:v>实验探究</x:v>
      </x:c>
      <x:c r="R366" s="63" t="str">
        <x:v>单状态</x:v>
      </x:c>
      <x:c r="S366" s="63" t="str">
        <x:v>无约束</x:v>
      </x:c>
      <x:c r="T366" s="63" t="str">
        <x:v>控制变量或故障分析</x:v>
      </x:c>
      <x:c r="U366" s="63" t="str">
        <x:v>无</x:v>
      </x:c>
      <x:c r="V366" s="63" t="str">
        <x:v>多层因果推理</x:v>
      </x:c>
    </x:row>
    <x:row r="367">
      <x:c r="A367" s="64" t="str">
        <x:v>​2783308924086685696</x:v>
      </x:c>
      <x:c r="B367" s="65" t="str">
        <x:v>中等题</x:v>
      </x:c>
      <x:c r="C367" s="65" t="str">
        <x:v>中等题</x:v>
      </x:c>
      <x:c r="D367" s="65" t="str">
        <x:v>中等题</x:v>
      </x:c>
      <x:c r="E367" s="65" t="str">
        <x:v>保留原GPT裁定</x:v>
      </x:c>
      <x:c r="F367" s="65" t="str">
        <x:v>高</x:v>
      </x:c>
      <x:c r="G367" s="65" t="str">
        <x:v>中等题</x:v>
      </x:c>
      <x:c r="H367" s="65" t="str">
        <x:v>拔高题</x:v>
      </x:c>
      <x:c r="I367" s="65" t="str">
        <x:v>题干、解析与结构证据支持中等题：step=3-5步，题型=实验探究，状态=单状态，约束=单一约束，推理=多层因果推理。教师、盲评和多次模型证据中未形成足以推翻原裁定的同向结构证据。</x:v>
      </x:c>
      <x:c r="J367" s="65" t="str">
        <x:v>未进入三次错题并集；逐题结构一致性复核</x:v>
      </x:c>
      <x:c r="K367" s="63" t="str">
        <x:v>如图所示为学校实验室中某电能表的表盘。 （1）该电能表示数为 kW•h。 （2）小明利用该电能表和秒表检测一只标识为“220V 10W”节能灯的额定功率。他关闭其他用电器，将该节能灯接入220V的测量电路，设计了以下三种测量方案： 方案一：测量出电能表显示消耗1kW•h电能所用的时间t1； 方案二：测量出1min时间内电能表转盘转过的圈数n； 方案三：测量出电能表转盘转过1圈所用时间t2。 ①若使用方案二，小明计算额定功率的关系式应该为：P= （单位：W）。（用数字和n表示） ②比较三种方案，最可行的是方案 。</x:v>
      </x:c>
      <x:c r="L367" s="63" t="str"/>
      <x:c r="M367" s="63" t="str">
        <x:v>解：（1）电能表单位是kW•h,最后一位是小数位，由图知电能表的示数是1469.5kW•h； （2）①方案二：2000r/（kW•h）表示电路中用电器每消耗1kW•h的电能，电能表的转盘转2000转， 则节能灯1min消耗的电能：W=$\frac{n}{2000}$kW•h, 节能灯的实际电功率： P=$\frac{W}{t}$=$\frac{\frac{n}{2000}kW\bullet h}{\frac{1}{60}h}$=0.03nkW=30nW； ②节能灯的功率：P=10W=0.01kW， 电能表转盘转一圈消耗的电能为： W=$\frac{1}{2000}$kW•h, 节能灯需要工作的时间： t=$\frac{W}{P}$=$\frac{\frac{1}{2000}kW\bullet h}{0.01kW}$=0.05h=180s； 由以上分析可知： 方案一：因节能灯功率较小，根据t=$\frac{W}{P}$可知，测量出电能表显示消耗1kW•h电能所用的时间t较长，不易操作； 方案二：因节能灯功率较小，节能灯工作1min电能表转动不到一圈，无法测量； 方案三：电能表转盘转动1圈消耗的电能可供节能灯工作180s,比较容易测量。 比较可知，方案三容易操作，实验误差较小，最可行。 故答案为：（1）1469.5；（2）①30n；②三。</x:v>
      </x:c>
      <x:c r="N367" s="63" t="str">
        <x:v>https://k12static.xdf.cn/k12/image/externalized/6d4aa5ed-0cd8-4aaf-a177-b375081d46a8.png</x:v>
      </x:c>
      <x:c r="O367" s="63" t="str">
        <x:v>https://k12static.xdf.cn/k12/image/externalized/2eb03f81-ebb8-4578-8ba1-87ae40f5079c.png</x:v>
      </x:c>
      <x:c r="P367" s="63" t="str">
        <x:v>3-5步</x:v>
      </x:c>
      <x:c r="Q367" s="63" t="str">
        <x:v>实验探究</x:v>
      </x:c>
      <x:c r="R367" s="63" t="str">
        <x:v>单状态</x:v>
      </x:c>
      <x:c r="S367" s="63" t="str">
        <x:v>单一约束</x:v>
      </x:c>
      <x:c r="T367" s="63" t="str">
        <x:v>控制变量或故障分析</x:v>
      </x:c>
      <x:c r="U367" s="63" t="str">
        <x:v>直接读数</x:v>
      </x:c>
      <x:c r="V367" s="63" t="str">
        <x:v>多层因果推理</x:v>
      </x:c>
    </x:row>
    <x:row r="368">
      <x:c r="A368" s="64" t="str">
        <x:v>​2787560810424053760</x:v>
      </x:c>
      <x:c r="B368" s="65" t="str">
        <x:v>中等题</x:v>
      </x:c>
      <x:c r="C368" s="65" t="str">
        <x:v>中等题</x:v>
      </x:c>
      <x:c r="D368" s="65" t="str">
        <x:v>中等题</x:v>
      </x:c>
      <x:c r="E368" s="65" t="str">
        <x:v>保留原GPT裁定</x:v>
      </x:c>
      <x:c r="F368" s="65" t="str">
        <x:v>高</x:v>
      </x:c>
      <x:c r="G368" s="65" t="str">
        <x:v>中等题</x:v>
      </x:c>
      <x:c r="H368" s="65" t="str">
        <x:v>拔高题</x:v>
      </x:c>
      <x:c r="I368" s="65" t="str">
        <x:v>题干、解析与结构证据支持中等题：step=3-5步，题型=跨模块综合，状态=单状态，约束=无约束，推理=多层因果推理。教师、盲评和多次模型证据中未形成足以推翻原裁定的同向结构证据。</x:v>
      </x:c>
      <x:c r="J368" s="65" t="str">
        <x:v>未进入三次错题并集；逐题结构一致性复核</x:v>
      </x:c>
      <x:c r="K368" s="63" t="str">
        <x:v>阅读短文，回答问题。星系在远离我们而去当一列火车迎面驶来时，我们听到的汽笛声音调会升高（即声波的频率升高）；当它离我们远去时，音调降低（即声波的频率降低），这一现象叫多普勒效应。不同色光的频率不同。光同样可以产生多普勒效应，当光源靠近我们或离我们远去时，我们观测到它发出的光的频率也会发生变化。变化的规律与声音相同。20世纪天文学家哈勃观察到，几乎所有远处星系发出光的频率都向红光方向偏移，称为“红移”。这一现象说明，星系在远离我们而去。哈勃研究了24个距离已知的星系，由它们发出光频率的偏移推算出他们退行的速度，画出它们退行的速度v与它们离我们的距离r的v-r图像，如图所示。图中只标出其中四种星团，横坐标单位中的l.y。是光年，它表示光在一年内所通过的距离。分析图像，哈勃总结出v和r之间存在简单的正比关系，即：v=Hr，H为哈勃常数，这便是“哈勃定律”。为解释哈勃定律，科学家提出“宇宙大爆炸”理论。认为宇宙是从一个大爆炸的火球开始形成的，假设我们就位于其中心。大爆炸后各星系以不同的速度向外匀速运动，远离我们而去。（1）鸣笛的火车向我们驶来，我们听到汽笛声的音调 （选填“升高”“不变”或“降低”）；（2）若远处有光源在远离地球，则在地球上观察到它所发出光的频率 （选填“升高”“不变”或“降低”）；（3）由文中“红移”现象推知，红光的频率 （选填“大于”“等于”或“小于”）紫光的频率；（4）关于图中四种星团速度的描述，符合短文内容的是 ；A．后发座星系团速度不断变小B．牧夫座星系团速度不断变小C．室女座星系团速度最小D．长蛇座星系团速度最小（5）一年取3×107s，计算哈勃常数H的值，H= 。</x:v>
      </x:c>
      <x:c r="L368" s="63" t="str"/>
      <x:c r="M368" s="63" t="str">
        <x:v>（1）[1]由题可知，鸣笛的火车向我们驶来，距离越来越近，我们听到的汽笛声音调会升高，即听到的鸣笛声的频率将升高。（2）[2]当光源离我们远去时，我们观测到它发出的光的频率会发生变化。变化的规律与声音相同，所以，若远处有光源在远离地球，则在地球上观察到它所发出光的频率降低。（3）[3]“红移”现象说明星系的光谱正在变长，频率在减小，即向长波方向偏移，由此推知红光的波长大于紫光的波长，红光的频率小于紫光的频率。（4）[4]AB．短文图像中四种星团的速度不相同，但都在做匀速直线运动，故AB不符合题意；CD．由图可知，长蛇星系团的速度最大，室女座星系团速度最小，故C符合题意，D不符合题意。故选C。（5）[5]图中长蛇星系团的速度为v=6×107m/s，距离r=2000×106l.y=2000×106×3×108m/s×3×107s=1.8×1025 m由v=Hr得$H=\dfrac vr=\dfrac{6\times10^7\mathrm m/\mathrm s}{1.8\times10^{25}\mathrm m}\approx3\times10^{-18}\mathrm s^{-1}$</x:v>
      </x:c>
      <x:c r="N368" s="63" t="str">
        <x:v>https://k12static.xdf.cn/k12/image/externalized/686fd46b-8dc4-4cd3-be95-b754e7df82f8.png</x:v>
      </x:c>
      <x:c r="O368" s="63" t="str">
        <x:v>https://k12static.xdf.cn/k12/image/externalized/1e2d1cbe-82bd-48ce-9022-cc1b29b905e2.png</x:v>
      </x:c>
      <x:c r="P368" s="63" t="str">
        <x:v>3-5步</x:v>
      </x:c>
      <x:c r="Q368" s="63" t="str">
        <x:v>跨模块综合</x:v>
      </x:c>
      <x:c r="R368" s="63" t="str">
        <x:v>单状态</x:v>
      </x:c>
      <x:c r="S368" s="63" t="str">
        <x:v>无约束</x:v>
      </x:c>
      <x:c r="T368" s="63" t="str">
        <x:v>无</x:v>
      </x:c>
      <x:c r="U368" s="63" t="str">
        <x:v>直接读数</x:v>
      </x:c>
      <x:c r="V368" s="63" t="str">
        <x:v>多层因果推理</x:v>
      </x:c>
    </x:row>
    <x:row r="369">
      <x:c r="A369" s="64" t="str">
        <x:v>​2790394504542228480</x:v>
      </x:c>
      <x:c r="B369" s="65" t="str">
        <x:v>基础题</x:v>
      </x:c>
      <x:c r="C369" s="65" t="str">
        <x:v>基础题</x:v>
      </x:c>
      <x:c r="D369" s="65" t="str">
        <x:v>基础题</x:v>
      </x:c>
      <x:c r="E369" s="65" t="str">
        <x:v>保留原GPT裁定</x:v>
      </x:c>
      <x:c r="F369" s="65" t="str">
        <x:v>高</x:v>
      </x:c>
      <x:c r="G369" s="65" t="str">
        <x:v>基础题</x:v>
      </x:c>
      <x:c r="H369" s="65" t="str">
        <x:v>送分题</x:v>
      </x:c>
      <x:c r="I369" s="65" t="str">
        <x:v>题干、解析与结构证据支持基础题：step=1-2步，题型=电学综合，状态=单状态，约束=无约束，推理=简单因果推理。教师、盲评和多次模型证据中未形成足以推翻原裁定的同向结构证据。</x:v>
      </x:c>
      <x:c r="J369" s="65" t="str">
        <x:v>未进入三次错题并集；逐题结构一致性复核</x:v>
      </x:c>
      <x:c r="K369" s="63" t="str">
        <x:v>标有“2400Ω 40W”和“2400Ω 20W”的两个定值电阻，串联起来接在220伏特的电路上，则它们在相同的时间内产生的热量之比为（ ）</x:v>
      </x:c>
      <x:c r="L369" s="63" t="str">
        <x:v>A. 1：2 B. 2：1 C. 1：1 D. 1：4</x:v>
      </x:c>
      <x:c r="M369" s="63" t="str">
        <x:v>解：∵串联电路中各处的电流相等， ∴根据Q=I2Rt可得，它们在相同的时间内产生的热量之比： $\frac{{Q}_{1}}{{Q}_{2}}$=$\frac{{I}^{2}{R}_{1}}{{I}^{2}{R}_{2}}$=$\frac{{R}_{1}}{{R}_{2}}$=$\frac{1}{1}$。 故选：C。</x:v>
      </x:c>
      <x:c r="N369" s="63" t="str">
        <x:v>https://k12static.xdf.cn/k12/image/externalized/5cdc8738-e1a4-4d8a-8fc8-a588a87a6877.png</x:v>
      </x:c>
      <x:c r="O369" s="63" t="str">
        <x:v>https://k12static.xdf.cn/k12/image/externalized/161797c6-24b6-4e80-8288-4a580506be87.png</x:v>
      </x:c>
      <x:c r="P369" s="63" t="str">
        <x:v>1-2步</x:v>
      </x:c>
      <x:c r="Q369" s="63" t="str">
        <x:v>电学综合</x:v>
      </x:c>
      <x:c r="R369" s="63" t="str">
        <x:v>单状态</x:v>
      </x:c>
      <x:c r="S369" s="63" t="str">
        <x:v>无约束</x:v>
      </x:c>
      <x:c r="T369" s="63" t="str">
        <x:v>无</x:v>
      </x:c>
      <x:c r="U369" s="63" t="str">
        <x:v>无</x:v>
      </x:c>
      <x:c r="V369" s="63" t="str">
        <x:v>简单因果推理</x:v>
      </x:c>
    </x:row>
    <x:row r="370">
      <x:c r="A370" s="64" t="str">
        <x:v>​2792401777941385216</x:v>
      </x:c>
      <x:c r="B370" s="65" t="str">
        <x:v>送分题</x:v>
      </x:c>
      <x:c r="C370" s="65" t="str">
        <x:v>送分题</x:v>
      </x:c>
      <x:c r="D370" s="65" t="str">
        <x:v>送分题</x:v>
      </x:c>
      <x:c r="E370" s="65" t="str">
        <x:v>保留原GPT裁定</x:v>
      </x:c>
      <x:c r="F370" s="65" t="str">
        <x:v>高</x:v>
      </x:c>
      <x:c r="G370" s="65" t="str">
        <x:v>送分题</x:v>
      </x:c>
      <x:c r="H370" s="65" t="str">
        <x:v>基础题</x:v>
      </x:c>
      <x:c r="I370" s="65" t="str">
        <x:v>题干、解析与结构证据支持送分题：step=1-2步，题型=概念判断，状态=单状态，约束=无约束，推理=简单因果推理。教师、盲评和多次模型证据中未形成足以推翻原裁定的同向结构证据。</x:v>
      </x:c>
      <x:c r="J370" s="65" t="str">
        <x:v>未进入三次错题并集；逐题结构一致性复核</x:v>
      </x:c>
      <x:c r="K370" s="63" t="str">
        <x:v>体积为50米3卧室中的空气质量与下列物体的质量最接近的是（ ）</x:v>
      </x:c>
      <x:c r="L370" s="63" t="str">
        <x:v>A. 一支笔 B. 一本书 C. 一位成人 D. 一辆卡车</x:v>
      </x:c>
      <x:c r="M370" s="63" t="str">
        <x:v>解：空气的密度约为1.29 kg/m3，则卧室空气的质量m=ρV=1.29 kg/m3×50m3=64.5kg,与一位成人的质量接近，故C正确。 故选：C。</x:v>
      </x:c>
      <x:c r="N370" s="63" t="str">
        <x:v>https://k12static.xdf.cn/k12/image/externalized/6ec36349-68b0-4f6f-a80e-ed88522fee44.png</x:v>
      </x:c>
      <x:c r="O370" s="63" t="str">
        <x:v>https://k12static.xdf.cn/k12/image/externalized/2fa32e1d-9ef6-4e84-8c88-85ae4e359bcb.png</x:v>
      </x:c>
      <x:c r="P370" s="63" t="str">
        <x:v>1-2步</x:v>
      </x:c>
      <x:c r="Q370" s="63" t="str">
        <x:v>概念判断</x:v>
      </x:c>
      <x:c r="R370" s="63" t="str">
        <x:v>单状态</x:v>
      </x:c>
      <x:c r="S370" s="63" t="str">
        <x:v>无约束</x:v>
      </x:c>
      <x:c r="T370" s="63" t="str">
        <x:v>无</x:v>
      </x:c>
      <x:c r="U370" s="63" t="str">
        <x:v>无</x:v>
      </x:c>
      <x:c r="V370" s="63" t="str">
        <x:v>简单因果推理</x:v>
      </x:c>
    </x:row>
    <x:row r="371">
      <x:c r="A371" s="64" t="str">
        <x:v>​2798022266026561538</x:v>
      </x:c>
      <x:c r="B371" s="65" t="str">
        <x:v>中等题</x:v>
      </x:c>
      <x:c r="C371" s="65" t="str">
        <x:v>中等题</x:v>
      </x:c>
      <x:c r="D371" s="65" t="str">
        <x:v>中等题</x:v>
      </x:c>
      <x:c r="E371" s="65" t="str">
        <x:v>保留原GPT裁定</x:v>
      </x:c>
      <x:c r="F371" s="65" t="str">
        <x:v>高</x:v>
      </x:c>
      <x:c r="G371" s="65" t="str">
        <x:v>基础题</x:v>
      </x:c>
      <x:c r="H371" s="65" t="str">
        <x:v>中等题</x:v>
      </x:c>
      <x:c r="I371" s="65" t="str">
        <x:v>题干、解析与结构证据支持中等题：step=1-2步，题型=概念判断，状态=单状态，约束=无约束，推理=多层因果推理。教师、盲评和多次模型证据中未形成足以推翻原裁定的同向结构证据。</x:v>
      </x:c>
      <x:c r="J371" s="65" t="str">
        <x:v>未进入三次错题并集；逐题结构一致性复核</x:v>
      </x:c>
      <x:c r="K371" s="63" t="str">
        <x:v>质量、初温都相同的铜块和铝块，吸收相同的热量后再相互接触$\left(c_{\mathrm{钢}}，则（ ）</x:v>
      </x:c>
      <x:c r="L371" s="63" t="str">
        <x:v>A. 内能从铜块传向铝块 B. 铝块末温比铜块高 C. 温度从铜块传向铝块 D. 最后热传递停止时，铜块和铝块的热量一定相等</x:v>
      </x:c>
      <x:c r="M371" s="63" t="str">
        <x:v>A．由于c钢c铝根据$Q=cm\Delta t$质量相同的铜块和铝块，吸收相同热量时，铜块升高的温度大，又因为初温相同，所以铝块末温比铜块低，热传递的条件是存在温度差，方向是从高温物体传向低温物体，实质是内能的转移，故内能从铜块传向铝块，故A符合题意；B．由于c钢c铝根据$Q=cm\Delta t$质量相同的铜块和铝块，吸收相同热量时，铜块升高的温度大，又因为初温相同，所以铝块末温比铜块低，故B不符合题意；C．温度是状态量，不能传递，热传递传递的是热量，故C不符合题意；D．最后热传递停止时，铜块和铝块的温度一定相等。热量是过程量，不能说物体含有多少热量，只能说吸收或放出多少热量，故D不符合题意。故选A。</x:v>
      </x:c>
      <x:c r="N371" s="63" t="str">
        <x:v>https://k12static.xdf.cn/k12/image/externalized/5be21234-b78f-4ea5-9dd7-feaba534a1f4.png</x:v>
      </x:c>
      <x:c r="O371" s="63" t="str">
        <x:v>https://k12static.xdf.cn/k12/image/externalized/0a248695-c75e-4240-a936-33f949a4dea3.png</x:v>
      </x:c>
      <x:c r="P371" s="63" t="str">
        <x:v>1-2步</x:v>
      </x:c>
      <x:c r="Q371" s="63" t="str">
        <x:v>概念判断</x:v>
      </x:c>
      <x:c r="R371" s="63" t="str">
        <x:v>单状态</x:v>
      </x:c>
      <x:c r="S371" s="63" t="str">
        <x:v>无约束</x:v>
      </x:c>
      <x:c r="T371" s="63" t="str">
        <x:v>无</x:v>
      </x:c>
      <x:c r="U371" s="63" t="str">
        <x:v>无</x:v>
      </x:c>
      <x:c r="V371" s="63" t="str">
        <x:v>多层因果推理</x:v>
      </x:c>
    </x:row>
    <x:row r="372">
      <x:c r="A372" s="64" t="str">
        <x:v>​2799309353453916160</x:v>
      </x:c>
      <x:c r="B372" s="65" t="str">
        <x:v>中等题</x:v>
      </x:c>
      <x:c r="C372" s="65" t="str">
        <x:v>中等题</x:v>
      </x:c>
      <x:c r="D372" s="65" t="str">
        <x:v>中等题</x:v>
      </x:c>
      <x:c r="E372" s="65" t="str">
        <x:v>保留原GPT裁定</x:v>
      </x:c>
      <x:c r="F372" s="65" t="str">
        <x:v>高</x:v>
      </x:c>
      <x:c r="G372" s="65" t="str">
        <x:v>基础题</x:v>
      </x:c>
      <x:c r="H372" s="65" t="str">
        <x:v>中等题</x:v>
      </x:c>
      <x:c r="I372" s="65" t="str">
        <x:v>题干、解析与结构证据支持中等题：step=3-5步，题型=概念判断，状态=单状态，约束=单一约束，推理=多层因果推理。教师、盲评和多次模型证据中未形成足以推翻原裁定的同向结构证据。</x:v>
      </x:c>
      <x:c r="J372" s="65" t="str">
        <x:v>未进入三次错题并集；逐题结构一致性复核</x:v>
      </x:c>
      <x:c r="K372" s="63" t="str">
        <x:v>将一个标有“220V 200W”的电风扇单独接在家庭电路中，正常工作1min后，电能表示数如图所示。下列说法中正确的是（ ）</x:v>
      </x:c>
      <x:c r="L372" s="63" t="str">
        <x:v>A. 这段时间内电风扇消耗了1123.4J的电能 B. 这段时间内电能表转盘共转了10转 C. 电能表应安装在家庭电路的总开关之后 D. 此时该电路不能再接入一台功率为2500W的空调</x:v>
      </x:c>
      <x:c r="M372" s="63" t="str">
        <x:v>解： A、电风扇接在家庭电路中正常工作，则P=200W，1min消耗的电能W=Pt=200W×60s=12000J，故A错误； B、这段时间内消耗的电能W=12000J=12000×$\frac{1}{3.6×1{0}^{6}}$kW•h=$\frac{1}{300}$kW•h, 因3000r/kW•h表示的是电路中每消耗1kW•h的电能，转盘转3000圈， 所以，这段时间内电能表转盘的转数n=3000r/kW•h×$\frac{1}{300}$kW•h=10转，故B正确； C、为了防止偷电，电能表应安装在家庭电路的总开关之前，故C错误； D、该电路再接入一台功率为2500W的空调时总功率为P=2500W+200W=2700W， 由电能表的参数可知，该电能表的工作电压为220V，允许通过的最大电流为20A，电能表允许接入用电器的最大总功率：P最大=UI=220V×20A=4400W； 因为P＜P最大，所以该电路能再接入一台功率为2500W的空调，故D错误。 故选：B。</x:v>
      </x:c>
      <x:c r="N372" s="63" t="str">
        <x:v>https://k12static.xdf.cn/k12/image/externalized/45e817a4-2e11-446f-8738-246f1473a0c9.png</x:v>
      </x:c>
      <x:c r="O372" s="63" t="str">
        <x:v>https://k12static.xdf.cn/k12/image/externalized/60946ce5-4809-4960-be8a-dfc7a158d8ab.png</x:v>
      </x:c>
      <x:c r="P372" s="63" t="str">
        <x:v>3-5步</x:v>
      </x:c>
      <x:c r="Q372" s="63" t="str">
        <x:v>概念判断</x:v>
      </x:c>
      <x:c r="R372" s="63" t="str">
        <x:v>单状态</x:v>
      </x:c>
      <x:c r="S372" s="63" t="str">
        <x:v>单一约束</x:v>
      </x:c>
      <x:c r="T372" s="63" t="str">
        <x:v>无</x:v>
      </x:c>
      <x:c r="U372" s="63" t="str">
        <x:v>无</x:v>
      </x:c>
      <x:c r="V372" s="63" t="str">
        <x:v>多层因果推理</x:v>
      </x:c>
    </x:row>
    <x:row r="373">
      <x:c r="A373" s="64" t="str">
        <x:v>​2802369850210619392</x:v>
      </x:c>
      <x:c r="B373" s="65" t="str">
        <x:v>送分题</x:v>
      </x:c>
      <x:c r="C373" s="65" t="str">
        <x:v>送分题</x:v>
      </x:c>
      <x:c r="D373" s="65" t="str">
        <x:v>送分题</x:v>
      </x:c>
      <x:c r="E373" s="65" t="str">
        <x:v>逐题复核后保留GPT裁定</x:v>
      </x:c>
      <x:c r="F373" s="65" t="str">
        <x:v>高</x:v>
      </x:c>
      <x:c r="G373" s="65" t="str">
        <x:v>送分题</x:v>
      </x:c>
      <x:c r="H373" s="65" t="str">
        <x:v>送分题</x:v>
      </x:c>
      <x:c r="I373" s="65" t="str">
        <x:v>核心只需识别一个唯一、熟悉且关系显性的教材模板（教材概念与常规物理关系），没有第二次独立物理决策；背景、选项数量或机械作答动作不增加难度。</x:v>
      </x:c>
      <x:c r="J373" s="65" t="str">
        <x:v>三次运行错题并集逐题复核</x:v>
      </x:c>
      <x:c r="K373" s="63" t="str">
        <x:v>“只要功夫深，铁杵磨成针”这句话蕴含着深刻的哲理。如果从物理学角度来解释，铁杵在被磨砺的过程中（ ）</x:v>
      </x:c>
      <x:c r="L373" s="63" t="str">
        <x:v>A. 形状不变 B. 质量不变 C. 体积不变 D. 密度不变</x:v>
      </x:c>
      <x:c r="M373" s="63" t="str">
        <x:v>解：铁杵在被磨砺的过程中，铁杵被磨去一部分，所以形状发生了变化，并且铁杵的质量减小，体积减小，但密度是物质的一种特性，与质量和体积无关，所以其密度不变。故D正确，ABC错误。 故选：D。</x:v>
      </x:c>
      <x:c r="N373" s="63" t="str">
        <x:v>https://k12static.xdf.cn/k12/image/externalized/fda01069-dfe1-4871-b769-747cf8ef2ed7.png</x:v>
      </x:c>
      <x:c r="O373" s="63" t="str">
        <x:v>https://k12static.xdf.cn/k12/image/externalized/93d46ba8-e611-4e19-87cc-f82ef2ab76bd.png</x:v>
      </x:c>
      <x:c r="P373" s="63" t="str">
        <x:v>1-2步</x:v>
      </x:c>
      <x:c r="Q373" s="63" t="str">
        <x:v>概念判断</x:v>
      </x:c>
      <x:c r="R373" s="63" t="str">
        <x:v>单状态</x:v>
      </x:c>
      <x:c r="S373" s="63" t="str">
        <x:v>无约束</x:v>
      </x:c>
      <x:c r="T373" s="63" t="str">
        <x:v>无</x:v>
      </x:c>
      <x:c r="U373" s="63" t="str">
        <x:v>无</x:v>
      </x:c>
      <x:c r="V373" s="63" t="str">
        <x:v>简单因果推理</x:v>
      </x:c>
    </x:row>
    <x:row r="374">
      <x:c r="A374" s="64" t="str">
        <x:v>​2804006696360386560</x:v>
      </x:c>
      <x:c r="B374" s="65" t="str">
        <x:v>中等题</x:v>
      </x:c>
      <x:c r="C374" s="65" t="str">
        <x:v>中等题</x:v>
      </x:c>
      <x:c r="D374" s="65" t="str">
        <x:v>中等题</x:v>
      </x:c>
      <x:c r="E374" s="65" t="str">
        <x:v>保留原GPT裁定</x:v>
      </x:c>
      <x:c r="F374" s="65" t="str">
        <x:v>高</x:v>
      </x:c>
      <x:c r="G374" s="65" t="str">
        <x:v>基础题</x:v>
      </x:c>
      <x:c r="H374" s="65" t="str">
        <x:v>中等题</x:v>
      </x:c>
      <x:c r="I374" s="65" t="str">
        <x:v>题干、解析与结构证据支持中等题：step=3-5步，题型=直接计算，状态=单状态，约束=无约束，推理=多层因果推理。教师、盲评和多次模型证据中未形成足以推翻原裁定的同向结构证据。</x:v>
      </x:c>
      <x:c r="J374" s="65" t="str">
        <x:v>未进入三次错题并集；逐题结构一致性复核</x:v>
      </x:c>
      <x:c r="K374" s="63" t="str">
        <x:v>泡沫钢是含有丰富气孔的钢材料，可作为防弹服的内芯。孔隙度是指泡沫钢中所有气孔的体积与泡沫钢总体积之比。已知钢的密度为7.9×103kg/m3，一块质量为0.79kg,边长为0.1m的正方体泡沫钢，孔隙度是（ ）</x:v>
      </x:c>
      <x:c r="L374" s="63" t="str">
        <x:v>A. 1% B. 99% C. 10% D. 90%</x:v>
      </x:c>
      <x:c r="M374" s="63" t="str">
        <x:v>解：已知泡沫钢的边长L=0.1m,则泡沫钢的体积为：V=L3=（0.1m）3=10-3m3， 所含钢的体积为：V钢=$\frac{{m}_{钢}}{{ρ}_{钢}}$=$\frac{0.79kg}{7.9×1{0}^{3}kg/{m}^{3}}$=10-4m3， 所有气孔的体积为：V孔=V-V钢=10-3m3-10-4m3=0.9×10-3m3， 则孔隙度为：$\frac{{V}_{孔}}{V}$×100%=$\frac{0.9×1{0}^{-3}{m}^{3}}{1{0}^{-3}{m}^{3}}$×100%=90%，故ABC错误，D正确。 故选：D。</x:v>
      </x:c>
      <x:c r="N374" s="63" t="str">
        <x:v>https://k12static.xdf.cn/k12/image/externalized/162578a3-eebf-4d0e-9ccb-7840557c7574.png</x:v>
      </x:c>
      <x:c r="O374" s="63" t="str">
        <x:v>https://k12static.xdf.cn/k12/image/externalized/cadbacf0-f5d3-4724-b948-177241e2d01a.png</x:v>
      </x:c>
      <x:c r="P374" s="63" t="str">
        <x:v>3-5步</x:v>
      </x:c>
      <x:c r="Q374" s="63" t="str">
        <x:v>直接计算</x:v>
      </x:c>
      <x:c r="R374" s="63" t="str">
        <x:v>单状态</x:v>
      </x:c>
      <x:c r="S374" s="63" t="str">
        <x:v>无约束</x:v>
      </x:c>
      <x:c r="T374" s="63" t="str">
        <x:v>无</x:v>
      </x:c>
      <x:c r="U374" s="63" t="str">
        <x:v>无</x:v>
      </x:c>
      <x:c r="V374" s="63" t="str">
        <x:v>多层因果推理</x:v>
      </x:c>
    </x:row>
    <x:row r="375">
      <x:c r="A375" s="64" t="str">
        <x:v>​2804244390839623680</x:v>
      </x:c>
      <x:c r="B375" s="65" t="str">
        <x:v>中等题</x:v>
      </x:c>
      <x:c r="C375" s="65" t="str">
        <x:v>中等题</x:v>
      </x:c>
      <x:c r="D375" s="65" t="str">
        <x:v>中等题</x:v>
      </x:c>
      <x:c r="E375" s="65" t="str">
        <x:v>保留原GPT裁定</x:v>
      </x:c>
      <x:c r="F375" s="65" t="str">
        <x:v>高</x:v>
      </x:c>
      <x:c r="G375" s="65" t="str">
        <x:v>中等题</x:v>
      </x:c>
      <x:c r="H375" s="65" t="str">
        <x:v>拔高题</x:v>
      </x:c>
      <x:c r="I375" s="65" t="str">
        <x:v>题干、解析与结构证据支持中等题：step=3-5步，题型=概念判断，状态=单状态，约束=单一约束，推理=多层因果推理。教师、盲评和多次模型证据中未形成足以推翻原裁定的同向结构证据。</x:v>
      </x:c>
      <x:c r="J375" s="65" t="str">
        <x:v>未进入三次错题并集；逐题结构一致性复核</x:v>
      </x:c>
      <x:c r="K375" s="63" t="str">
        <x:v>如图是某同学家中的部分电路，开始时各部分工作正常，将电饭煲的插头插入电源的三孔插座后，正在烧水的电热壶突然不能工作，但电灯仍正常发光拔出电饭煲的插头，电热壶仍不能工作，把测电笔分别插入插座的左、右孔，氖管均能发光。则可以判断出电路的故障是（ ）</x:v>
      </x:c>
      <x:c r="L375" s="63" t="str">
        <x:v>A. 电热壶所在电路的B、D两点间断路 B. 插座的接地线断路 C. 电路的C、D两点间导线断路 D. 电路的A、B两点间导线断路</x:v>
      </x:c>
      <x:c r="M375" s="63" t="str">
        <x:v>解：电灯仍正常工作，说明不是保险丝烧坏了，没有发生短路，而把测电笔分别插入插座的左、右插孔，氖管均能发光，说明火线有电，而零线开路了，且是在C、D之间开路。 故选：C。</x:v>
      </x:c>
      <x:c r="N375" s="63" t="str">
        <x:v>https://k12static.xdf.cn/k12/image/externalized/3a448238-5e7c-4f70-aec1-4364ecf501b6.png</x:v>
      </x:c>
      <x:c r="O375" s="63" t="str">
        <x:v>https://k12static.xdf.cn/k12/image/externalized/045c0cb1-2c55-49a7-b4fb-6c9a4d8c2f56.png</x:v>
      </x:c>
      <x:c r="P375" s="63" t="str">
        <x:v>3-5步</x:v>
      </x:c>
      <x:c r="Q375" s="63" t="str">
        <x:v>概念判断</x:v>
      </x:c>
      <x:c r="R375" s="63" t="str">
        <x:v>单状态</x:v>
      </x:c>
      <x:c r="S375" s="63" t="str">
        <x:v>单一约束</x:v>
      </x:c>
      <x:c r="T375" s="63" t="str">
        <x:v>无</x:v>
      </x:c>
      <x:c r="U375" s="63" t="str">
        <x:v>无</x:v>
      </x:c>
      <x:c r="V375" s="63" t="str">
        <x:v>多层因果推理</x:v>
      </x:c>
    </x:row>
    <x:row r="376">
      <x:c r="A376" s="64" t="str">
        <x:v>​2808120035726917632</x:v>
      </x:c>
      <x:c r="B376" s="65" t="str">
        <x:v>基础题</x:v>
      </x:c>
      <x:c r="C376" s="65" t="str">
        <x:v>基础题</x:v>
      </x:c>
      <x:c r="D376" s="65" t="str">
        <x:v>基础题</x:v>
      </x:c>
      <x:c r="E376" s="65" t="str">
        <x:v>保留原GPT裁定</x:v>
      </x:c>
      <x:c r="F376" s="65" t="str">
        <x:v>中</x:v>
      </x:c>
      <x:c r="G376" s="65" t="str">
        <x:v>中等题</x:v>
      </x:c>
      <x:c r="H376" s="65" t="str">
        <x:v>基础题</x:v>
      </x:c>
      <x:c r="I376" s="65" t="str">
        <x:v>题干、解析与结构证据支持基础题：step=1-2步，题型=概念判断，状态=单状态，约束=无约束，推理=简单因果推理。教师、盲评和多次模型证据中未形成足以推翻原裁定的同向结构证据。</x:v>
      </x:c>
      <x:c r="J376" s="65" t="str">
        <x:v>未进入三次错题并集；逐题结构一致性复核</x:v>
      </x:c>
      <x:c r="K376" s="63" t="str">
        <x:v>如图，甲、乙、丙、丁所示的事例中，不是利用大气压强的是（ ）</x:v>
      </x:c>
      <x:c r="L376" s="63" t="str">
        <x:v>A. 图甲高压锅烹煮食物 B. 图乙注射器吸药液 C. 图丙油壶盖上的小孔 D. 图丁用真空压缩袋</x:v>
      </x:c>
      <x:c r="M376" s="63" t="str">
        <x:v>解：A．高压锅烹煮食物，是利用气压高，水的沸点高的原理，不是利用大气压来工作，故A正确； B．用注射器吸药液，通过活塞上移使活塞下方的气压减小，药液在外界大气压的作用下被压上来，利用了大气压，故B不正确； C．油壶的盖子上有一个小孔，大气压通过这个小孔作用到壶内的液面上，壶中的油便容易倒出来，利用了大气压，故C不正确； D．真空压缩袋的工作原理是把棉被衣物内部的空气抽走从而使体积得到缩小，利用大气压把本来膨胀的棉被等物品压扁，隔离外界空气，利用了大气压，故D不正确。 故选：A。</x:v>
      </x:c>
      <x:c r="N376" s="63" t="str">
        <x:v>https://k12static.xdf.cn/k12/image/externalized/48e5ae07-cf03-4050-af80-6c79cf3b1ba4.png</x:v>
      </x:c>
      <x:c r="O376" s="63" t="str">
        <x:v>https://k12static.xdf.cn/k12/image/externalized/dcf62728-bfcc-4d32-904b-31169ec68183.png</x:v>
      </x:c>
      <x:c r="P376" s="63" t="str">
        <x:v>1-2步</x:v>
      </x:c>
      <x:c r="Q376" s="63" t="str">
        <x:v>概念判断</x:v>
      </x:c>
      <x:c r="R376" s="63" t="str">
        <x:v>单状态</x:v>
      </x:c>
      <x:c r="S376" s="63" t="str">
        <x:v>无约束</x:v>
      </x:c>
      <x:c r="T376" s="63" t="str">
        <x:v>无</x:v>
      </x:c>
      <x:c r="U376" s="63" t="str">
        <x:v>无</x:v>
      </x:c>
      <x:c r="V376" s="63" t="str">
        <x:v>简单因果推理</x:v>
      </x:c>
    </x:row>
    <x:row r="377">
      <x:c r="A377" s="64" t="str">
        <x:v>​2808356746391465984</x:v>
      </x:c>
      <x:c r="B377" s="65" t="str">
        <x:v>基础题</x:v>
      </x:c>
      <x:c r="C377" s="65" t="str">
        <x:v>基础题</x:v>
      </x:c>
      <x:c r="D377" s="65" t="str">
        <x:v>基础题</x:v>
      </x:c>
      <x:c r="E377" s="65" t="str">
        <x:v>保留原GPT裁定</x:v>
      </x:c>
      <x:c r="F377" s="65" t="str">
        <x:v>高</x:v>
      </x:c>
      <x:c r="G377" s="65" t="str">
        <x:v>中等题</x:v>
      </x:c>
      <x:c r="H377" s="65" t="str">
        <x:v>基础题</x:v>
      </x:c>
      <x:c r="I377" s="65" t="str">
        <x:v>题干、解析与结构证据支持基础题：step=1-2步，题型=跨模块综合，状态=单状态，约束=单一约束，推理=简单因果推理。教师、盲评和多次模型证据中未形成足以推翻原裁定的同向结构证据。</x:v>
      </x:c>
      <x:c r="J377" s="65" t="str">
        <x:v>未进入三次错题并集；逐题结构一致性复核</x:v>
      </x:c>
      <x:c r="K377" s="63" t="str">
        <x:v>“探索一号”科考船携“奋斗者”号载人潜水器完成首次环大洋洲载人深潜科考航次任务后，于3月11日返抵三亚（如图所示）。该船到达大洋洲的克马德克海沟时，用声呐从海面向海底发出超声波，经过12s声呐接收到回声信号。（超声波在海水中的传播速度为1500m/s，激光在海水中的传播速度为$2.25\times 10^{8}$m/s）（1）求该海域的深度；（2）如果是发射激光，多长时间可以传播到海底?</x:v>
      </x:c>
      <x:c r="L377" s="63" t="str"/>
      <x:c r="M377" s="63" t="str">
        <x:v>解：（1）由$v=\dfrac{s}{t}$得，该海域的深度$s=v_{\mathrm{超}}t=1500\mathrm{~ m}/\mathrm{s}\times \left(\dfrac{1}{2}\times 12\mathrm{~ s}\right)=9000\mathrm{m}$（2）激光传播到海底所用的时间$t'=\dfrac{s}{v_{\mathrm{激光}}}=\dfrac{9000\mathrm{~ m}}{2.25\times 10^{8}\mathrm{~ m}/\mathrm{s}}=4\times 10^{-5}$s答：（1）该海域的深度是9000m；（2）如果是发射激光，4×10−5s可以传播到海底。</x:v>
      </x:c>
      <x:c r="N377" s="63" t="str">
        <x:v>https://k12static.xdf.cn/k12/image/externalized/944f141d-6646-4de2-b5b8-ad6d40573511.png</x:v>
      </x:c>
      <x:c r="O377" s="63" t="str">
        <x:v>https://k12static.xdf.cn/k12/image/externalized/a982fadd-a23e-47fa-aa63-74d4cd3a8355.png</x:v>
      </x:c>
      <x:c r="P377" s="63" t="str">
        <x:v>1-2步</x:v>
      </x:c>
      <x:c r="Q377" s="63" t="str">
        <x:v>跨模块综合</x:v>
      </x:c>
      <x:c r="R377" s="63" t="str">
        <x:v>单状态</x:v>
      </x:c>
      <x:c r="S377" s="63" t="str">
        <x:v>单一约束</x:v>
      </x:c>
      <x:c r="T377" s="63" t="str">
        <x:v>无</x:v>
      </x:c>
      <x:c r="U377" s="63" t="str">
        <x:v>无</x:v>
      </x:c>
      <x:c r="V377" s="63" t="str">
        <x:v>简单因果推理</x:v>
      </x:c>
    </x:row>
    <x:row r="378">
      <x:c r="A378" s="64" t="str">
        <x:v>​2809354241728954368</x:v>
      </x:c>
      <x:c r="B378" s="65" t="str">
        <x:v>中等题</x:v>
      </x:c>
      <x:c r="C378" s="65" t="str">
        <x:v>中等题</x:v>
      </x:c>
      <x:c r="D378" s="65" t="str">
        <x:v>中等题</x:v>
      </x:c>
      <x:c r="E378" s="65" t="str">
        <x:v>逐题复核后保留GPT裁定</x:v>
      </x:c>
      <x:c r="F378" s="65" t="str">
        <x:v>高</x:v>
      </x:c>
      <x:c r="G378" s="65" t="str">
        <x:v>基础题</x:v>
      </x:c>
      <x:c r="H378" s="65" t="str">
        <x:v>中等题</x:v>
      </x:c>
      <x:c r="I378" s="65" t="str">
        <x:v>存在约3—4步常规连续分析、共享过程或完整标准实验任务，关系仍显性。 题目证据：原标偏低。最长有效链为3-5步、题型为概念判断、实验要求达到“控制变量或故障分析”、推理为多层因果推理；实际任务已超过基础题所允许的直接识别/显性应用范围，裁定为中等题。 复核证据：独立盲评与三次模型中有4/4支持中等题。</x:v>
      </x:c>
      <x:c r="J378" s="65" t="str">
        <x:v>三次运行错题并集逐题复核</x:v>
      </x:c>
      <x:c r="K378" s="63" t="str">
        <x:v>如图所示，一个不能打开的盒子外面露出一段细长的导线。要在不损坏导线的情况下，判断导线中是否有电流，下列四个实验所对应的结论不能作为其判断依据的是（ ）</x:v>
      </x:c>
      <x:c r="L378" s="63" t="str">
        <x:v>A. " /&gt; B. " /&gt; C. " /&gt; D. "&gt;</x:v>
      </x:c>
      <x:c r="M378" s="63" t="str">
        <x:v>A．图中利用的是电磁感应现象，当闭合电路中的部分导体切割磁感线才会产生感应电流，灵敏电流计发生偏转；若不切割磁感线时，无法产生感应电流，灵敏电流计发生不偏转，不损坏导线的情况下，不能判断导线中是否有电流，故A符合题意；B．当开关闭合时，导线中有电流通过，小磁针会发生偏转，可以根据小磁针的偏转判断导线是否有电流，故B不符合题意；C．当闭合电路时，导线中有电流经过，通电导线在磁场中受力的作用运动，可通过导线的运动情况判断电路中是否有电流经过，故C不符合题意；D．当闭合电路时，导线中有电流经过，电磁铁带有磁性会吸引铁钉，可以根据铁钉是否被吸引，判断电路中是否由电流经过，故D不符合题意。故选A。</x:v>
      </x:c>
      <x:c r="N378" s="63" t="str">
        <x:v>https://k12static.xdf.cn/k12/image/externalized/a8ddb93f-0a18-4436-9a85-b6b7c96c3e99.png</x:v>
      </x:c>
      <x:c r="O378" s="63" t="str">
        <x:v>https://k12static.xdf.cn/k12/image/externalized/bf1c21b8-117e-460c-bf84-7290eaa0ffd5.png</x:v>
      </x:c>
      <x:c r="P378" s="63" t="str">
        <x:v>3-5步</x:v>
      </x:c>
      <x:c r="Q378" s="63" t="str">
        <x:v>概念判断</x:v>
      </x:c>
      <x:c r="R378" s="63" t="str">
        <x:v>单状态</x:v>
      </x:c>
      <x:c r="S378" s="63" t="str">
        <x:v>无约束</x:v>
      </x:c>
      <x:c r="T378" s="63" t="str">
        <x:v>控制变量或故障分析</x:v>
      </x:c>
      <x:c r="U378" s="63" t="str">
        <x:v>无</x:v>
      </x:c>
      <x:c r="V378" s="63" t="str">
        <x:v>多层因果推理</x:v>
      </x:c>
    </x:row>
    <x:row r="379">
      <x:c r="A379" s="64" t="str">
        <x:v>​2810551421329551360</x:v>
      </x:c>
      <x:c r="B379" s="65" t="str">
        <x:v>拔高题</x:v>
      </x:c>
      <x:c r="C379" s="65" t="str">
        <x:v>拔高题</x:v>
      </x:c>
      <x:c r="D379" s="65" t="str">
        <x:v>拔高题</x:v>
      </x:c>
      <x:c r="E379" s="65" t="str">
        <x:v>逐题复核后保留GPT裁定</x:v>
      </x:c>
      <x:c r="F379" s="65" t="str">
        <x:v>高</x:v>
      </x:c>
      <x:c r="G379" s="65" t="str">
        <x:v>拔高题</x:v>
      </x:c>
      <x:c r="H379" s="65" t="str">
        <x:v>压轴题</x:v>
      </x:c>
      <x:c r="I379" s="65" t="str">
        <x:v>最高难任务在实验方案、误差/评价或改进任务中包含图线反推、状态转换、误差评价、几何/等效转换、方程联立或参数反求等决定性卡点，整体约5—6个有效决策；尚未形成压轴所需的完整复杂约束网络。</x:v>
      </x:c>
      <x:c r="J379" s="65" t="str">
        <x:v>三次运行错题并集逐题复核</x:v>
      </x:c>
      <x:c r="K379" s="63" t="str">
        <x:v>在“探究串联电路电压的特点”实验中，小明设计了图1所示的电路。其中R0为定值电阻，R为滑动变阻器，L为小灯泡。 （1）根据图1所示的电路图用笔画线代替导线，将图2所示的实物图补充完整。 （2）连接好电路后，闭合开关，移动滑动变阻器的滑片至某一位置，记录电流表的示数；选择合适的量程，用电压表分别测出ab、bc、cd、ac、bd、ad间的电压。将这些数据记入如表。改变滑动变阻器滑片的位置，在保证电路安全的情况下再做几次实验。读取数据①时电压表的示数如图3所示，示数为 ________ V。 数据序号 电流/A Uab/V Ubc/V Ucd/V Uac/V Ubd/V Uad/V 1 0.20 1.0 2.5 1.0 3.5 3.5 4.5 2 0.24 ① 1.5 1.2 ② 2.7 4.5 3 0.30 2.5 0.5 ③ 3.0 2.0 4.5 … （3）根据数据可知R0的阻值为 ________ Ω。 （4）根据第1组的实验数据可初步得出结论：串联电路中，总电压等于这部分电路中的各用电器两端电压之和。再做几次实验的目的是 ________ 。 （5）读取数据 ________ （选填“②”或“③”）时，电压表指针没有对准刻度线。 （6）根据表中的实验数据，写出一条你还能发现的规律： ________ 。 【拓展】灯泡L1和L2的额定功率相等，额定电流分别为0.2A和0.3A，小明利用图1中的灯泡L，对L1和L2的发光情况进行研究。将L、L1、L2与某一可调压电源连接成图4所示的电路，只闭合S1，调节电源电压至某一值时，通过电压表判断出L1正常发光；断开S1，闭合S2，发现不用改变电源电压，L2也恰好正常发光。则L1正常发光时的电阻为 ________ Ω。</x:v>
      </x:c>
      <x:c r="L379" s="63" t="str"/>
      <x:c r="M379" s="63" t="str">
        <x:v>解：（1）按电路图连接实物，如图所示： ； （2）由图3可知，电压表用的小量程，分度值0.1V，故示数为1.8V； （3）根据数据可知R0的阻值为R0=$\frac{{U}_{cd}}{I}$=$\frac{1.0V}{0.2A}$=5Ω； （4）探究串联电路电压的特点实验，多次实验目的寻找普遍规律； （5）分析表格中的数据，数据②的大小为Uac2=Uad2-Ucd2=4.5V-1.2V=3.3V，此时电压表用的大量程，分度值为0.5V，则读取3.3V电压值时电压表的指针没有对准刻度线； （6）分析表格中的数据，观察R0两端电压与电流可知，电阻一定时，通过导体的电流与导体两端电压成正比； （7）设电源电压为U，只闭合S1，L与L1串联，灯L1的额定电流分别为0.2A，由表格中数据可知，此时灯L两端电压为1V， 则灯L1的额定电压为U-1V，所以灯L1的额定功率为P1=（U-1V）×0.2A……①； 断开S1，闭合S2，L与L2串联，灯L2的额定电流分别为0.3A，由表格中数据可知，此时灯L两端电压为2.5V， 则灯L2的额定电压为U-2.5V，所以灯L2的额定功率为P2=（U-2.5V）×0.3A……②； 灯泡L1和L2的额定功率相等，所以①=②；即（U-1V）×0.2A=（U-2.5V）×0.3A，解得U=5.5V； 则灯L1的额定电压为U-1V=5.5V-1V=4.5V，则L1正常发光时的电阻为R1=$\frac{4.5V}{0.2A}$=22.5Ω。 故答案为：（1）；（2）1.8；（3）5；（4）寻找普遍规律；（5）②； （6）电阻一定时，通过导体的电流与导体两端电压成正比；（7）22.5。</x:v>
      </x:c>
      <x:c r="N379" s="63" t="str">
        <x:v>https://k12static.xdf.cn/k12/image/externalized/9d183263-9bec-4b68-9e61-bb3bb97adef6.png</x:v>
      </x:c>
      <x:c r="O379" s="63" t="str">
        <x:v>https://k12static.xdf.cn/k12/image/externalized/1b175ab9-481a-4ef4-8ea4-eb99e508c8bc.png</x:v>
      </x:c>
      <x:c r="P379" s="63" t="str">
        <x:v>6-8步</x:v>
      </x:c>
      <x:c r="Q379" s="63" t="str">
        <x:v>实验探究</x:v>
      </x:c>
      <x:c r="R379" s="63" t="str">
        <x:v>双状态</x:v>
      </x:c>
      <x:c r="S379" s="63" t="str">
        <x:v>多约束</x:v>
      </x:c>
      <x:c r="T379" s="63" t="str">
        <x:v>控制变量或故障分析</x:v>
      </x:c>
      <x:c r="U379" s="63" t="str">
        <x:v>图像反推或外推</x:v>
      </x:c>
      <x:c r="V379" s="63" t="str">
        <x:v>逆向推理或临界分析</x:v>
      </x:c>
    </x:row>
    <x:row r="380">
      <x:c r="A380" s="64" t="str">
        <x:v>​2810605094378221568</x:v>
      </x:c>
      <x:c r="B380" s="65" t="str">
        <x:v>中等题</x:v>
      </x:c>
      <x:c r="C380" s="65" t="str">
        <x:v>中等题</x:v>
      </x:c>
      <x:c r="D380" s="65" t="str">
        <x:v>中等题</x:v>
      </x:c>
      <x:c r="E380" s="65" t="str">
        <x:v>逐题复核后保留GPT裁定</x:v>
      </x:c>
      <x:c r="F380" s="65" t="str">
        <x:v>高</x:v>
      </x:c>
      <x:c r="G380" s="65" t="str">
        <x:v>基础题</x:v>
      </x:c>
      <x:c r="H380" s="65" t="str">
        <x:v>中等题</x:v>
      </x:c>
      <x:c r="I380" s="65" t="str">
        <x:v>存在约3—4步常规连续分析、共享过程或完整标准实验任务，关系仍显性。 题目证据：最高难选项实际有效推理约3步，五维中知识量2-3个关联知识点，过程为对比初始和湿度增加后的两个电路状态，数学工具为简单规律推导，情境为熟悉的装置变式，思维层次属于常规分析。任务为分析湿敏电阻阻值变化后，连续推理总电阻、总电流、定值电阻电压、比值和总功率的变化，属于同一串联电路模型下的多层因果推理。</x:v>
      </x:c>
      <x:c r="J380" s="65" t="str">
        <x:v>三次运行错题并集逐题复核</x:v>
      </x:c>
      <x:c r="K380" s="63" t="str">
        <x:v>如图为一种测量环境湿度仪器的简化工作原理图。电源电压恒定，R0为湿敏电阻，其阻值随环境湿度的增加而减小，闭合开关S，当环境的湿度增加时，下列说法中正确的是（ ）</x:v>
      </x:c>
      <x:c r="L380" s="63" t="str">
        <x:v>A. 电流表示数变小 B. 电压表示数变大 C. 电压表示数与电流表示数的比值不变 D. 电路的总功率变大</x:v>
      </x:c>
      <x:c r="M380" s="63" t="str">
        <x:v>解： 两电阻串联，电流表测的是电路电流，电压表测的是定值电阻R的两端电压。 AB．当环境的湿度增加时，湿敏电阻的阻值变小，电路总电阻变小，根据欧姆定律可知，电路电流变大，电流表示数变大，定值电阻R的两端电压变大，电压表示数变大；故A错误，B正确； C．电压表示数与电流表示数的比值等于定值电阻R的阻值，定值电阻R的阻值不变，电压表示数与电流表示数的比值不变；故C正确； D．根据P=UI可知，电源电压不变，电路电流变大，电路的总功率变大，故D正确。 故选：BCD。</x:v>
      </x:c>
      <x:c r="N380" s="63" t="str">
        <x:v>https://k12static.xdf.cn/k12/image/externalized/6b859481-6828-4e23-8d84-64cde2dcbf28.png</x:v>
      </x:c>
      <x:c r="O380" s="63" t="str">
        <x:v>https://k12static.xdf.cn/k12/image/externalized/8d0b8a40-9666-43ee-9d21-b41b44617d62.png</x:v>
      </x:c>
      <x:c r="P380" s="63" t="str">
        <x:v>3-5步</x:v>
      </x:c>
      <x:c r="Q380" s="63" t="str">
        <x:v>电路综合</x:v>
      </x:c>
      <x:c r="R380" s="63" t="str">
        <x:v>双状态</x:v>
      </x:c>
      <x:c r="S380" s="63" t="str">
        <x:v>无约束</x:v>
      </x:c>
      <x:c r="T380" s="63" t="str">
        <x:v>无</x:v>
      </x:c>
      <x:c r="U380" s="63" t="str">
        <x:v>无</x:v>
      </x:c>
      <x:c r="V380" s="63" t="str">
        <x:v>多层因果推理</x:v>
      </x:c>
    </x:row>
    <x:row r="381">
      <x:c r="A381" s="64" t="str">
        <x:v>​2810691572153454592</x:v>
      </x:c>
      <x:c r="B381" s="65" t="str">
        <x:v>中等题</x:v>
      </x:c>
      <x:c r="C381" s="65" t="str">
        <x:v>中等题</x:v>
      </x:c>
      <x:c r="D381" s="65" t="str">
        <x:v>中等题</x:v>
      </x:c>
      <x:c r="E381" s="65" t="str">
        <x:v>保留原GPT裁定</x:v>
      </x:c>
      <x:c r="F381" s="65" t="str">
        <x:v>高</x:v>
      </x:c>
      <x:c r="G381" s="65" t="str">
        <x:v>中等题</x:v>
      </x:c>
      <x:c r="H381" s="65" t="str">
        <x:v>基础题</x:v>
      </x:c>
      <x:c r="I381" s="65" t="str">
        <x:v>题干、解析与结构证据支持中等题：step=3-5步，题型=电路综合，状态=单状态，约束=单一约束，推理=多层因果推理。教师、盲评和多次模型证据中未形成足以推翻原裁定的同向结构证据。</x:v>
      </x:c>
      <x:c r="J381" s="65" t="str">
        <x:v>未进入三次错题并集；逐题结构一致性复核</x:v>
      </x:c>
      <x:c r="K381" s="63" t="str">
        <x:v>某钨丝小灯泡正常工作时电阻为10Ω，通过它的电流为0.2A。现将其接入4V的电路中，要求该灯泡正常工作，则（ ）</x:v>
      </x:c>
      <x:c r="L381" s="63" t="str">
        <x:v>A. 串联一个10Ω的电阻 B. 并联一个10Ω的电阻 C. 串联一个20Ω的电阻 D. 并联一个20Ω的电阻</x:v>
      </x:c>
      <x:c r="M381" s="63" t="str">
        <x:v>解：灯泡的正常发光电压为U=IR=0.2A×10Ω=2V；电路电压大于灯泡的正常发光电压，所以必须串联电阻分压， 电阻两端的电压等于电路电压与灯泡额定电压的差，所以电阻两端电压为U'=U-UL=4V-2V=2V； 串联电路各处电流相等，串联的电阻R=$\frac{U'}{I}$=$\frac{2V}{0.2A}$=10Ω，所以BCD错误，A正确。 故选：A。</x:v>
      </x:c>
      <x:c r="N381" s="63" t="str">
        <x:v>https://k12static.xdf.cn/k12/image/externalized/23b73ba2-20dd-494a-a11a-d3115394aac6.png</x:v>
      </x:c>
      <x:c r="O381" s="63" t="str">
        <x:v>https://k12static.xdf.cn/k12/image/externalized/442a4368-71ba-4d0a-a9f5-4faf90979483.png</x:v>
      </x:c>
      <x:c r="P381" s="63" t="str">
        <x:v>3-5步</x:v>
      </x:c>
      <x:c r="Q381" s="63" t="str">
        <x:v>电路综合</x:v>
      </x:c>
      <x:c r="R381" s="63" t="str">
        <x:v>单状态</x:v>
      </x:c>
      <x:c r="S381" s="63" t="str">
        <x:v>单一约束</x:v>
      </x:c>
      <x:c r="T381" s="63" t="str">
        <x:v>无</x:v>
      </x:c>
      <x:c r="U381" s="63" t="str">
        <x:v>无</x:v>
      </x:c>
      <x:c r="V381" s="63" t="str">
        <x:v>多层因果推理</x:v>
      </x:c>
    </x:row>
    <x:row r="382">
      <x:c r="A382" s="64" t="str">
        <x:v>​2810919134888726528</x:v>
      </x:c>
      <x:c r="B382" s="65" t="str">
        <x:v>拔高题</x:v>
      </x:c>
      <x:c r="C382" s="65" t="str">
        <x:v>拔高题</x:v>
      </x:c>
      <x:c r="D382" s="65" t="str">
        <x:v>拔高题</x:v>
      </x:c>
      <x:c r="E382" s="65" t="str">
        <x:v>逐题复核后保留GPT裁定</x:v>
      </x:c>
      <x:c r="F382" s="65" t="str">
        <x:v>高</x:v>
      </x:c>
      <x:c r="G382" s="65" t="str">
        <x:v>拔高题</x:v>
      </x:c>
      <x:c r="H382" s="65" t="str">
        <x:v>拔高题</x:v>
      </x:c>
      <x:c r="I382" s="65" t="str">
        <x:v>最高难任务在电路状态、图线/参数与安全约束中包含图线反推、状态转换、误差评价、几何/等效转换、方程联立或参数反求等决定性卡点，整体约5—6个有效决策；尚未形成压轴所需的完整复杂约束网络。</x:v>
      </x:c>
      <x:c r="J382" s="65" t="str">
        <x:v>三次运行错题并集逐题复核</x:v>
      </x:c>
      <x:c r="K382" s="63" t="str">
        <x:v>道路被损坏的一个重要原因是车辆严重超载。为了抓拍超载车辆，学校的科技小组设计了一个“汽车超载记录器”，其电路原理图如图甲。已知控制电路的电源电压U=10V，线圈电阻R0=5Ω，保护电阻R1=10Ω。当车辆经过水平检测点时，Rx阻值与压力变化的关系如图乙所示。当电压表示数U1≥4V时，继电器的衔铁被吸下，工作电路中的照相机就开始抓拍。某总质量为1.5×104kg的汽车，轮胎与路面接触的总面积为0.3m2。求： （1）该汽车对水平路面的压强； （2）通过计算说明该车是否被抓拍； （3）为了延长某大桥的使用寿命，将控制电路电源电压降为9V，要抓拍m总≥30t的车，则R1要更换多大的电阻。</x:v>
      </x:c>
      <x:c r="L382" s="63" t="str"/>
      <x:c r="M382" s="63" t="str">
        <x:v>解：（1）汽车对水平路面的压力等于其重力，则此时汽车对水路面的压力为： $F={G}_{车}=mg=1.5×1{0}^{4}kg×10N/kg=1.5×1{0}^{5}N$， 汽车对水平路面的压强为： $p=\frac{F}{S}=\frac{1.5×1{0}^{5}N}{0.3{m}^{2}}=5×1{0}^{5}Pa$； （2）由图甲可知，闭合开关S时，R1、Rx、R0串联，电压表测R1两端的电压，当U1=4V时，电路的电流为： ${I}_{1}=\frac{{U}_{1}}{{R}_{1}}=\frac{4V}{10Ω}=0.4A$， 则电路的总电阻为： $R=\frac{U}{{I}_{1}}=\frac{10V}{0.4A}=25Ω$， 则Rx的阻值为： Rx=R-R0-R1=25Ω-5Ω-10Ω=10Ω， 由图乙可知，此时压力为：F压=4×105N， 而汽车对地面的压力为： F=1.5×105N＜4×105N， 所以不会被抓拍； （3）30t的车对路面的压力为： $F′={m}_{总}g=3.0×1{0}^{4}kg×10N/kg=3×1{0}^{5}N$， 由图乙可知，此时Rx′=15Ω， 更换电阻R1后，报警电压（电压表示数）也会发生变化，但衔铁刚被吸下时控制电路的电流是一定的， 则由（2）可知衔铁刚被吸下时控制电路的电流I1=0.4A， 由欧姆定律可得此时控制电路的总电阻：R总′=$\frac{U′}{{I}_{1}}$=$\frac{9V}{0.4A}$=22.5Ω， 由串联电路的电阻特点可得此时保护电阻的阻值：R1′=R总′-R0-Rx′=22.5Ω-5Ω-15Ω=2.5Ω，即要抓拍m总≥30t的车，R1要更换为2.5Ω的电阻。 答：（1）该汽车对水平路面的压强为5×105Pa； （2）该车不会被抓拍； （3）R1要更换为2.5Ω的电阻。</x:v>
      </x:c>
      <x:c r="N382" s="63" t="str">
        <x:v>https://k12static.xdf.cn/k12/image/externalized/73412c8c-9b9a-484d-a281-900ec3e4fb68.png</x:v>
      </x:c>
      <x:c r="O382" s="63" t="str">
        <x:v>https://k12static.xdf.cn/k12/image/externalized/8c024abd-744e-491b-8a97-a47783b8d980.png</x:v>
      </x:c>
      <x:c r="P382" s="63" t="str">
        <x:v>3-5步</x:v>
      </x:c>
      <x:c r="Q382" s="63" t="str">
        <x:v>跨模块综合</x:v>
      </x:c>
      <x:c r="R382" s="63" t="str">
        <x:v>单状态</x:v>
      </x:c>
      <x:c r="S382" s="63" t="str">
        <x:v>单一约束</x:v>
      </x:c>
      <x:c r="T382" s="63" t="str">
        <x:v>无</x:v>
      </x:c>
      <x:c r="U382" s="63" t="str">
        <x:v>直接读数</x:v>
      </x:c>
      <x:c r="V382" s="63" t="str">
        <x:v>多层因果推理</x:v>
      </x:c>
    </x:row>
    <x:row r="383">
      <x:c r="A383" s="64" t="str">
        <x:v>​2810993935888691200</x:v>
      </x:c>
      <x:c r="B383" s="65" t="str">
        <x:v>基础题</x:v>
      </x:c>
      <x:c r="C383" s="65" t="str">
        <x:v>基础题</x:v>
      </x:c>
      <x:c r="D383" s="65" t="str">
        <x:v>基础题</x:v>
      </x:c>
      <x:c r="E383" s="65" t="str">
        <x:v>保留原GPT裁定</x:v>
      </x:c>
      <x:c r="F383" s="65" t="str">
        <x:v>高</x:v>
      </x:c>
      <x:c r="G383" s="65" t="str">
        <x:v>送分题</x:v>
      </x:c>
      <x:c r="H383" s="65" t="str">
        <x:v>基础题</x:v>
      </x:c>
      <x:c r="I383" s="65" t="str">
        <x:v>题干、解析与结构证据支持基础题：step=1-2步，题型=概念判断，状态=单状态，约束=无约束，推理=直接套用。教师、盲评和多次模型证据中未形成足以推翻原裁定的同向结构证据。</x:v>
      </x:c>
      <x:c r="J383" s="65" t="str">
        <x:v>未进入三次错题并集；逐题结构一致性复核</x:v>
      </x:c>
      <x:c r="K383" s="63" t="str">
        <x:v>通过学习物理，我们对这个世界有了一些新的认识，下列说法正确的是（ ）</x:v>
      </x:c>
      <x:c r="L383" s="63" t="str">
        <x:v>A. 用电器着火时，应迅速向用电器泼水 B. 微波炉加热食物是利用电流的热效应 C. 目前我国的核电站是利用原子核裂变释放的能量来发电的 D. 光导纤维是传输光信号的器件</x:v>
      </x:c>
      <x:c r="M383" s="63" t="str">
        <x:v>解：A、生活用水是导体，用电器着火时，若向用电器泼水，容易发生触电事故，故A错误； B、微波炉是利用微波加热食品的，与电流的热效应没有关系，故B错误； C、目前我国的核电站是利用原子核裂变释放的能量来发电的，故C正确； D、光导纤维是传输光信号的器件，故D正确。 故选：CD。</x:v>
      </x:c>
      <x:c r="N383" s="63" t="str">
        <x:v>https://k12static.xdf.cn/k12/image/externalized/cfa744a2-1a1c-497a-8599-2d2ab4b87b3a.png</x:v>
      </x:c>
      <x:c r="O383" s="63" t="str">
        <x:v>https://k12static.xdf.cn/k12/image/externalized/0ffe1a99-278a-4e32-b1d0-216171630976.png</x:v>
      </x:c>
      <x:c r="P383" s="63" t="str">
        <x:v>1-2步</x:v>
      </x:c>
      <x:c r="Q383" s="63" t="str">
        <x:v>概念判断</x:v>
      </x:c>
      <x:c r="R383" s="63" t="str">
        <x:v>单状态</x:v>
      </x:c>
      <x:c r="S383" s="63" t="str">
        <x:v>无约束</x:v>
      </x:c>
      <x:c r="T383" s="63" t="str">
        <x:v>无</x:v>
      </x:c>
      <x:c r="U383" s="63" t="str">
        <x:v>无</x:v>
      </x:c>
      <x:c r="V383" s="63" t="str">
        <x:v>直接套用</x:v>
      </x:c>
    </x:row>
    <x:row r="384">
      <x:c r="A384" s="64" t="str">
        <x:v>​2814092702021615616</x:v>
      </x:c>
      <x:c r="B384" s="65" t="str">
        <x:v>中等题</x:v>
      </x:c>
      <x:c r="C384" s="65" t="str">
        <x:v>中等题</x:v>
      </x:c>
      <x:c r="D384" s="65" t="str">
        <x:v>中等题</x:v>
      </x:c>
      <x:c r="E384" s="65" t="str">
        <x:v>保留原GPT裁定</x:v>
      </x:c>
      <x:c r="F384" s="65" t="str">
        <x:v>高</x:v>
      </x:c>
      <x:c r="G384" s="65" t="str">
        <x:v>中等题</x:v>
      </x:c>
      <x:c r="H384" s="65" t="str">
        <x:v>拔高题</x:v>
      </x:c>
      <x:c r="I384" s="65" t="str">
        <x:v>题干、解析与结构证据支持中等题：step=3-5步，题型=概念判断，状态=单状态，约束=单一约束，推理=多层因果推理。教师、盲评和多次模型证据中未形成足以推翻原裁定的同向结构证据。</x:v>
      </x:c>
      <x:c r="J384" s="65" t="str">
        <x:v>未进入三次错题并集；逐题结构一致性复核</x:v>
      </x:c>
      <x:c r="K384" s="63" t="str">
        <x:v>小明新家刚装修完，家中部分电路如图所示。验收时，小明闭合了开关S（家中其他用电器均处于断开状态），白炽灯L亮了一段时间后熄灭了，他用测电笔分别测试了图中插座的下方两个孔，发现测电笔氖管都发光。若故障只有一处，下列说法正确的是（ ）</x:v>
      </x:c>
      <x:c r="L384" s="63" t="str">
        <x:v>A. 故障是L的灯丝断了 B. 故障是L短路了 C. 若此时站在地上的人接触c点，不会发生触电危险 D. 断开开关S，用测电笔测试插座左孔，测电笔氖管不会发光</x:v>
      </x:c>
      <x:c r="M384" s="63" t="str">
        <x:v>解：A.若故障是L的灯丝断了，用测电笔测试左孔时，氖管不会发光，故A错误； B.若故障是L短路，保险丝会熔断，插座两个孔均不会发光，故B错误； C.插座的左孔能够使氖管发光，说明与火线连通，则c点也与火线连通，若此时站在地上的人接触c点，火线、人体和大地之间构成回路，会发生单线触电事故，故C错误； D.插座的左孔能够使氖管发光，是通过灯所在支路与火线连通的，当断开开关S，则与火线断开，左孔不会使氖管发光，故D正确。 故选：D。</x:v>
      </x:c>
      <x:c r="N384" s="63" t="str">
        <x:v>https://k12static.xdf.cn/k12/image/externalized/1fe13229-0621-4022-b432-d6e9366bdf54.png</x:v>
      </x:c>
      <x:c r="O384" s="63" t="str">
        <x:v>https://k12static.xdf.cn/k12/image/externalized/dc97887f-4804-4a21-9a36-45af20479adb.png</x:v>
      </x:c>
      <x:c r="P384" s="63" t="str">
        <x:v>3-5步</x:v>
      </x:c>
      <x:c r="Q384" s="63" t="str">
        <x:v>概念判断</x:v>
      </x:c>
      <x:c r="R384" s="63" t="str">
        <x:v>单状态</x:v>
      </x:c>
      <x:c r="S384" s="63" t="str">
        <x:v>单一约束</x:v>
      </x:c>
      <x:c r="T384" s="63" t="str">
        <x:v>无</x:v>
      </x:c>
      <x:c r="U384" s="63" t="str">
        <x:v>无</x:v>
      </x:c>
      <x:c r="V384" s="63" t="str">
        <x:v>多层因果推理</x:v>
      </x:c>
    </x:row>
    <x:row r="385">
      <x:c r="A385" s="64" t="str">
        <x:v>​2817150884467482624</x:v>
      </x:c>
      <x:c r="B385" s="65" t="str">
        <x:v>拔高题</x:v>
      </x:c>
      <x:c r="C385" s="65" t="str">
        <x:v>拔高题</x:v>
      </x:c>
      <x:c r="D385" s="65" t="str">
        <x:v>拔高题</x:v>
      </x:c>
      <x:c r="E385" s="65" t="str">
        <x:v>逐题复核后保留GPT裁定</x:v>
      </x:c>
      <x:c r="F385" s="65" t="str">
        <x:v>高</x:v>
      </x:c>
      <x:c r="G385" s="65" t="str">
        <x:v>拔高题</x:v>
      </x:c>
      <x:c r="H385" s="65" t="str">
        <x:v>拔高题</x:v>
      </x:c>
      <x:c r="I385" s="65" t="str">
        <x:v>存在决定性反推/等效/误差/几何转换，或同一装置中的5—6步高密度综合链。 题目证据：最长连续链包含4个有效物理决策：先根据额定电压功率比较两灯电阻大小，再逐个分析四个选项的电路结构判断两灯能否正常发光，最后比较C、D两个可行电路的总电流，结合P=UI判断总功率大小。五维中知识量为串联分压、并联电阻特点、电功率公式三个关联知识点综合，过程对象为四个不同结构的电路，需要分别识别模型、判断正常发光条件，最后比较总功率，思维层次属于应用分析，过程/对象和思维层次达到拔高题的标准，数学工具仅为简单比较和公式应用，不额外增难。核心任务是先筛选可行电路再比较功率，属于常规分析后的决定性比较筛选。</x:v>
      </x:c>
      <x:c r="J385" s="65" t="str">
        <x:v>三次运行错题并集逐题复核</x:v>
      </x:c>
      <x:c r="K385" s="63" t="str">
        <x:v>额定电压都是110V，额定功率PA=100W、PB=40W的电灯两盏，若接在电压是220V的电路上，使两盏电灯均能正常发光，且电路中消耗功率最小的电路是图中的哪一个（ ）</x:v>
      </x:c>
      <x:c r="L385" s="63" t="str"/>
      <x:c r="M385" s="63" t="str">
        <x:v>解：由题知，两灯泡额定电压相等，A灯泡的额定功率较大，由P=$\frac{{U}^{2}}{R}$可知，A灯泡的电阻较小，即RB＞RA。 A、图中灯泡A和B串联在220V的电源上，由串联电路的分压特点可知，两灯泡两端的电压均不等于110V，所以都不能正常工作，故A不符合题意； B、图中灯泡A和可变电阻R并联后又和灯泡B串联，由并联电路中电阻越并越小、小于任何一个分电阻可知，B灯泡的电阻一定大于并联部分的总电阻，由串联电路的分压特点可知，两灯泡两端的电压均不等于110V，所以都不能正常工作，故B不符合题意； C、图中灯泡B和可变电阻R并联后又和灯泡A串联，由电阻的并联可知，可变电阻调节合适时可以使并联部分的电阻和灯泡A的电阻相等，即两灯泡可以同时正常发光； D、图中灯泡A和灯泡B并联后又与可变电阻R串联，当可变电阻的阻值和两灯泡并联的电阻相等时它们可以同时发光； 由并联电路中干路电流等于各支路电流之和可知，C中电路的总电流为A灯泡的额定电流，D中电路的总电流等于A和B两灯泡的额定电流之和，由P=UI可知，C中电路消耗的功率最小。 故选：C。</x:v>
      </x:c>
      <x:c r="N385" s="63" t="str">
        <x:v>https://k12static.xdf.cn/k12/image/externalized/6459e32b-cd9f-4821-b5ae-df106f8dd848.png</x:v>
      </x:c>
      <x:c r="O385" s="63" t="str">
        <x:v>https://k12static.xdf.cn/k12/image/externalized/9396b294-148f-4a25-bf99-f7a7473e2d8f.png</x:v>
      </x:c>
      <x:c r="P385" s="63" t="str">
        <x:v>3-5步</x:v>
      </x:c>
      <x:c r="Q385" s="63" t="str">
        <x:v>电路综合</x:v>
      </x:c>
      <x:c r="R385" s="63" t="str">
        <x:v>多状态</x:v>
      </x:c>
      <x:c r="S385" s="63" t="str">
        <x:v>单一约束</x:v>
      </x:c>
      <x:c r="T385" s="63" t="str">
        <x:v>无</x:v>
      </x:c>
      <x:c r="U385" s="63" t="str">
        <x:v>无</x:v>
      </x:c>
      <x:c r="V385" s="63" t="str">
        <x:v>多层因果推理</x:v>
      </x:c>
    </x:row>
    <x:row r="386">
      <x:c r="A386" s="64" t="str">
        <x:v>​2821183817673183232</x:v>
      </x:c>
      <x:c r="B386" s="65" t="str">
        <x:v>拔高题</x:v>
      </x:c>
      <x:c r="C386" s="65" t="str">
        <x:v>拔高题</x:v>
      </x:c>
      <x:c r="D386" s="65" t="str">
        <x:v>拔高题</x:v>
      </x:c>
      <x:c r="E386" s="65" t="str">
        <x:v>逐题复核后保留GPT裁定</x:v>
      </x:c>
      <x:c r="F386" s="65" t="str">
        <x:v>高</x:v>
      </x:c>
      <x:c r="G386" s="65" t="str">
        <x:v>拔高题</x:v>
      </x:c>
      <x:c r="H386" s="65" t="str">
        <x:v>拔高题</x:v>
      </x:c>
      <x:c r="I386" s="65" t="str">
        <x:v>最高难任务在图表信息提取与关系反推中包含图线反推、状态转换、误差评价、几何/等效转换、方程联立或参数反求等决定性卡点，整体约5—6个有效决策；尚未形成压轴所需的完整复杂约束网络。</x:v>
      </x:c>
      <x:c r="J386" s="65" t="str">
        <x:v>三次运行错题并集逐题复核</x:v>
      </x:c>
      <x:c r="K386" s="63" t="str">
        <x:v>弹簧测力计下挂一长方体物体，将物体从盛有适量水的烧杯上方离水面某一高度处缓缓下降，然后将其逐渐浸入水中如图甲；图乙是弹簧测力计示数F与物体下降高度h变化关系的图像，则下列说法中正确的是（ ）</x:v>
      </x:c>
      <x:c r="L386" s="63" t="str">
        <x:v>A. 物体的体积是400cm3 B. 物体受到的最大浮力是5N C. 物体的密度是2.25g/cm3 D. 物体刚浸没时下表面受到水的压强是400Pa</x:v>
      </x:c>
      <x:c r="M386" s="63" t="str">
        <x:v>B．由图乙可知，当物体没有接触水时，弹簧测力计的示数为物体的重力，即物体的重力为9N，当物体完全浸没时，拉力为5N，完全浸没时，受力分析可知，浮力加拉力等于重力，则浮力F浮=G-F=9N-5N=4N此时物体完全浸没，所以浮力最大，故B错误；A．由F浮=ρ液gV排得，物体排开液体的体积是物体的体积，即$V_{\mathrm 排}=\dfrac{F_{\mathrm 浮}}{\rho_{\mathrm 液}g}=\dfrac{4\mathrm N}{1.0\times10^3\mathrm{kg}/\mathrm m^3\times10\mathrm N/\mathrm{kg}}=4\times10^{-4}\mathrm m^3=400\mathrm{cm}^3$故A正确；C．物体的重力为9N，则物体的质量$m=\dfrac Gg=\dfrac{9\mathrm N}{10\mathrm N/\mathrm{kg}}=0.9\mathrm{kg}$物体的体积为4×10-4m3，则物体的密度$\rho=\dfrac mV=\dfrac{0.9\mathrm{kg}}{4\times10^{-4}\mathrm m^3}=2.25\times10^3\mathrm{kg}/\mathrm m^3=2.25\mathrm g/\mathrm{cm}^3$故C正确；D．由图像可知，长方体物体在刚浸没时，下表面所处的深度为h=8cm-4cm=4cm=0.04m因此受到的液体压强p=ρ水gh=1.0×103kg/m3×10N/kg×0.04m=400Pa故D正确。故选ACD。</x:v>
      </x:c>
      <x:c r="N386" s="63" t="str">
        <x:v>https://k12static.xdf.cn/k12/image/externalized/89a1faca-6856-4a18-bdc7-b8c8cc970163.png</x:v>
      </x:c>
      <x:c r="O386" s="63" t="str">
        <x:v>https://k12static.xdf.cn/k12/image/externalized/09f8fb20-5b17-4ba4-8bdf-f118dec5531e.png</x:v>
      </x:c>
      <x:c r="P386" s="63" t="str">
        <x:v>3-5步</x:v>
      </x:c>
      <x:c r="Q386" s="63" t="str">
        <x:v>力学综合</x:v>
      </x:c>
      <x:c r="R386" s="63" t="str">
        <x:v>双状态</x:v>
      </x:c>
      <x:c r="S386" s="63" t="str">
        <x:v>单一约束</x:v>
      </x:c>
      <x:c r="T386" s="63" t="str">
        <x:v>无</x:v>
      </x:c>
      <x:c r="U386" s="63" t="str">
        <x:v>图像反推或外推</x:v>
      </x:c>
      <x:c r="V386" s="63" t="str">
        <x:v>多层因果推理</x:v>
      </x:c>
    </x:row>
    <x:row r="387">
      <x:c r="A387" s="64" t="str">
        <x:v>​2823189500425768960</x:v>
      </x:c>
      <x:c r="B387" s="65" t="str">
        <x:v>中等题</x:v>
      </x:c>
      <x:c r="C387" s="65" t="str">
        <x:v>中等题</x:v>
      </x:c>
      <x:c r="D387" s="65" t="str">
        <x:v>中等题</x:v>
      </x:c>
      <x:c r="E387" s="65" t="str">
        <x:v>保留原GPT裁定</x:v>
      </x:c>
      <x:c r="F387" s="65" t="str">
        <x:v>高</x:v>
      </x:c>
      <x:c r="G387" s="65" t="str">
        <x:v>基础题</x:v>
      </x:c>
      <x:c r="H387" s="65" t="str">
        <x:v>中等题</x:v>
      </x:c>
      <x:c r="I387" s="65" t="str">
        <x:v>题干、解析与结构证据支持中等题：step=3-5步，题型=电路综合，状态=双状态，约束=单一约束，推理=多层因果推理。教师、盲评和多次模型证据中未形成足以推翻原裁定的同向结构证据。</x:v>
      </x:c>
      <x:c r="J387" s="65" t="str">
        <x:v>未进入三次错题并集；逐题结构一致性复核</x:v>
      </x:c>
      <x:c r="K387" s="63" t="str">
        <x:v>“喝酒不开车，开车不喝酒”。酒精浓度检测仪中装有酒精气体传感器，这种传感器是一种气敏电阻，它的阻值随酒精气体浓度的增大而减小，从而引起电路中电流和电压的变化。如图所示，当酒精气体浓度增大时，下列说法正确的是（ ）</x:v>
      </x:c>
      <x:c r="L387" s="63" t="str">
        <x:v>A. 电压表的示数变大 B. 电流中的电流变小 C. 定值电阻R消耗的功率变小 D. 电路消耗的总功率不变</x:v>
      </x:c>
      <x:c r="M387" s="63" t="str">
        <x:v>解：由图可知，R与气敏电阻串联接入电路中，电压表与R并联，此酒精浓度检测仪通过电压表显示酒精浓度高低，当酒精气体浓度增大时： AB.当酒精气体浓度增大时，气敏电阻变小，电路中电流变大，定值电阻大小不变，所以定值电阻两端的电压变大，所以A正确，B错误； C.定值电阻R消耗的功率P=I2R，定值电阻不变，电流变大，所以定值电阻R消耗的功率变大，所以C错误； D.电路消耗的总功率P=UI，总电压不变，电流变大，所以电路消耗的总功率变大。 故答案为：A。</x:v>
      </x:c>
      <x:c r="N387" s="63" t="str">
        <x:v>https://k12static.xdf.cn/k12/image/externalized/36f32063-41ec-4dbe-aca9-e99788a94138.png</x:v>
      </x:c>
      <x:c r="O387" s="63" t="str">
        <x:v>https://k12static.xdf.cn/k12/image/externalized/06dc80bd-a4e0-4f46-b7d5-df049dcf503d.png</x:v>
      </x:c>
      <x:c r="P387" s="63" t="str">
        <x:v>3-5步</x:v>
      </x:c>
      <x:c r="Q387" s="63" t="str">
        <x:v>电路综合</x:v>
      </x:c>
      <x:c r="R387" s="63" t="str">
        <x:v>双状态</x:v>
      </x:c>
      <x:c r="S387" s="63" t="str">
        <x:v>单一约束</x:v>
      </x:c>
      <x:c r="T387" s="63" t="str">
        <x:v>无</x:v>
      </x:c>
      <x:c r="U387" s="63" t="str">
        <x:v>无</x:v>
      </x:c>
      <x:c r="V387" s="63" t="str">
        <x:v>多层因果推理</x:v>
      </x:c>
    </x:row>
    <x:row r="388">
      <x:c r="A388" s="64" t="str">
        <x:v>​2825067892872855552</x:v>
      </x:c>
      <x:c r="B388" s="65" t="str">
        <x:v>中等题</x:v>
      </x:c>
      <x:c r="C388" s="65" t="str">
        <x:v>中等题</x:v>
      </x:c>
      <x:c r="D388" s="65" t="str">
        <x:v>中等题</x:v>
      </x:c>
      <x:c r="E388" s="65" t="str">
        <x:v>保留原GPT裁定</x:v>
      </x:c>
      <x:c r="F388" s="65" t="str">
        <x:v>高</x:v>
      </x:c>
      <x:c r="G388" s="65" t="str">
        <x:v>基础题</x:v>
      </x:c>
      <x:c r="H388" s="65" t="str">
        <x:v>中等题</x:v>
      </x:c>
      <x:c r="I388" s="65" t="str">
        <x:v>题干、解析与结构证据支持中等题：step=3-5步，题型=实验探究，状态=单状态，约束=无约束，推理=多层因果推理。教师、盲评和多次模型证据中未形成足以推翻原裁定的同向结构证据。</x:v>
      </x:c>
      <x:c r="J388" s="65" t="str">
        <x:v>未进入三次错题并集；逐题结构一致性复核</x:v>
      </x:c>
      <x:c r="K388" s="63" t="str">
        <x:v>用天平测量物体质量时，测量前，若游码已经移到零刻度处，发现指针还是偏向分度盘的左边，如图1（a）所示，这时应调节 ，使其向 移动（选填“左”或“右”）。若在天平称量过程中发现指针偏向分度盘的左边，如图1（b）所示，这时接下来的操作是 ，使天平再次水平平衡。在“用天平和烧杯测量盐水质量”实验中，调节天平使其在水平位置平衡。先测出空烧杯的质量为m1，再将盐水倒入烧杯，测出烧杯和盐水的总质量为m2，天平此时示数如图2所示，请完成表格填写。实验序号m1(g)m2(g)盐水的质量（g）125 请指出该实验的不足之处 ；若烧杯中盐水结成冰其质量 （选填“变大”、“变小”或“不变”），若盘中50g的砝码磨损了一点，测得的盐水的质量偏 。</x:v>
      </x:c>
      <x:c r="L388" s="63" t="str"/>
      <x:c r="M388" s="63" t="str">
        <x:v>[1][2]由题意可知，将游码移到横梁标尺左端零刻度线后，指针向左偏，接下来应将平衡螺母向右调节使指针指在中央刻线。[3]若放上物体与砝码后，发现指针偏向分度盘的左边，说明左侧质量大，这时应向右移动游码或增加砝码，直到指针指在中央刻线为止。[4]如图2，烧杯和盐水的总质量为m2=100g+50g+2.4g=152.4g[5]盐水的质量为m=m2-m1=152.4g-25g=127.4g[6]将盐水倒入烧杯时，没将烧杯从天平上取下再倒入盐水，应取下烧杯，倒入盐水后再放在左盘进行称量。[7]质量是物质的一种属性，与物体的温度、形状、状态等无关，故盐水结成冰质量不变。[8]若盘中50g的砝码磨损了一点，砝码的示数大于砝码的实际质量，会测得的盐水质量相比实际值偏大。</x:v>
      </x:c>
      <x:c r="N388" s="63" t="str">
        <x:v>https://k12static.xdf.cn/k12/image/externalized/1fdf203c-55db-4ef5-ac9a-93f50cbb2de8.png</x:v>
      </x:c>
      <x:c r="O388" s="63" t="str">
        <x:v>https://k12static.xdf.cn/k12/image/externalized/4743d6da-a995-4840-b1a3-5d487c8e4fdb.png</x:v>
      </x:c>
      <x:c r="P388" s="63" t="str">
        <x:v>3-5步</x:v>
      </x:c>
      <x:c r="Q388" s="63" t="str">
        <x:v>实验探究</x:v>
      </x:c>
      <x:c r="R388" s="63" t="str">
        <x:v>单状态</x:v>
      </x:c>
      <x:c r="S388" s="63" t="str">
        <x:v>无约束</x:v>
      </x:c>
      <x:c r="T388" s="63" t="str">
        <x:v>控制变量或故障分析</x:v>
      </x:c>
      <x:c r="U388" s="63" t="str">
        <x:v>直接读数</x:v>
      </x:c>
      <x:c r="V388" s="63" t="str">
        <x:v>多层因果推理</x:v>
      </x:c>
    </x:row>
    <x:row r="389">
      <x:c r="A389" s="64" t="str">
        <x:v>​2826838632834584576</x:v>
      </x:c>
      <x:c r="B389" s="65" t="str">
        <x:v>中等题</x:v>
      </x:c>
      <x:c r="C389" s="65" t="str">
        <x:v>中等题</x:v>
      </x:c>
      <x:c r="D389" s="65" t="str">
        <x:v>中等题</x:v>
      </x:c>
      <x:c r="E389" s="65" t="str">
        <x:v>逐题复核后保留GPT裁定</x:v>
      </x:c>
      <x:c r="F389" s="65" t="str">
        <x:v>高</x:v>
      </x:c>
      <x:c r="G389" s="65" t="str">
        <x:v>中等题</x:v>
      </x:c>
      <x:c r="H389" s="65" t="str">
        <x:v>中等题</x:v>
      </x:c>
      <x:c r="I389" s="65" t="str">
        <x:v>需要围绕标准实验流程、读数与数据归纳完成常规的3—4个有效决策，或完成一套完整标准实验/共享过程分析。关系仍显性、方法常规，没有决定性隐含转换、复杂边界筛选或多状态强耦合。</x:v>
      </x:c>
      <x:c r="J389" s="65" t="str">
        <x:v>三次运行错题并集逐题复核</x:v>
      </x:c>
      <x:c r="K389" s="63" t="str">
        <x:v>关于如图所示的托里拆利实验，下列说法正确的是（ ）</x:v>
      </x:c>
      <x:c r="L389" s="63" t="str">
        <x:v>A. 若继续向水银槽内加水银，玻璃管内水银面将不变 B. 玻璃管倾斜放置时，玻璃管内的水银柱会变长 C. 若玻璃管上端有少量气体，水银柱高度差将大于76mm D. 将此装置从地面移至山顶，玻璃管内的水银面会上升</x:v>
      </x:c>
      <x:c r="M389" s="63" t="str">
        <x:v>解： A、往水银槽加水银、既不能改变大气压的大小，又不能改变水银柱的压强，故都不能使管内外高度差变化，槽内水银面升高，玻璃管内的水银面也升高，故A错误； B、将玻璃管倾斜一些角度，不能改变大气压的大小，不能改变水银柱的压强，不能使管内外高度差变化，玻璃管内的水银柱会变长，故B正确； C、如果管中进了些空气，少量的空气产生的压强+水银柱产生的压强=外界大气压，所以结果会偏小，故C错误； D、把实验移到高山上去做，高山上大气压小，能支持的水银柱高度也就变小，玻璃管内的水银面会下降，故D错误。 故选：B。</x:v>
      </x:c>
      <x:c r="N389" s="63" t="str">
        <x:v>https://k12static.xdf.cn/k12/image/externalized/36fd1c42-08a7-460a-8566-076b550c09d1.png</x:v>
      </x:c>
      <x:c r="O389" s="63" t="str">
        <x:v>https://k12static.xdf.cn/k12/image/externalized/4bc2ff68-b521-451d-9312-0a87410006c8.png</x:v>
      </x:c>
      <x:c r="P389" s="63" t="str">
        <x:v>1-2步</x:v>
      </x:c>
      <x:c r="Q389" s="63" t="str">
        <x:v>概念判断</x:v>
      </x:c>
      <x:c r="R389" s="63" t="str">
        <x:v>单状态</x:v>
      </x:c>
      <x:c r="S389" s="63" t="str">
        <x:v>无约束</x:v>
      </x:c>
      <x:c r="T389" s="63" t="str">
        <x:v>控制变量或故障分析</x:v>
      </x:c>
      <x:c r="U389" s="63" t="str">
        <x:v>无</x:v>
      </x:c>
      <x:c r="V389" s="63" t="str">
        <x:v>多层因果推理</x:v>
      </x:c>
    </x:row>
    <x:row r="390">
      <x:c r="A390" s="64" t="str">
        <x:v>​2829528587809890304</x:v>
      </x:c>
      <x:c r="B390" s="65" t="str">
        <x:v>基础题</x:v>
      </x:c>
      <x:c r="C390" s="65" t="str">
        <x:v>基础题</x:v>
      </x:c>
      <x:c r="D390" s="65" t="str">
        <x:v>基础题</x:v>
      </x:c>
      <x:c r="E390" s="65" t="str">
        <x:v>保留原GPT裁定</x:v>
      </x:c>
      <x:c r="F390" s="65" t="str">
        <x:v>中</x:v>
      </x:c>
      <x:c r="G390" s="65" t="str">
        <x:v>基础题</x:v>
      </x:c>
      <x:c r="H390" s="65" t="str">
        <x:v>送分题</x:v>
      </x:c>
      <x:c r="I390" s="65" t="str">
        <x:v>题干、解析与结构证据支持基础题：step=1-2步，题型=概念判断，状态=单状态，约束=无约束，推理=简单因果推理。教师、盲评和多次模型证据中未形成足以推翻原裁定的同向结构证据。</x:v>
      </x:c>
      <x:c r="J390" s="65" t="str">
        <x:v>未进入三次错题并集；逐题结构一致性复核</x:v>
      </x:c>
      <x:c r="K390" s="63" t="str">
        <x:v>我国未来的航母将采用自行研制的电磁弹射器。电磁弹射器的弹射车与飞机前轮连接，并处于强磁场中，当弹射车内的导体通以强电流时，舰载机受到强大的推力而快速起飞。电磁弹射器工作原理与下列设备或用电器工作原理一致的是（ ）</x:v>
      </x:c>
      <x:c r="L390" s="63" t="str">
        <x:v>A. 电铃 B. 手摇发电机 C. 电风扇 D. 电磁起重机</x:v>
      </x:c>
      <x:c r="M390" s="63" t="str">
        <x:v>解：由题意可知，电磁弹射器的弹射车与飞机前轮连接，并处于强磁场中，当弹射车内的导体通以强电流时，即可受到强大的推力，由此可知其原理是通电导体在磁场中受力而运动。 A、电铃是利用电磁继电器来工作的，故A不符合题意； B、发电机的工作原理是电磁感应现象，故B不符合题意； C、电风扇的主要部件是电动机，是利用通电导体在磁场中受力而运动的原理工作的，故C符合题意； D、电磁起重机是利用电磁铁工作的，故D不符合题意。 故选：C。</x:v>
      </x:c>
      <x:c r="N390" s="63" t="str">
        <x:v>https://k12static.xdf.cn/k12/image/externalized/7663afc4-2a6e-49e6-9d67-f341a62099b8.png</x:v>
      </x:c>
      <x:c r="O390" s="63" t="str">
        <x:v>https://k12static.xdf.cn/k12/image/externalized/8786ea0f-4e2b-4155-929d-c3cecac3642e.png</x:v>
      </x:c>
      <x:c r="P390" s="63" t="str">
        <x:v>1-2步</x:v>
      </x:c>
      <x:c r="Q390" s="63" t="str">
        <x:v>概念判断</x:v>
      </x:c>
      <x:c r="R390" s="63" t="str">
        <x:v>单状态</x:v>
      </x:c>
      <x:c r="S390" s="63" t="str">
        <x:v>无约束</x:v>
      </x:c>
      <x:c r="T390" s="63" t="str">
        <x:v>无</x:v>
      </x:c>
      <x:c r="U390" s="63" t="str">
        <x:v>无</x:v>
      </x:c>
      <x:c r="V390" s="63" t="str">
        <x:v>简单因果推理</x:v>
      </x:c>
    </x:row>
    <x:row r="391">
      <x:c r="A391" s="64" t="str">
        <x:v>​2829550662548987904</x:v>
      </x:c>
      <x:c r="B391" s="65" t="str">
        <x:v>基础题</x:v>
      </x:c>
      <x:c r="C391" s="65" t="str">
        <x:v>基础题</x:v>
      </x:c>
      <x:c r="D391" s="65" t="str">
        <x:v>基础题</x:v>
      </x:c>
      <x:c r="E391" s="65" t="str">
        <x:v>保留原GPT裁定</x:v>
      </x:c>
      <x:c r="F391" s="65" t="str">
        <x:v>高</x:v>
      </x:c>
      <x:c r="G391" s="65" t="str">
        <x:v>送分题</x:v>
      </x:c>
      <x:c r="H391" s="65" t="str">
        <x:v>基础题</x:v>
      </x:c>
      <x:c r="I391" s="65" t="str">
        <x:v>题干、解析与结构证据支持基础题：step=1-2步，题型=概念判断，状态=单状态，约束=无约束，推理=直接套用。教师、盲评和多次模型证据中未形成足以推翻原裁定的同向结构证据。</x:v>
      </x:c>
      <x:c r="J391" s="65" t="str">
        <x:v>未进入三次错题并集；逐题结构一致性复核</x:v>
      </x:c>
      <x:c r="K391" s="63" t="str">
        <x:v>下列关于材料、技术及能源的说法中正确的是（ ）</x:v>
      </x:c>
      <x:c r="L391" s="63" t="str">
        <x:v>A. 核电站是利用核聚变释放出的能量来发电的 B. 超导体可应用于电饭锅和电动机 C. 我国的北斗卫星定位系统是利用超声波来传递信号 D. 微波同其他频率的电磁波一样，过量的照射对人体有害</x:v>
      </x:c>
      <x:c r="M391" s="63" t="str">
        <x:v>解：A、核电站是利用核裂变来释放能量的，不是利用核聚变，故A错误； B、超导体不具有热效应，而电饭锅是利用电流热效应工作的，因此不可应用于电饭锅上，故B错误； C、卫星接收和发送信号要靠电磁波传递，我国的北斗卫星定位系统也是利用电磁波来传递信号的，故C错误； D、微波同其它频率的电磁波一样，过量的照射对人体有害，故D正确。 故选：D。</x:v>
      </x:c>
      <x:c r="N391" s="63" t="str">
        <x:v>https://k12static.xdf.cn/k12/image/externalized/aebd2de5-1edb-44f5-9f69-24c46ba5c844.png</x:v>
      </x:c>
      <x:c r="O391" s="63" t="str">
        <x:v>https://k12static.xdf.cn/k12/image/externalized/b4e61fba-4561-46fc-88c0-867b51c157c9.png</x:v>
      </x:c>
      <x:c r="P391" s="63" t="str">
        <x:v>1-2步</x:v>
      </x:c>
      <x:c r="Q391" s="63" t="str">
        <x:v>概念判断</x:v>
      </x:c>
      <x:c r="R391" s="63" t="str">
        <x:v>单状态</x:v>
      </x:c>
      <x:c r="S391" s="63" t="str">
        <x:v>无约束</x:v>
      </x:c>
      <x:c r="T391" s="63" t="str">
        <x:v>无</x:v>
      </x:c>
      <x:c r="U391" s="63" t="str">
        <x:v>无</x:v>
      </x:c>
      <x:c r="V391" s="63" t="str">
        <x:v>直接套用</x:v>
      </x:c>
    </x:row>
    <x:row r="392">
      <x:c r="A392" s="64" t="str">
        <x:v>​2829564255228760064</x:v>
      </x:c>
      <x:c r="B392" s="65" t="str">
        <x:v>基础题</x:v>
      </x:c>
      <x:c r="C392" s="65" t="str">
        <x:v>基础题</x:v>
      </x:c>
      <x:c r="D392" s="65" t="str">
        <x:v>基础题</x:v>
      </x:c>
      <x:c r="E392" s="65" t="str">
        <x:v>保留原GPT裁定</x:v>
      </x:c>
      <x:c r="F392" s="65" t="str">
        <x:v>高</x:v>
      </x:c>
      <x:c r="G392" s="65" t="str">
        <x:v>送分题</x:v>
      </x:c>
      <x:c r="H392" s="65" t="str">
        <x:v>基础题</x:v>
      </x:c>
      <x:c r="I392" s="65" t="str">
        <x:v>题干、解析与结构证据支持基础题：step=1-2步，题型=概念判断，状态=单状态，约束=无约束，推理=简单因果推理。教师、盲评和多次模型证据中未形成足以推翻原裁定的同向结构证据。</x:v>
      </x:c>
      <x:c r="J392" s="65" t="str">
        <x:v>未进入三次错题并集；逐题结构一致性复核</x:v>
      </x:c>
      <x:c r="K392" s="63" t="str">
        <x:v>下列关于材料、能源和能量的说法正确的是（ ）</x:v>
      </x:c>
      <x:c r="L392" s="63" t="str">
        <x:v>A. 超导材料可用于任何电器来提高效率 B. 太阳能、天然气、地热能既是新能源，也是可再生能源 C. 新能源汽车实现了“零排放”，其电动机的能量转化效率可达100% D. 中国“人造太阳”——大型核实验装置“东方超环”反应原理是核聚变</x:v>
      </x:c>
      <x:c r="M392" s="63" t="str">
        <x:v>解：A、“超导材料”由于没有电阻，不能用于电能转化为内能的电器，例如电饭锅、电水壶等，故A错误； B、太阳能、地热能，可以从自然界不断地得到，所以它们属于可再生能源，也是新能源，天然气是不可再生能源，故B错误； C、目前有些新能源汽车，实现了“零排放”，减少了污染，提高了效率，但效率不会达到100%，故C错误； D、东方超环的热核反应，属于核聚变，故D正确。 故选：D。</x:v>
      </x:c>
      <x:c r="N392" s="63" t="str">
        <x:v>https://k12static.xdf.cn/k12/image/externalized/df535613-0f9c-4a6f-87b6-3f7fbe93192f.png</x:v>
      </x:c>
      <x:c r="O392" s="63" t="str">
        <x:v>https://k12static.xdf.cn/k12/image/externalized/3f7c83e1-7917-49d1-bd13-53bab44e9bbc.png</x:v>
      </x:c>
      <x:c r="P392" s="63" t="str">
        <x:v>1-2步</x:v>
      </x:c>
      <x:c r="Q392" s="63" t="str">
        <x:v>概念判断</x:v>
      </x:c>
      <x:c r="R392" s="63" t="str">
        <x:v>单状态</x:v>
      </x:c>
      <x:c r="S392" s="63" t="str">
        <x:v>无约束</x:v>
      </x:c>
      <x:c r="T392" s="63" t="str">
        <x:v>无</x:v>
      </x:c>
      <x:c r="U392" s="63" t="str">
        <x:v>无</x:v>
      </x:c>
      <x:c r="V392" s="63" t="str">
        <x:v>简单因果推理</x:v>
      </x:c>
    </x:row>
    <x:row r="393">
      <x:c r="A393" s="64" t="str">
        <x:v>​2835338686408982528</x:v>
      </x:c>
      <x:c r="B393" s="65" t="str">
        <x:v>中等题</x:v>
      </x:c>
      <x:c r="C393" s="65" t="str">
        <x:v>中等题</x:v>
      </x:c>
      <x:c r="D393" s="65" t="str">
        <x:v>中等题</x:v>
      </x:c>
      <x:c r="E393" s="65" t="str">
        <x:v>逐题复核后保留GPT裁定</x:v>
      </x:c>
      <x:c r="F393" s="65" t="str">
        <x:v>高</x:v>
      </x:c>
      <x:c r="G393" s="65" t="str">
        <x:v>中等题</x:v>
      </x:c>
      <x:c r="H393" s="65" t="str">
        <x:v>中等题</x:v>
      </x:c>
      <x:c r="I393" s="65" t="str">
        <x:v>存在约3—4步常规连续分析、共享过程或完整标准实验任务，关系仍显性。 题目证据：最高难选项实际有效物理决策约3步，五维中知识量为2个关联知识点（二力平衡、整体法受力分析），过程对象为多物体单状态，数学工具无复杂运算，情境为常规静力学分析，思维层次为常规分析。任务分为两步：先隔离M受力分析得到M与N间摩擦力，再将MN整体分析得到地面摩擦力，属于多对象分层受力的常规分析。</x:v>
      </x:c>
      <x:c r="J393" s="65" t="str">
        <x:v>三次运行错题并集逐题复核</x:v>
      </x:c>
      <x:c r="K393" s="63" t="str">
        <x:v>如图，M、N两个物体叠放在水平面上保持静止，同时有F=10N的两个水平力分别作用于M、N两物体上，下列分析正确的是（ ）</x:v>
      </x:c>
      <x:c r="L393" s="63" t="str">
        <x:v>A. M和N之间摩擦力为20N B. 地面对N的摩擦力为0N C. 地面对N的摩擦力为10N，方向水平向左 D. 地面对N的摩擦力为10N，方向水平向右</x:v>
      </x:c>
      <x:c r="M393" s="63" t="str">
        <x:v>解：A、M处于静止状态，M在水平方向上受水平向左的拉力F和N对M向右的静摩擦力，M受到的这两个力是平衡力，大小相等，所以M和N之间摩擦力为f=F=10N，故A错误； BCD、把MN看成一个整体，处于静止状态，受到平衡力的作用，在水平方向上受向左的拉力F和向右的拉力F，由于两个拉力大小相等，所以整体在水平方向上只受两个拉力，则地面对N没有摩擦力，故B正确，CD错误。 故选：B。</x:v>
      </x:c>
      <x:c r="N393" s="63" t="str">
        <x:v>https://k12static.xdf.cn/k12/image/externalized/d2196722-c829-46b6-bb81-cbbde1ca5e2f.png</x:v>
      </x:c>
      <x:c r="O393" s="63" t="str">
        <x:v>https://k12static.xdf.cn/k12/image/externalized/1003d160-7eef-4aba-9fa4-577accb3e4e6.png</x:v>
      </x:c>
      <x:c r="P393" s="63" t="str">
        <x:v>3-5步</x:v>
      </x:c>
      <x:c r="Q393" s="63" t="str">
        <x:v>力学综合</x:v>
      </x:c>
      <x:c r="R393" s="63" t="str">
        <x:v>单状态</x:v>
      </x:c>
      <x:c r="S393" s="63" t="str">
        <x:v>单一约束</x:v>
      </x:c>
      <x:c r="T393" s="63" t="str">
        <x:v>无</x:v>
      </x:c>
      <x:c r="U393" s="63" t="str">
        <x:v>无</x:v>
      </x:c>
      <x:c r="V393" s="63" t="str">
        <x:v>多层因果推理</x:v>
      </x:c>
    </x:row>
    <x:row r="394">
      <x:c r="A394" s="64" t="str">
        <x:v>​2838222296107253760</x:v>
      </x:c>
      <x:c r="B394" s="65" t="str">
        <x:v>压轴题</x:v>
      </x:c>
      <x:c r="C394" s="65" t="str">
        <x:v>压轴题</x:v>
      </x:c>
      <x:c r="D394" s="65" t="str">
        <x:v>压轴题</x:v>
      </x:c>
      <x:c r="E394" s="65" t="str">
        <x:v>保留原GPT裁定</x:v>
      </x:c>
      <x:c r="F394" s="65" t="str">
        <x:v>高</x:v>
      </x:c>
      <x:c r="G394" s="65" t="str">
        <x:v>压轴题</x:v>
      </x:c>
      <x:c r="H394" s="65" t="str">
        <x:v>压轴题</x:v>
      </x:c>
      <x:c r="I394" s="65" t="str">
        <x:v>题干、解析与结构证据支持压轴题：step=6-8步，题型=电路综合，状态=多状态，约束=多约束，推理=逆向推理或临界分析。教师、盲评和多次模型证据中未形成足以推翻原裁定的同向结构证据。</x:v>
      </x:c>
      <x:c r="J394" s="65" t="str">
        <x:v>未进入三次错题并集；逐题结构一致性复核</x:v>
      </x:c>
      <x:c r="K394" s="63" t="str">
        <x:v>小灯泡L1和L2额定电压分别为3V和6V，将它们连接到如图甲所示的电源电压可调的电路中，其中通过L2的电流与电压的关系如图乙所示。当闭合开关 S1、S2，断开S3，将滑片P置于最左端时，一只小灯泡正常发光，电源输出电流为1.4A；当闭合S3，断开S1、S2，将滑片P置于最右端时，也有一只小灯泡正常发光，且L2的电阻与变阻器连入电路中的电阻之比为R2∶R=1∶3（1）L2正常工作时的额定功率；（2）L1正常工作时的电流；（3）当 L1与 L2串联时，在一只小灯泡正常发光的条件下，求出电源电压的调节范围。</x:v>
      </x:c>
      <x:c r="L394" s="63" t="str"/>
      <x:c r="M394" s="63" t="str">
        <x:v>解：（1）L2正常工作时的电压U2额=6V，由图乙可知通过灯泡的电流I2额=1A，L2正常工作时的额定功率P2= U2额I2额=6V×1A=6W（2）闭合开关S1、S2，断开S3，滑片P置于最左端时，L1和L2并联，因并联电路中各支路两端的电压相同，且U1额＜U2额，所以，L1正常发光，此时电源的电压U=3V，由图乙可知，此时通过L2的电流I2=0.8A，因并联电路中干路电流等于各支路电流之和，所以，L1正常工作时的电流I1=I-I2=1.4A-0.8A=0.6A（3）若考虑L1和L2串联，因串联电路中各处的电流相等，且灯泡L2的额定电流大于灯泡L1的额定电流，所以，正常发光灯泡是L1，电路的电流I′=0.6A，当滑片P置于最左端时，电源的电压最小，由图可知，此时灯泡L2两端的电压U2=2V，因串联电路中总电压等于各分电压之和，所以，电源的最小电压Umin=U1+U2=3V+2V=5V当滑片P置于最右端时，电源的电压最大，由图可知，此时灯泡L2两端的电压U2=2V，由U=IR和R2：R=1：3可得，L2两端的电压与变阻器两端的电压之比$\dfrac{U_{\mathrm{R}}}{U_{2}}=\dfrac{IR}{IR_{2}}=\dfrac{R}{R_{2}}=\dfrac{3}{1}$则滑动变阻器两端的电压UR=3U2=3×2V=6V则电源的最大电压Umax=U1+U2+UR=3V+2V+6V=11V所以，电源电压调节范围为5~11V。答：（1）L2正常工作时的额定功率6W；（2）L1正常工作时的电流0.6A；（3）电源电压调节范围为5~11V。</x:v>
      </x:c>
      <x:c r="N394" s="63" t="str">
        <x:v>https://k12static.xdf.cn/k12/image/externalized/e5899a07-c48a-4f7a-867c-3d124a94d060.png</x:v>
      </x:c>
      <x:c r="O394" s="63" t="str">
        <x:v>https://k12static.xdf.cn/k12/image/externalized/fa845998-56ab-48f4-aff4-e59c14265c3f.png</x:v>
      </x:c>
      <x:c r="P394" s="63" t="str">
        <x:v>6-8步</x:v>
      </x:c>
      <x:c r="Q394" s="63" t="str">
        <x:v>电路综合</x:v>
      </x:c>
      <x:c r="R394" s="63" t="str">
        <x:v>多状态</x:v>
      </x:c>
      <x:c r="S394" s="63" t="str">
        <x:v>多约束</x:v>
      </x:c>
      <x:c r="T394" s="63" t="str">
        <x:v>无</x:v>
      </x:c>
      <x:c r="U394" s="63" t="str">
        <x:v>图像反推或外推</x:v>
      </x:c>
      <x:c r="V394" s="63" t="str">
        <x:v>逆向推理或临界分析</x:v>
      </x:c>
    </x:row>
    <x:row r="395">
      <x:c r="A395" s="64" t="str">
        <x:v>​2839228721686966272</x:v>
      </x:c>
      <x:c r="B395" s="65" t="str">
        <x:v>拔高题</x:v>
      </x:c>
      <x:c r="C395" s="65" t="str">
        <x:v>拔高题</x:v>
      </x:c>
      <x:c r="D395" s="65" t="str">
        <x:v>拔高题</x:v>
      </x:c>
      <x:c r="E395" s="65" t="str">
        <x:v>逐题复核后保留GPT裁定</x:v>
      </x:c>
      <x:c r="F395" s="65" t="str">
        <x:v>高</x:v>
      </x:c>
      <x:c r="G395" s="65" t="str">
        <x:v>拔高题</x:v>
      </x:c>
      <x:c r="H395" s="65" t="str">
        <x:v>拔高题</x:v>
      </x:c>
      <x:c r="I395" s="65" t="str">
        <x:v>最高难任务在图表信息提取与关系反推中包含图线反推、状态转换、误差评价、几何/等效转换、方程联立或参数反求等决定性卡点，整体约5—6个有效决策；尚未形成压轴所需的完整复杂约束网络。</x:v>
      </x:c>
      <x:c r="J395" s="65" t="str">
        <x:v>三次运行错题并集逐题复核</x:v>
      </x:c>
      <x:c r="K395" s="63" t="str">
        <x:v>如图甲所示，静止在水平面上的物块，受水平拉力F作用，F随时间t的变化关系如图乙所示。从t=0s开始，小兵每隔2s记录的物块位置和时刻如图丙所示，下列说法正确的是（ ）</x:v>
      </x:c>
      <x:c r="L395" s="63" t="str">
        <x:v>A. 0～4s内，物块受到滑动摩擦力 B. 6～10s内，物块受到的合力为2N C. 8～10s内，物块受到的摩擦力为6N D. t=10s时，物块的速度一定小于5m/s</x:v>
      </x:c>
      <x:c r="M395" s="63" t="str">
        <x:v>解： 由图丙知，在12s～18s时间内物体在相同时间内通过的路程相等，物块做匀速直线运动，物块受到的摩擦力为滑动摩擦力，物块受到平衡力的作用，由图乙知，此时的滑动摩擦力f=F=4N， A、由图乙知，0～4s内，物体受到的拉力F'=2N，小于滑动摩擦力，所以，此时物体应处于静止状态，物体所受静摩擦力等于拉力，等于2N，故A错误； BC、由图丙知，6～10s内物体处于运动状态，物体受到的摩擦力为滑动摩擦力，滑动摩擦力大小与接触面的粗糙程度、物体间的压力大小有关，由于接触面的粗糙程度与物体间的压力都不变，则滑动摩擦力大小不变，摩擦力仍等于4N，由图乙可知，此时物体受到的拉力为6N，大于滑动摩擦力，物体做加速运动，拉力与摩擦力方向相反，此时物体所受合力为：F合=6N-4N=2N，故B正确，C错误； D、由图丙知，从10s到12s时间内，物体的平均速度v=$\frac{s}{t}$=$\frac{10m}{2s}$=5m/s,而在这段时间内物体的拉力大于摩擦力，所以物体做加速运动，因此10s时物块的速度一定小于5m/s,故D正确。 故选：BD。</x:v>
      </x:c>
      <x:c r="N395" s="63" t="str">
        <x:v>https://k12static.xdf.cn/k12/image/externalized/407f0548-700a-4686-a498-7b008091479b.png</x:v>
      </x:c>
      <x:c r="O395" s="63" t="str">
        <x:v>https://k12static.xdf.cn/k12/image/externalized/8c029d5b-52c5-44aa-b4e4-f5be74e85d66.png</x:v>
      </x:c>
      <x:c r="P395" s="63" t="str">
        <x:v>3-5步</x:v>
      </x:c>
      <x:c r="Q395" s="63" t="str">
        <x:v>力学综合</x:v>
      </x:c>
      <x:c r="R395" s="63" t="str">
        <x:v>多状态</x:v>
      </x:c>
      <x:c r="S395" s="63" t="str">
        <x:v>单一约束</x:v>
      </x:c>
      <x:c r="T395" s="63" t="str">
        <x:v>无</x:v>
      </x:c>
      <x:c r="U395" s="63" t="str">
        <x:v>多组比较归纳</x:v>
      </x:c>
      <x:c r="V395" s="63" t="str">
        <x:v>多层因果推理</x:v>
      </x:c>
    </x:row>
    <x:row r="396">
      <x:c r="A396" s="64" t="str">
        <x:v>​2850085355103477760</x:v>
      </x:c>
      <x:c r="B396" s="65" t="str">
        <x:v>拔高题</x:v>
      </x:c>
      <x:c r="C396" s="65" t="str">
        <x:v>拔高题</x:v>
      </x:c>
      <x:c r="D396" s="65" t="str">
        <x:v>拔高题</x:v>
      </x:c>
      <x:c r="E396" s="65" t="str">
        <x:v>逐题复核后保留GPT裁定</x:v>
      </x:c>
      <x:c r="F396" s="65" t="str">
        <x:v>高</x:v>
      </x:c>
      <x:c r="G396" s="65" t="str">
        <x:v>拔高题</x:v>
      </x:c>
      <x:c r="H396" s="65" t="str">
        <x:v>拔高题</x:v>
      </x:c>
      <x:c r="I396" s="65" t="str">
        <x:v>最高难任务在标准实验流程、读数与数据归纳中包含图线反推、状态转换、误差评价、几何/等效转换、方程联立或参数反求等决定性卡点，整体约5—6个有效决策；尚未形成压轴所需的完整复杂约束网络。</x:v>
      </x:c>
      <x:c r="J396" s="65" t="str">
        <x:v>三次运行错题并集逐题复核</x:v>
      </x:c>
      <x:c r="K396" s="63" t="str">
        <x:v>探究凸透镜成像规律的实验中，蜡烛、凸透镜和光屏的位置如图所示，烛焰在光屏上恰好成一清晰像，下列说法正确的是（ ）</x:v>
      </x:c>
      <x:c r="L396" s="63" t="str">
        <x:v>A. “眼睛看到物体”的原理与这个装置相似 B. 若用不透明纸遮挡住凸透镜的一部分，则光屏上的像会变暗 C. 若用另一凸透镜叠放在这个凸透镜前，将光屏向右移动一些，会承接到清晰的像 D. 保持光屏和蜡烛位置不变，将凸透镜移至标有“20”的位置，光屏上一定出现放大的像</x:v>
      </x:c>
      <x:c r="M396" s="63" t="str">
        <x:v>解：A、根据图象可以看出凸透镜成倒立缩小的实像，此时物距大于二倍焦距，“眼睛看到物体”就是这一原理，故A正确； B、挡住了透镜一部分，光能通过其他部分会聚成像，只是光线变少了，能成一个变暗的完整的像，故B正确； C、凸透镜对光线有会聚作用，用另一凸透镜叠放在这个凸透镜前，则光线比原来提前会聚，像会靠近凸透镜，所以应使光屏靠近凸透镜，向左移动，使得像距变小，像变小，故C错误； D、由A的分析可得，原来u=40cm-0cm=40cm＞2f,故f＜20cm, 原来v=62cm-40cm=22cm,像距 f＜v＜2f,即f＜22cm＜2f,故11cm＜f＜20cm； 保持光屏和蜡烛位置不变，将凸透镜移至标有“20”的位置，u′=20cm,此时物体在一倍焦距和二倍焦距之间，所以成倒立放大的实像，故D正确。 故选：ABD。</x:v>
      </x:c>
      <x:c r="N396" s="63" t="str">
        <x:v>https://k12static.xdf.cn/k12/image/externalized/3c9d09e8-d386-4b1b-b0a3-03dc64837a50.png</x:v>
      </x:c>
      <x:c r="O396" s="63" t="str">
        <x:v>https://k12static.xdf.cn/k12/image/externalized/8050c89d-ce8b-465d-97b3-b75508868912.png</x:v>
      </x:c>
      <x:c r="P396" s="63" t="str">
        <x:v>3-5步</x:v>
      </x:c>
      <x:c r="Q396" s="63" t="str">
        <x:v>概念判断</x:v>
      </x:c>
      <x:c r="R396" s="63" t="str">
        <x:v>多状态</x:v>
      </x:c>
      <x:c r="S396" s="63" t="str">
        <x:v>单一约束</x:v>
      </x:c>
      <x:c r="T396" s="63" t="str">
        <x:v>无</x:v>
      </x:c>
      <x:c r="U396" s="63" t="str">
        <x:v>无</x:v>
      </x:c>
      <x:c r="V396" s="63" t="str">
        <x:v>多层因果推理</x:v>
      </x:c>
    </x:row>
    <x:row r="397">
      <x:c r="A397" s="64" t="str">
        <x:v>​2850098307042742272</x:v>
      </x:c>
      <x:c r="B397" s="65" t="str">
        <x:v>基础题</x:v>
      </x:c>
      <x:c r="C397" s="65" t="str">
        <x:v>基础题</x:v>
      </x:c>
      <x:c r="D397" s="65" t="str">
        <x:v>基础题</x:v>
      </x:c>
      <x:c r="E397" s="65" t="str">
        <x:v>保留原GPT裁定</x:v>
      </x:c>
      <x:c r="F397" s="65" t="str">
        <x:v>高</x:v>
      </x:c>
      <x:c r="G397" s="65" t="str">
        <x:v>基础题</x:v>
      </x:c>
      <x:c r="H397" s="65" t="str">
        <x:v>送分题</x:v>
      </x:c>
      <x:c r="I397" s="65" t="str">
        <x:v>题干、解析与结构证据支持基础题：step=1-2步，题型=概念判断，状态=单状态，约束=无约束，推理=简单因果推理。教师、盲评和多次模型证据中未形成足以推翻原裁定的同向结构证据。</x:v>
      </x:c>
      <x:c r="J397" s="65" t="str">
        <x:v>未进入三次错题并集；逐题结构一致性复核</x:v>
      </x:c>
      <x:c r="K397" s="63" t="str">
        <x:v>纳米（nm）是一种长度单位，目前我国纳米技术研究方面已经跻身世界前列。则2.85×109nm最接近下列哪个物体的长度（ ）</x:v>
      </x:c>
      <x:c r="L397" s="63" t="str">
        <x:v>A. 教室的高度 B. 物理课本的长度 C. 课桌的长度 D. 一个篮球场的长度</x:v>
      </x:c>
      <x:c r="M397" s="63" t="str">
        <x:v>解：2.85×109nm=2.85m, A.教室的高度可能为2.85m,故A正确； B.物理课本的长度约为26cm=0.26m,故B错误； C.课桌的长度约为60cm,故C错误； D.一个篮球场的长度约为28m,故D错误。 故选：A。</x:v>
      </x:c>
      <x:c r="N397" s="63" t="str">
        <x:v>https://k12static.xdf.cn/k12/image/externalized/30f8b417-ef77-4a1b-b58c-bf15eca65bf9.png</x:v>
      </x:c>
      <x:c r="O397" s="63" t="str">
        <x:v>https://k12static.xdf.cn/k12/image/externalized/0402d65c-fe6a-4b39-ae95-b32c550dcb61.png</x:v>
      </x:c>
      <x:c r="P397" s="63" t="str">
        <x:v>1-2步</x:v>
      </x:c>
      <x:c r="Q397" s="63" t="str">
        <x:v>概念判断</x:v>
      </x:c>
      <x:c r="R397" s="63" t="str">
        <x:v>单状态</x:v>
      </x:c>
      <x:c r="S397" s="63" t="str">
        <x:v>无约束</x:v>
      </x:c>
      <x:c r="T397" s="63" t="str">
        <x:v>无</x:v>
      </x:c>
      <x:c r="U397" s="63" t="str">
        <x:v>无</x:v>
      </x:c>
      <x:c r="V397" s="63" t="str">
        <x:v>简单因果推理</x:v>
      </x:c>
    </x:row>
    <x:row r="398">
      <x:c r="A398" s="64" t="str">
        <x:v>​2851435322896125952</x:v>
      </x:c>
      <x:c r="B398" s="65" t="str">
        <x:v>中等题</x:v>
      </x:c>
      <x:c r="C398" s="65" t="str">
        <x:v>中等题</x:v>
      </x:c>
      <x:c r="D398" s="65" t="str">
        <x:v>中等题</x:v>
      </x:c>
      <x:c r="E398" s="65" t="str">
        <x:v>逐题复核后保留GPT裁定</x:v>
      </x:c>
      <x:c r="F398" s="65" t="str">
        <x:v>高</x:v>
      </x:c>
      <x:c r="G398" s="65" t="str">
        <x:v>中等题</x:v>
      </x:c>
      <x:c r="H398" s="65" t="str">
        <x:v>基础题</x:v>
      </x:c>
      <x:c r="I398" s="65" t="str">
        <x:v>存在约3—4步常规连续分析、共享过程或完整标准实验任务，关系仍显性。 题目证据：保留原标。最长有效链为3-5步、题型为声学综合、图表要求达到“直接读数”、推理为多层因果推理，与中等题边界一致。 复核证据：独立盲评与三次模型中有3/4支持中等题。</x:v>
      </x:c>
      <x:c r="J398" s="65" t="str">
        <x:v>三次运行错题并集逐题复核</x:v>
      </x:c>
      <x:c r="K398" s="63" t="str">
        <x:v>图甲是一静止在水面上的测量船利用声呐测量海底深度的情景图，图乙中两个波形是声呐发出和接收信号，已知发射信号持续时间为0.2s,声波在海水中传播速度为1500m/s,则该处海水深度为（ ）</x:v>
      </x:c>
      <x:c r="L398" s="63" t="str">
        <x:v>A. 300m B. 450m C. 750m D. 900m</x:v>
      </x:c>
      <x:c r="M398" s="63" t="str">
        <x:v>解：发射信号持续时间为0.2s,则图乙中每小格时间为0.2s,发射到接收时间为5小格，共1s,因此信号传播到海底的时间为 $t=\frac{1s}{2}=0.5s$， 海底深度为 s=vt=1500m/s×0.5s=750m。 故选：C。</x:v>
      </x:c>
      <x:c r="N398" s="63" t="str">
        <x:v>https://k12static.xdf.cn/k12/image/externalized/57e11926-11a6-4b30-baf9-9e674b24c2fb.png</x:v>
      </x:c>
      <x:c r="O398" s="63" t="str">
        <x:v>https://k12static.xdf.cn/k12/image/externalized/19389fb0-5be4-4fa6-a60f-25e7681d317d.png</x:v>
      </x:c>
      <x:c r="P398" s="63" t="str">
        <x:v>3-5步</x:v>
      </x:c>
      <x:c r="Q398" s="63" t="str">
        <x:v>声学综合</x:v>
      </x:c>
      <x:c r="R398" s="63" t="str">
        <x:v>单状态</x:v>
      </x:c>
      <x:c r="S398" s="63" t="str">
        <x:v>无约束</x:v>
      </x:c>
      <x:c r="T398" s="63" t="str">
        <x:v>无</x:v>
      </x:c>
      <x:c r="U398" s="63" t="str">
        <x:v>直接读数</x:v>
      </x:c>
      <x:c r="V398" s="63" t="str">
        <x:v>多层因果推理</x:v>
      </x:c>
    </x:row>
    <x:row r="399">
      <x:c r="A399" s="64" t="str">
        <x:v>​2852764069831397376</x:v>
      </x:c>
      <x:c r="B399" s="65" t="str">
        <x:v>中等题</x:v>
      </x:c>
      <x:c r="C399" s="65" t="str">
        <x:v>中等题</x:v>
      </x:c>
      <x:c r="D399" s="65" t="str">
        <x:v>中等题</x:v>
      </x:c>
      <x:c r="E399" s="65" t="str">
        <x:v>逐题复核后保留GPT裁定</x:v>
      </x:c>
      <x:c r="F399" s="65" t="str">
        <x:v>高</x:v>
      </x:c>
      <x:c r="G399" s="65" t="str">
        <x:v>中等题</x:v>
      </x:c>
      <x:c r="H399" s="65" t="str">
        <x:v>中等题</x:v>
      </x:c>
      <x:c r="I399" s="65" t="str">
        <x:v>存在约3—4步常规连续分析、共享过程或完整标准实验任务，关系仍显性。 题目证据：保留原标。最长有效链为1-2步、题型为概念判断、涉及双状态、推理为多层因果推理，与中等题边界一致。 复核证据：教师标签与独立盲评一致；三次模型运行使用相近提示词，仅作为辅助证据，不足以推翻两者一致结论。。 教师分析疑点：教师分析称无运算，但官方解析包含计算或公式。</x:v>
      </x:c>
      <x:c r="J399" s="65" t="str">
        <x:v>三次运行错题并集逐题复核</x:v>
      </x:c>
      <x:c r="K399" s="63" t="str">
        <x:v>在物理教学研讨会上，王老师用自制教具演示了如下实验：将一只去盖、去底的饮料瓶的瓶口朝下，把乒乓球（直径略大于瓶口直径）放入瓶内并注水，看到有少量水从瓶口流出，此时乒乓球静止（如图），然后用手堵住瓶口，一会儿乒乓球浮起来了，以下分析正确的是（ ）</x:v>
      </x:c>
      <x:c r="L399" s="63" t="str">
        <x:v>A. 图中乒乓球静止时受到的支持力与受到的重力平衡 B. 手对饮料瓶的摩擦力方向是竖直向上 C. 乒乓球上浮的过程中，水对它的压强保持不变 D. 此实验说明了浮力产生的原因是物体密度小于液体密度</x:v>
      </x:c>
      <x:c r="M399" s="63" t="str">
        <x:v>解：A．乒乓球静止时，受重力、水的压力和支持力，在这三个力的作用下处于平衡状态，故A错误； B．手握瓶子静止，瓶子受到的重力和摩擦力是一对平衡力，重力竖直向下，而摩擦力竖直向上，故B正确； C．根据p=ρgh可知，乒乓球上浮的过程中，深度减小，水对它的压强变小，故C错误； D．图中乒乓球静止时，乒乓球下表面受到的压力小于上表面受到的压力，所以乒乓球不受浮力； 用手堵住瓶口，乒乓球下表面受到的压力大于上表面受到的压力，所以乒乓球受浮力浮起来； 此实验说明了浮力产生的原因是液体对物体上、下表面的压力差，故D错误。 故选：B。</x:v>
      </x:c>
      <x:c r="N399" s="63" t="str">
        <x:v>https://k12static.xdf.cn/k12/image/externalized/1661dc17-0824-4209-ac25-7d41bedc93fe.png</x:v>
      </x:c>
      <x:c r="O399" s="63" t="str">
        <x:v>https://k12static.xdf.cn/k12/image/externalized/036e5b2c-e172-428c-bc0c-61adc1d45bb6.png</x:v>
      </x:c>
      <x:c r="P399" s="63" t="str">
        <x:v>1-2步</x:v>
      </x:c>
      <x:c r="Q399" s="63" t="str">
        <x:v>概念判断</x:v>
      </x:c>
      <x:c r="R399" s="63" t="str">
        <x:v>双状态</x:v>
      </x:c>
      <x:c r="S399" s="63" t="str">
        <x:v>无约束</x:v>
      </x:c>
      <x:c r="T399" s="63" t="str">
        <x:v>无</x:v>
      </x:c>
      <x:c r="U399" s="63" t="str">
        <x:v>无</x:v>
      </x:c>
      <x:c r="V399" s="63" t="str">
        <x:v>多层因果推理</x:v>
      </x:c>
    </x:row>
    <x:row r="400">
      <x:c r="A400" s="64" t="str">
        <x:v>​2852839114129842176</x:v>
      </x:c>
      <x:c r="B400" s="65" t="str">
        <x:v>拔高题</x:v>
      </x:c>
      <x:c r="C400" s="65" t="str">
        <x:v>拔高题</x:v>
      </x:c>
      <x:c r="D400" s="65" t="str">
        <x:v>拔高题</x:v>
      </x:c>
      <x:c r="E400" s="65" t="str">
        <x:v>保留原GPT裁定</x:v>
      </x:c>
      <x:c r="F400" s="65" t="str">
        <x:v>中</x:v>
      </x:c>
      <x:c r="G400" s="65" t="str">
        <x:v>压轴题</x:v>
      </x:c>
      <x:c r="H400" s="65" t="str">
        <x:v>拔高题</x:v>
      </x:c>
      <x:c r="I400" s="65" t="str">
        <x:v>题干、解析与结构证据支持拔高题：step=3-5步，题型=电路综合，状态=多状态，约束=单一约束，推理=多层因果推理。教师、盲评和多次模型证据中未形成足以推翻原裁定的同向结构证据。</x:v>
      </x:c>
      <x:c r="J400" s="65" t="str">
        <x:v>未进入三次错题并集；逐题结构一致性复核</x:v>
      </x:c>
      <x:c r="K400" s="63" t="str">
        <x:v>如图所示，灯L标有“6V；6W”字样，滑动变阻器R2的最大电阻为12Ω，$R_{1}=6\Omega$，电流表的量程是0—3A，当开关S1闭合，S2、S3断开，滑片P滑至滑动变阻器a端时，灯L恰好正常发光（忽略灯L的电阻受温度的影响，画出相应的等效电路图），试求：（1）电源电压是多少？（2）当电路中只闭合S1，滑动变阻器滑片P滑到R2中点时，灯L的实际功率是多少？（3）当S1、S2、S3都闭合时，在保证电流表安全的情况下，电路的总功率最大是多少？</x:v>
      </x:c>
      <x:c r="L400" s="63" t="str"/>
      <x:c r="M400" s="63" t="str">
        <x:v>（1）当开关S1闭合，S2、S3断开，滑片P滑至滑动变阻器a端时，灯L恰好正常发光。等效电路图为所以电源的电压$U=U_{\mathrm{额}}=6\mathrm{V}$（2）L正常发光时，两端的电压$U_{\mathrm{额}}=6\mathrm{V}$功率为6W，因为P=UI，所以通过的电流$I=I_{\mathrm{额}}=\dfrac{P_{\mathrm{额}}}{U_{\mathrm{额}}}=\dfrac{6\mathrm{W}}{6\mathrm{V}}=1\mathrm{A}$因为I=$\dfrac{U}{R}$，所以灯泡的电阻$R_{\mathrm{L}}=\dfrac{U_{\mathrm{额}}}{I_{\mathrm{额}}}=\dfrac{6\mathrm{V}}{1\mathrm{A}}=6\Omega$当电路中只闭合S1，滑动变阻器滑片P滑到R2中点时，电路中的电流$I'=\dfrac{U}{R_{2}+R_{\mathrm{L}}}=\dfrac{6\mathrm{V}}{6\Omega +6\Omega }=\dfrac{1}{2}\mathrm{A}$灯L的实际功率$P_{\mathrm{实}}=I'^{2}R_{\mathrm{L}}=\left(\dfrac{1}{2}\mathrm{A}\right)^{2}\times 6\Omega =1.5\mathrm{W}$（3）当S1、S2、S3都闭合时，在保证电流表安全的情况下，灯泡被短路，$R_{2}$和$R_{3}$并联，当电流表示数为$3\mathrm{A}$时，电路中的总电阻$R_{\mathrm{总}}=\dfrac{U}{I_{\mathrm{m}}}=\dfrac{6\mathrm{V}}{3\mathrm{A}}=2\Omega$即$\dfrac{1}{R_{\mathrm{总}}}=\dfrac{1}{R_{1}}+\dfrac{1}{R_{2}}$代入数据得$R_{2}=3\Omega$此时，在保证电流表安全的情况下，电路的总功率最大，最大功率$P_{\mathrm{m}}=I_{\mathrm{m}}U=3\mathrm{A}\times 6\mathrm{V}=18\mathrm{W}$答：（1）电源电压是$6\mathrm{V}$；（2）当电路中只闭合S1，滑动变阻器滑片P滑到R2中点时，灯L的实际功率是$1.5\mathrm{W}$；（3）当S1、S2、S3都闭合时，在保证电流表安全的情况下，电路的总功率最大是$18\mathrm{W}$。</x:v>
      </x:c>
      <x:c r="N400" s="63" t="str">
        <x:v>https://k12static.xdf.cn/k12/image/externalized/fd5680a6-633b-48cb-aa85-8e57f4819c16.png</x:v>
      </x:c>
      <x:c r="O400" s="63" t="str">
        <x:v>https://k12static.xdf.cn/k12/image/externalized/fb4d66c3-a41e-4422-98f9-753328f48bba.png</x:v>
      </x:c>
      <x:c r="P400" s="63" t="str">
        <x:v>3-5步</x:v>
      </x:c>
      <x:c r="Q400" s="63" t="str">
        <x:v>电路综合</x:v>
      </x:c>
      <x:c r="R400" s="63" t="str">
        <x:v>多状态</x:v>
      </x:c>
      <x:c r="S400" s="63" t="str">
        <x:v>单一约束</x:v>
      </x:c>
      <x:c r="T400" s="63" t="str">
        <x:v>无</x:v>
      </x:c>
      <x:c r="U400" s="63" t="str">
        <x:v>无</x:v>
      </x:c>
      <x:c r="V400" s="63" t="str">
        <x:v>多层因果推理</x:v>
      </x:c>
    </x:row>
    <x:row r="401">
      <x:c r="A401" s="64" t="str">
        <x:v>​2861687730225901568</x:v>
      </x:c>
      <x:c r="B401" s="65" t="str">
        <x:v>基础题</x:v>
      </x:c>
      <x:c r="C401" s="65" t="str">
        <x:v>基础题</x:v>
      </x:c>
      <x:c r="D401" s="65" t="str">
        <x:v>基础题</x:v>
      </x:c>
      <x:c r="E401" s="65" t="str">
        <x:v>保留原GPT裁定</x:v>
      </x:c>
      <x:c r="F401" s="65" t="str">
        <x:v>高</x:v>
      </x:c>
      <x:c r="G401" s="65" t="str">
        <x:v>中等题</x:v>
      </x:c>
      <x:c r="H401" s="65" t="str">
        <x:v>基础题</x:v>
      </x:c>
      <x:c r="I401" s="65" t="str">
        <x:v>题干、解析与结构证据支持基础题：step=1-2步，题型=概念判断，状态=单状态，约束=无约束，推理=简单因果推理。教师、盲评和多次模型证据中未形成足以推翻原裁定的同向结构证据。</x:v>
      </x:c>
      <x:c r="J401" s="65" t="str">
        <x:v>未进入三次错题并集；逐题结构一致性复核</x:v>
      </x:c>
      <x:c r="K401" s="63" t="str">
        <x:v>4月12日，八年级同学乘车去自贡方特开展了为期一天的研学活动。大家在开心游玩的同时探索科技的奥秘，了解生命的起源，体验合作的力量。下列相关说法错误的是（ ）</x:v>
      </x:c>
      <x:c r="L401" s="63" t="str">
        <x:v>A. “飞翔”时的座椅比较舒适，因为此时人体受力面积大、压强小 B. “寻龙号”项目运行中，乘坐海盗船的同学受到的力是平衡力 C. “穿越火山”时要系上安全带，是为了防止惯性带来的危害 D. “丛林漂流”项目中，船上的同学没有受到水施加的浮力作用</x:v>
      </x:c>
      <x:c r="M401" s="63" t="str">
        <x:v>解：A、“飞翔”时的座椅比较舒适，因为在压力一定的情况下，增大了人体的受力面积、减小了压强，故A正确； B、乘坐海盗船的同学运动状态不断改变，受到的力是非平衡力，故B错误； C、“穿越火山”时要系上安全带是为了防止运动过程中惯性带来的危害，故C正确； D、“丛林漂流”项目中，船受到水施加的浮力作用，船上的同学没有受到水施加的浮力作用，故D正确。 故选：B。</x:v>
      </x:c>
      <x:c r="N401" s="63" t="str">
        <x:v>https://k12static.xdf.cn/k12/image/externalized/77e1b8d7-dd68-41ab-8204-4db9950eb583.png</x:v>
      </x:c>
      <x:c r="O401" s="63" t="str">
        <x:v>https://k12static.xdf.cn/k12/image/externalized/d94cb737-08d5-4297-a522-90a65fb369ab.png</x:v>
      </x:c>
      <x:c r="P401" s="63" t="str">
        <x:v>1-2步</x:v>
      </x:c>
      <x:c r="Q401" s="63" t="str">
        <x:v>概念判断</x:v>
      </x:c>
      <x:c r="R401" s="63" t="str">
        <x:v>单状态</x:v>
      </x:c>
      <x:c r="S401" s="63" t="str">
        <x:v>无约束</x:v>
      </x:c>
      <x:c r="T401" s="63" t="str">
        <x:v>无</x:v>
      </x:c>
      <x:c r="U401" s="63" t="str">
        <x:v>无</x:v>
      </x:c>
      <x:c r="V401" s="63" t="str">
        <x:v>简单因果推理</x:v>
      </x:c>
    </x:row>
    <x:row r="402">
      <x:c r="A402" s="64" t="str">
        <x:v>​2873521662661586944</x:v>
      </x:c>
      <x:c r="B402" s="65" t="str">
        <x:v>中等题</x:v>
      </x:c>
      <x:c r="C402" s="65" t="str">
        <x:v>中等题</x:v>
      </x:c>
      <x:c r="D402" s="65" t="str">
        <x:v>中等题</x:v>
      </x:c>
      <x:c r="E402" s="65" t="str">
        <x:v>保留原GPT裁定</x:v>
      </x:c>
      <x:c r="F402" s="65" t="str">
        <x:v>高</x:v>
      </x:c>
      <x:c r="G402" s="65" t="str">
        <x:v>中等题</x:v>
      </x:c>
      <x:c r="H402" s="65" t="str">
        <x:v>中等题</x:v>
      </x:c>
      <x:c r="I402" s="65" t="str">
        <x:v>题干、解析与结构证据支持中等题：step=1-2步，题型=概念判断，状态=单状态，约束=无约束，推理=简单因果推理。教师、盲评和多次模型证据中未形成足以推翻原裁定的同向结构证据。</x:v>
      </x:c>
      <x:c r="J402" s="65" t="str">
        <x:v>未进入三次错题并集；逐题结构一致性复核</x:v>
      </x:c>
      <x:c r="K402" s="63" t="str">
        <x:v>如图所示，运动员正在进行蹦床比赛，不计空气阻力，运动员从最高点竖直下落到最低点的过程中，下列说法正确的是（ ）</x:v>
      </x:c>
      <x:c r="L402" s="63" t="str">
        <x:v>A. 运动员在最高点和最低点静止时，处于平衡状态 B. 运动员刚接触蹦床时的速度最大 C. 运动员接触蹦床后受到的重力逐渐减小 D. 运动员速度最大时，受到的几个力相互平衡</x:v>
      </x:c>
      <x:c r="M402" s="63" t="str">
        <x:v>解：A、运动员在最高点时，只受到重力的作用，受到非平衡力，不是处于平衡状态；在最低点时受到的弹力大于重力，受到非平衡力，不是处于平衡状态。故A错误； BD、运动员下落过程接触蹦床前是自由落体运动，从接触蹦床到最低点过程中先加速后减速，不计空气阻力，当弹力与重力平衡时，速度最大，故B错误、D正确； C、运动员接触蹦床后质量不变，g的值不变，根据G=mg可知，重力不变，故C错误。 故选：D。</x:v>
      </x:c>
      <x:c r="N402" s="63" t="str">
        <x:v>https://k12static.xdf.cn/k12/image/externalized/e87cb5fb-a3b6-43de-b833-23fbf31f96e1.png</x:v>
      </x:c>
      <x:c r="O402" s="63" t="str">
        <x:v>https://k12static.xdf.cn/k12/image/externalized/28778285-4708-4233-a211-073cb1133339.png</x:v>
      </x:c>
      <x:c r="P402" s="63" t="str">
        <x:v>1-2步</x:v>
      </x:c>
      <x:c r="Q402" s="63" t="str">
        <x:v>概念判断</x:v>
      </x:c>
      <x:c r="R402" s="63" t="str">
        <x:v>单状态</x:v>
      </x:c>
      <x:c r="S402" s="63" t="str">
        <x:v>无约束</x:v>
      </x:c>
      <x:c r="T402" s="63" t="str">
        <x:v>无</x:v>
      </x:c>
      <x:c r="U402" s="63" t="str">
        <x:v>无</x:v>
      </x:c>
      <x:c r="V402" s="63" t="str">
        <x:v>简单因果推理</x:v>
      </x:c>
    </x:row>
    <x:row r="403">
      <x:c r="A403" s="64" t="str">
        <x:v>​2874616159713918976</x:v>
      </x:c>
      <x:c r="B403" s="65" t="str">
        <x:v>中等题</x:v>
      </x:c>
      <x:c r="C403" s="65" t="str">
        <x:v>中等题</x:v>
      </x:c>
      <x:c r="D403" s="65" t="str">
        <x:v>中等题</x:v>
      </x:c>
      <x:c r="E403" s="65" t="str">
        <x:v>保留原GPT裁定</x:v>
      </x:c>
      <x:c r="F403" s="65" t="str">
        <x:v>高</x:v>
      </x:c>
      <x:c r="G403" s="65" t="str">
        <x:v>中等题</x:v>
      </x:c>
      <x:c r="H403" s="65" t="str">
        <x:v>中等题</x:v>
      </x:c>
      <x:c r="I403" s="65" t="str">
        <x:v>题干、解析与结构证据支持中等题：step=3-5步，题型=概念判断，状态=双状态，约束=单一约束，推理=多层因果推理。教师、盲评和多次模型证据中未形成足以推翻原裁定的同向结构证据。</x:v>
      </x:c>
      <x:c r="J403" s="65" t="str">
        <x:v>未进入三次错题并集；逐题结构一致性复核</x:v>
      </x:c>
      <x:c r="K403" s="63" t="str">
        <x:v>在学习物体浮沉条件时，老师在课堂上所做的一个演示实验摘录如下：将体积相同的两枚鸡蛋分别轻轻放入两杯相同的水中，待鸡蛋在水中静止后，浮沉状态如图甲、乙所示，下列判断正确的是（ ）</x:v>
      </x:c>
      <x:c r="L403" s="63" t="str">
        <x:v>A. 甲图中的鸡蛋排开水的重力小 B. 乙图中的鸡蛋受到的浮力大 C. 甲图中的鸡蛋重力大 D. 乙图中的鸡蛋受到的浮力大于重力</x:v>
      </x:c>
      <x:c r="M403" s="63" t="str">
        <x:v>解： AB．两个鸡蛋体积相同，甲图鸡蛋下沉，是完全浸没，乙图鸡蛋漂浮，是部分浸入水中，因此，鸡蛋在甲图中排开水的体积大，根据F浮=G排=ρ液gV排排开水的重力更大，浮力也更大，故AB错误； CD．乙图中的鸡蛋处于漂浮状态，由漂浮条件可知，鸡蛋受到的浮力等于鸡蛋的重力；由物体的浮沉条件可知，甲图中，鸡蛋沉底，故F浮甲＜G甲；乙图中，鸡蛋漂浮，则有：F浮乙=G乙；又由B选项可知：F浮甲＞F浮乙 则可得：G甲＞G乙，故C正确，D错误。 故选：C。</x:v>
      </x:c>
      <x:c r="N403" s="63" t="str">
        <x:v>https://k12static.xdf.cn/k12/image/externalized/b9e46a0b-4bad-4d2b-ad06-4cd3c99400c4.png</x:v>
      </x:c>
      <x:c r="O403" s="63" t="str">
        <x:v>https://k12static.xdf.cn/k12/image/externalized/3fc049cf-0313-4129-b5c4-632fc40cf3ff.png</x:v>
      </x:c>
      <x:c r="P403" s="63" t="str">
        <x:v>3-5步</x:v>
      </x:c>
      <x:c r="Q403" s="63" t="str">
        <x:v>概念判断</x:v>
      </x:c>
      <x:c r="R403" s="63" t="str">
        <x:v>双状态</x:v>
      </x:c>
      <x:c r="S403" s="63" t="str">
        <x:v>单一约束</x:v>
      </x:c>
      <x:c r="T403" s="63" t="str">
        <x:v>无</x:v>
      </x:c>
      <x:c r="U403" s="63" t="str">
        <x:v>无</x:v>
      </x:c>
      <x:c r="V403" s="63" t="str">
        <x:v>多层因果推理</x:v>
      </x:c>
    </x:row>
    <x:row r="404">
      <x:c r="A404" s="64" t="str">
        <x:v>​2875681895130435584</x:v>
      </x:c>
      <x:c r="B404" s="65" t="str">
        <x:v>拔高题</x:v>
      </x:c>
      <x:c r="C404" s="65" t="str">
        <x:v>拔高题</x:v>
      </x:c>
      <x:c r="D404" s="65" t="str">
        <x:v>拔高题</x:v>
      </x:c>
      <x:c r="E404" s="65" t="str">
        <x:v>逐题复核后保留GPT裁定</x:v>
      </x:c>
      <x:c r="F404" s="65" t="str">
        <x:v>高</x:v>
      </x:c>
      <x:c r="G404" s="65" t="str">
        <x:v>拔高题</x:v>
      </x:c>
      <x:c r="H404" s="65" t="str">
        <x:v>拔高题</x:v>
      </x:c>
      <x:c r="I404" s="65" t="str">
        <x:v>最高难任务在标准实验流程、读数与数据归纳中包含图线反推、状态转换、误差评价、几何/等效转换、方程联立或参数反求等决定性卡点，整体约5—6个有效决策；尚未形成压轴所需的完整复杂约束网络。</x:v>
      </x:c>
      <x:c r="J404" s="65" t="str">
        <x:v>三次运行错题并集逐题复核</x:v>
      </x:c>
      <x:c r="K404" s="63" t="str">
        <x:v>VR眼镜是一种可以虚拟现实的头戴式显示设备，它利用计算机生成模拟系统，用户通过看眼镜内的电子屏幕上的画面，再结合封闭性的音效，给用户产生一种身在虚拟环境中的感觉。</x:v>
      </x:c>
      <x:c r="L404" s="63" t="str"/>
      <x:c r="M404" s="63" t="str"/>
      <x:c r="N404" s="63" t="str">
        <x:v>https://k12static.xdf.cn/k12/image/externalized/b502514f-285c-411a-9649-24307b910575.png</x:v>
      </x:c>
      <x:c r="O404" s="63" t="str">
        <x:v>https://k12static.xdf.cn/k12/image/externalized/86049a72-aaa1-474d-ab2a-b5c9c99e4e14.png</x:v>
      </x:c>
      <x:c r="P404" s="63" t="str">
        <x:v>3-5步</x:v>
      </x:c>
      <x:c r="Q404" s="63" t="str">
        <x:v>光学声学综合</x:v>
      </x:c>
      <x:c r="R404" s="63" t="str">
        <x:v>单状态</x:v>
      </x:c>
      <x:c r="S404" s="63" t="str">
        <x:v>无约束</x:v>
      </x:c>
      <x:c r="T404" s="63" t="str">
        <x:v>控制变量或故障分析</x:v>
      </x:c>
      <x:c r="U404" s="63" t="str">
        <x:v>无</x:v>
      </x:c>
      <x:c r="V404" s="63" t="str">
        <x:v>多层因果推理</x:v>
      </x:c>
    </x:row>
    <x:row r="405">
      <x:c r="A405" s="64" t="str">
        <x:v>​2883203800492986368</x:v>
      </x:c>
      <x:c r="B405" s="65" t="str">
        <x:v>中等题</x:v>
      </x:c>
      <x:c r="C405" s="65" t="str">
        <x:v>中等题</x:v>
      </x:c>
      <x:c r="D405" s="65" t="str">
        <x:v>中等题</x:v>
      </x:c>
      <x:c r="E405" s="65" t="str">
        <x:v>保留原GPT裁定</x:v>
      </x:c>
      <x:c r="F405" s="65" t="str">
        <x:v>高</x:v>
      </x:c>
      <x:c r="G405" s="65" t="str">
        <x:v>中等题</x:v>
      </x:c>
      <x:c r="H405" s="65" t="str">
        <x:v>中等题</x:v>
      </x:c>
      <x:c r="I405" s="65" t="str">
        <x:v>题干、解析与结构证据支持中等题：step=3-5步，题型=概念判断，状态=双状态，约束=单一约束，推理=多层因果推理。教师、盲评和多次模型证据中未形成足以推翻原裁定的同向结构证据。</x:v>
      </x:c>
      <x:c r="J405" s="65" t="str">
        <x:v>未进入三次错题并集；逐题结构一致性复核</x:v>
      </x:c>
      <x:c r="K405" s="63" t="str">
        <x:v>放在同一水平桌面上的甲、乙两个相同的容器盛有质量相等的不同的液体，现将两个相同的物块分别放入两容器中，静止时两物块所处的位置如图所示。则（ ）</x:v>
      </x:c>
      <x:c r="L405" s="63" t="str">
        <x:v>A. 甲容器中的物块受到的浮力较大 B. 乙容器中的物块受到的浮力较大 C. 甲容器对水平桌面的压强较大 D. 两个容器底部受到的液体压强相等</x:v>
      </x:c>
      <x:c r="M405" s="63" t="str">
        <x:v>解：AB．两个相同的物块重力相同，在甲容器悬浮，在乙容器漂浮，则两个相同的物块受到的浮力关系为F甲=F乙=G， 即物块在两容器中所受浮力相等，故AB不符合题意； C．由题意知，容器相同，盛装的液体质量相等，两个物块相同，容器放在水平桌面上，容器对水平桌面的压力 F=G总=G容+G液+G物 则两个容器对水平桌面的压力相等，由于容器相同，则受力面积相等。由$p=\frac{F}{S}$可知，两容器对水平桌面的压强相等，故C不符合题意； D．液体对容器底的压力等于液体和物块的重力之和，两个容器底部受到的液体压力相同，由$p=\frac{F}{S}$可知两个容器底部受到的液体压强相等，故D符合题意。 故选：D。</x:v>
      </x:c>
      <x:c r="N405" s="63" t="str">
        <x:v>https://k12static.xdf.cn/k12/image/externalized/8bd2d43b-9d13-4265-96f6-7e2502e5b656.png</x:v>
      </x:c>
      <x:c r="O405" s="63" t="str">
        <x:v>https://k12static.xdf.cn/k12/image/externalized/537c8753-7b69-4f08-aced-af2eedfd3355.png</x:v>
      </x:c>
      <x:c r="P405" s="63" t="str">
        <x:v>3-5步</x:v>
      </x:c>
      <x:c r="Q405" s="63" t="str">
        <x:v>概念判断</x:v>
      </x:c>
      <x:c r="R405" s="63" t="str">
        <x:v>双状态</x:v>
      </x:c>
      <x:c r="S405" s="63" t="str">
        <x:v>单一约束</x:v>
      </x:c>
      <x:c r="T405" s="63" t="str">
        <x:v>无</x:v>
      </x:c>
      <x:c r="U405" s="63" t="str">
        <x:v>无</x:v>
      </x:c>
      <x:c r="V405" s="63" t="str">
        <x:v>多层因果推理</x:v>
      </x:c>
    </x:row>
    <x:row r="406">
      <x:c r="A406" s="64" t="str">
        <x:v>​2885933373621534720</x:v>
      </x:c>
      <x:c r="B406" s="65" t="str">
        <x:v>中等题</x:v>
      </x:c>
      <x:c r="C406" s="65" t="str">
        <x:v>中等题</x:v>
      </x:c>
      <x:c r="D406" s="65" t="str">
        <x:v>中等题</x:v>
      </x:c>
      <x:c r="E406" s="65" t="str">
        <x:v>保留原GPT裁定</x:v>
      </x:c>
      <x:c r="F406" s="65" t="str">
        <x:v>高</x:v>
      </x:c>
      <x:c r="G406" s="65" t="str">
        <x:v>拔高题</x:v>
      </x:c>
      <x:c r="H406" s="65" t="str">
        <x:v>中等题</x:v>
      </x:c>
      <x:c r="I406" s="65" t="str">
        <x:v>题干、解析与结构证据支持中等题：step=3-5步，题型=力学综合，状态=双状态，约束=单一约束，推理=多层因果推理。教师、盲评和多次模型证据中未形成足以推翻原裁定的同向结构证据。</x:v>
      </x:c>
      <x:c r="J406" s="65" t="str">
        <x:v>未进入三次错题并集；逐题结构一致性复核</x:v>
      </x:c>
      <x:c r="K406" s="63" t="str">
        <x:v>如图所示，两个相同的柱形容器置于水平地面上，分别盛有密度为ρ甲、ρ乙的两种液体，A、B两个体积相同的实心小球分别静止在两液体中，容器对地面的压强为p甲、p乙。现将两个小球取出，两液体对容器底部的压强相等，则（ ）</x:v>
      </x:c>
      <x:c r="L406" s="63" t="str">
        <x:v>A. ρ甲大于ρ乙，p甲大于p乙 B. ρ甲大于ρ乙，p甲小于p乙 C. ρ甲小于ρ乙，p甲大于p乙 D. ρ甲小于ρ乙，p甲小于p乙</x:v>
      </x:c>
      <x:c r="M406" s="63" t="str">
        <x:v>解：A、B两个实心小球的体积相同，A排开的液体的体积大于B排开的液体的体积，取出小球后，乙液面的深度要大于甲液面的深度，此时两液体对容器底部的压强相等，根据p=ρgh可知，甲液体的密度大于乙液体的密度，即：ρ甲大于ρ乙； 根据图示可知，液体对底的压强相等，面积相同，压力相等，重力相同；容器相同，所以左侧装置的总重力大于右侧装置的总重力，水平面上的物体对水平面的压力等于自身的重力，则左侧装置对地面的压力大于右侧装置对地面的压力；受力面积相同，根据p=$\frac{F}{S}$可知，p甲大于p乙。 故选：A。</x:v>
      </x:c>
      <x:c r="N406" s="63" t="str">
        <x:v>https://k12static.xdf.cn/k12/image/externalized/106c2d3d-29fd-4dcb-b2af-db1ef20108a7.png</x:v>
      </x:c>
      <x:c r="O406" s="63" t="str">
        <x:v>https://k12static.xdf.cn/k12/image/externalized/a154ffa4-e013-4d83-9dc9-6533d03e2faf.png</x:v>
      </x:c>
      <x:c r="P406" s="63" t="str">
        <x:v>3-5步</x:v>
      </x:c>
      <x:c r="Q406" s="63" t="str">
        <x:v>力学综合</x:v>
      </x:c>
      <x:c r="R406" s="63" t="str">
        <x:v>双状态</x:v>
      </x:c>
      <x:c r="S406" s="63" t="str">
        <x:v>单一约束</x:v>
      </x:c>
      <x:c r="T406" s="63" t="str">
        <x:v>无</x:v>
      </x:c>
      <x:c r="U406" s="63" t="str">
        <x:v>无</x:v>
      </x:c>
      <x:c r="V406" s="63" t="str">
        <x:v>多层因果推理</x:v>
      </x:c>
    </x:row>
    <x:row r="407">
      <x:c r="A407" s="64" t="str">
        <x:v>​2887834636424417280</x:v>
      </x:c>
      <x:c r="B407" s="65" t="str">
        <x:v>压轴题</x:v>
      </x:c>
      <x:c r="C407" s="65" t="str">
        <x:v>压轴题</x:v>
      </x:c>
      <x:c r="D407" s="65" t="str">
        <x:v>压轴题</x:v>
      </x:c>
      <x:c r="E407" s="65" t="str">
        <x:v>逐题复核后保留GPT裁定</x:v>
      </x:c>
      <x:c r="F407" s="65" t="str">
        <x:v>高</x:v>
      </x:c>
      <x:c r="G407" s="65" t="str">
        <x:v>压轴题</x:v>
      </x:c>
      <x:c r="H407" s="65" t="str">
        <x:v>压轴题</x:v>
      </x:c>
      <x:c r="I407" s="65" t="str">
        <x:v>多对象、多状态和多约束形成共享模型网络，并含临界、分类、边界或有效解筛选。 题目证据：自动调整：teacher_hard_to_final_joint_structure；证据：多约束；多问层层递进；多公式或复杂范围计算；逆向推理或临界分析；图像反推或外推。最长连续链实际有效物理决策共5步：1. 从图像读取P1、P2往返时间，推导单程时间；2. 分别计算两次信号遇到物体时物体到军舰的距离，得到行驶距离Δs；3. 分析信号发出时间差，确定两次相遇过程中信号和物体的运动时间关系；4. 推导物体行驶Δs的实际运动时间；5. 计算物体速度。五维中过程/对象为双状态相向运动，知识量跨时间间隔分析与匀速运动规律</x:v>
      </x:c>
      <x:c r="J407" s="65" t="str">
        <x:v>三次运行错题并集逐题复核</x:v>
      </x:c>
      <x:c r="K407" s="63" t="str">
        <x:v>声波在海水中传播衰减程度远小于电磁波。声呐就是利用声波在水中的传播特点来对物体进行定位和测速的。如图是一艘静止军舰上的声呐装置的显示器所显示出声波信号发出与接收的情况，图中P1、P2是声呐发出的信号，n1、n2分别是P1、P2被不明物体反射回来的信号。如果P1、P2之间的时间间隔Δt=1.0s,声波在海水中的传播速度v=1500m/s,不明物体是沿直线正对着军舰匀速行驶。求： （1）信号P1遇到不明物体时，该物体到军舰的距离； （2）不明物体从接收到第一次信号到接受到第二次信号过程中，行驶的距离是多少米？ （3）求不明物体的速度。</x:v>
      </x:c>
      <x:c r="L407" s="63" t="str"/>
      <x:c r="M407" s="63" t="str">
        <x:v>解：（1）从图中可以看出，从信号P1到接收到信号n1经历的时间为24s, 根据v=$\frac{s}{t}$可得，信号P1遇到不明物体时，该物体到军舰的距离为： s=vt=1500m/s$\frac{1}{2}$×24s=18000m； （2）从图中可以看出，从发出信号P2到接收到信号n2经历的时间为23.9s, 根据v=$\frac{s}{t}$可得，信号P2遇到不明物体时，该物体到军舰的距离为： s′=vt′=1500m/s×$\frac{1}{2}$×23.9s=17925m； 不明物体移动的距离为： Δs=s-s′=18000m-17925m=75m； （3）如图： 第一列波单程运动的时间t1=$\frac{24s}{2}$=12s, 第二列波单程运动的时间t2=$\frac{23.9s}{2}$=11.95s, 当第一列波与不明物相遇时，第二列波的传播时间为t1-1s=12s-1s=11s（因为晚发出1s,此时该波在紫色竖线段位置）。 由于不明物体和第二列波相向运动，剩下的问题就是相遇问题，相遇过程它们运动时间相等。 所以，不明物体移动这段距离的时间为： t不明物=t第2列剩余=t2-（t1-1s）=11.95s-11s=0.95s。 所以，不明物体移动的速度： v′=$\frac{\Delta s}{{t}_{不明物}}$=$\frac{75m}{0.95s}$≈78.9m/s。 答：（1）信号P1遇到不明物体时，该物体到军舰的距离为18000m； （2）不明物体从接收到第一次信号到接受到第二次信号过程中，行驶的距离是75m； （3）不明物体的速度为78.9m/s。</x:v>
      </x:c>
      <x:c r="N407" s="63" t="str">
        <x:v>https://k12static.xdf.cn/k12/image/externalized/f4b7b2bc-a055-4983-9abd-8a5115138c11.png</x:v>
      </x:c>
      <x:c r="O407" s="63" t="str">
        <x:v>https://k12static.xdf.cn/k12/image/externalized/1c88c677-4090-449a-aeac-10e4fdacfc7f.png</x:v>
      </x:c>
      <x:c r="P407" s="63" t="str">
        <x:v>3-5步</x:v>
      </x:c>
      <x:c r="Q407" s="63" t="str">
        <x:v>光学声学综合</x:v>
      </x:c>
      <x:c r="R407" s="63" t="str">
        <x:v>双状态</x:v>
      </x:c>
      <x:c r="S407" s="63" t="str">
        <x:v>多约束</x:v>
      </x:c>
      <x:c r="T407" s="63" t="str">
        <x:v>无</x:v>
      </x:c>
      <x:c r="U407" s="63" t="str">
        <x:v>图像反推或外推</x:v>
      </x:c>
      <x:c r="V407" s="63" t="str">
        <x:v>逆向推理或临界分析</x:v>
      </x:c>
    </x:row>
    <x:row r="408">
      <x:c r="A408" s="64" t="str">
        <x:v>​2890509030820515840</x:v>
      </x:c>
      <x:c r="B408" s="65" t="str">
        <x:v>拔高题</x:v>
      </x:c>
      <x:c r="C408" s="65" t="str">
        <x:v>拔高题</x:v>
      </x:c>
      <x:c r="D408" s="65" t="str">
        <x:v>拔高题</x:v>
      </x:c>
      <x:c r="E408" s="65" t="str">
        <x:v>逐题复核后保留GPT裁定</x:v>
      </x:c>
      <x:c r="F408" s="65" t="str">
        <x:v>高</x:v>
      </x:c>
      <x:c r="G408" s="65" t="str">
        <x:v>拔高题</x:v>
      </x:c>
      <x:c r="H408" s="65" t="str">
        <x:v>拔高题</x:v>
      </x:c>
      <x:c r="I408" s="65" t="str">
        <x:v>最高难任务在受力、浮力/压强与状态变化中包含图线反推、状态转换、误差评价、几何/等效转换、方程联立或参数反求等决定性卡点，整体约5—6个有效决策；尚未形成压轴所需的完整复杂约束网络。</x:v>
      </x:c>
      <x:c r="J408" s="65" t="str">
        <x:v>三次运行错题并集逐题复核</x:v>
      </x:c>
      <x:c r="K408" s="63" t="str">
        <x:v>如图所示，实心均匀正方体甲、乙静止在水平地面上，它们对地面的压强分别为p甲、p乙。现将两物体沿水平方向在上部切去不同的厚度Δh甲、Δh乙，甲、乙剩余部分对地面的压强相等，则下列关系一定不成立的是（ ）</x:v>
      </x:c>
      <x:c r="L408" s="63" t="str">
        <x:v>A. Δh甲＞Δh乙，p甲＜p乙 B. Δh甲＞Δh乙，p甲＞p乙 C. Δh甲＜Δh乙，p甲＜p乙 D. Δh甲＜Δh乙，p甲＞p乙</x:v>
      </x:c>
      <x:c r="M408" s="63" t="str">
        <x:v>解：根据图中甲的边长小， AB、Δh甲＞Δh乙，切去后甲的高度一定小，而压强相等，根据p=$\frac{F}{S}$=$\frac{G}{S}$=$\frac{mg}{S}$=$\frac{ρVg}{S}$=$\frac{ρShg}{S}$=ρgh知，甲的密度一定大，由于切去的高度大，剩余的压强相等，根据p=ρgh,切去的部分，甲的压强大，故原来甲的压强大，因而故p甲＜p乙是不可能的，故A符合题意，B不符合题意； CD、Δh甲＜Δh乙，剩余的甲的高度可能大于或等于或小于乙高度；而剩余的压强相等，根据p=ρgh,甲的密度可能大于、等于或小于乙的密度，结合原来的边长关系，原来甲的压强可能大于或小于乙的，故CD有可能，不符合题意。 故选：A。</x:v>
      </x:c>
      <x:c r="N408" s="63" t="str">
        <x:v>https://k12static.xdf.cn/k12/image/externalized/455e4c67-5bbd-4f5c-a221-1c8eaeb0c77c.png</x:v>
      </x:c>
      <x:c r="O408" s="63" t="str">
        <x:v>https://k12static.xdf.cn/k12/image/externalized/bad50edb-75bb-40e3-aaae-8c4118f85d24.png</x:v>
      </x:c>
      <x:c r="P408" s="63" t="str">
        <x:v>3-5步</x:v>
      </x:c>
      <x:c r="Q408" s="63" t="str">
        <x:v>概念判断</x:v>
      </x:c>
      <x:c r="R408" s="63" t="str">
        <x:v>双状态</x:v>
      </x:c>
      <x:c r="S408" s="63" t="str">
        <x:v>单一约束</x:v>
      </x:c>
      <x:c r="T408" s="63" t="str">
        <x:v>无</x:v>
      </x:c>
      <x:c r="U408" s="63" t="str">
        <x:v>无</x:v>
      </x:c>
      <x:c r="V408" s="63" t="str">
        <x:v>多层因果推理</x:v>
      </x:c>
    </x:row>
    <x:row r="409">
      <x:c r="A409" s="64" t="str">
        <x:v>​2896165367191736320</x:v>
      </x:c>
      <x:c r="B409" s="65" t="str">
        <x:v>中等题</x:v>
      </x:c>
      <x:c r="C409" s="65" t="str">
        <x:v>中等题</x:v>
      </x:c>
      <x:c r="D409" s="65" t="str">
        <x:v>中等题</x:v>
      </x:c>
      <x:c r="E409" s="65" t="str">
        <x:v>保留原GPT裁定</x:v>
      </x:c>
      <x:c r="F409" s="65" t="str">
        <x:v>高</x:v>
      </x:c>
      <x:c r="G409" s="65" t="str">
        <x:v>中等题</x:v>
      </x:c>
      <x:c r="H409" s="65" t="str">
        <x:v>中等题</x:v>
      </x:c>
      <x:c r="I409" s="65" t="str">
        <x:v>题干、解析与结构证据支持中等题：step=3-5步，题型=概念判断，状态=单状态，约束=无约束，推理=多层因果推理。教师、盲评和多次模型证据中未形成足以推翻原裁定的同向结构证据。</x:v>
      </x:c>
      <x:c r="J409" s="65" t="str">
        <x:v>未进入三次错题并集；逐题结构一致性复核</x:v>
      </x:c>
      <x:c r="K409" s="63" t="str">
        <x:v>三个同学在实验室里用同一托里拆利实验装置测大气压。他们的测量结果分别为760mm水银柱、752m水银柱、758mm水银柱。已知三个同学在测量过程中，有一位同学不慎让空气漏进了玻璃管内水银面的上方：一位同学在测量时玻璃管没有竖直而略有倾斜（刻度尺跟着倾斜）：只有一位同学的操作完全正确，那么当时的大气压的值应为（ ）mm水银柱</x:v>
      </x:c>
      <x:c r="L409" s="63" t="str">
        <x:v>A. 760 B. 758 C. 752 D. 756.67</x:v>
      </x:c>
      <x:c r="M409" s="63" t="str">
        <x:v>解：在做托里拆利实验时，若玻璃管中混入了空气，由p0=p测+p空可知，p测＜p0，即测得的压强小于大气压强，所以测量结果偏小；若玻璃管没有放竖直，则测得压强的结果会比实际大气压偏大。因此甲同学的测量结果为760毫米汞柱为三个结果中最大，是没有竖直玻璃管，乙同学测得为752毫米汞柱为三个结果中最小，是让空气漏进了玻璃管内。丙同学的操作是正确的，读数为758毫米水银柱。 故选：B。</x:v>
      </x:c>
      <x:c r="N409" s="63" t="str">
        <x:v>https://k12static.xdf.cn/k12/image/externalized/47753a21-0dfd-43ce-ab4c-7b2d3f9a795d.png</x:v>
      </x:c>
      <x:c r="O409" s="63" t="str">
        <x:v>https://k12static.xdf.cn/k12/image/externalized/bb254d3f-ef6d-4b7a-9ed5-ba241d31fb89.png</x:v>
      </x:c>
      <x:c r="P409" s="63" t="str">
        <x:v>3-5步</x:v>
      </x:c>
      <x:c r="Q409" s="63" t="str">
        <x:v>概念判断</x:v>
      </x:c>
      <x:c r="R409" s="63" t="str">
        <x:v>单状态</x:v>
      </x:c>
      <x:c r="S409" s="63" t="str">
        <x:v>无约束</x:v>
      </x:c>
      <x:c r="T409" s="63" t="str">
        <x:v>控制变量或故障分析</x:v>
      </x:c>
      <x:c r="U409" s="63" t="str">
        <x:v>无</x:v>
      </x:c>
      <x:c r="V409" s="63" t="str">
        <x:v>多层因果推理</x:v>
      </x:c>
    </x:row>
    <x:row r="410">
      <x:c r="A410" s="64" t="str">
        <x:v>​2897764120245346304</x:v>
      </x:c>
      <x:c r="B410" s="65" t="str">
        <x:v>拔高题</x:v>
      </x:c>
      <x:c r="C410" s="65" t="str">
        <x:v>拔高题</x:v>
      </x:c>
      <x:c r="D410" s="65" t="str">
        <x:v>拔高题</x:v>
      </x:c>
      <x:c r="E410" s="65" t="str">
        <x:v>逐题复核后保留GPT裁定</x:v>
      </x:c>
      <x:c r="F410" s="65" t="str">
        <x:v>高</x:v>
      </x:c>
      <x:c r="G410" s="65" t="str">
        <x:v>拔高题</x:v>
      </x:c>
      <x:c r="H410" s="65" t="str">
        <x:v>拔高题</x:v>
      </x:c>
      <x:c r="I410" s="65" t="str">
        <x:v>最高难任务在受力、浮力/压强与状态变化中包含图线反推、状态转换、误差评价、几何/等效转换、方程联立或参数反求等决定性卡点，整体约5—6个有效决策；尚未形成压轴所需的完整复杂约束网络。</x:v>
      </x:c>
      <x:c r="J410" s="65" t="str">
        <x:v>三次运行错题并集逐题复核</x:v>
      </x:c>
      <x:c r="K410" s="63" t="str">
        <x:v>如图所示，水平面上足够高的圆柱形容器A、B中分别盛有甲、乙两种液体，且甲对A底部的压强大于乙对B底部的压强。现在两容器中各放入一个物体，物体均漂浮在液面上。小陈认为：若两物体体积相等，甲对容器底部的压强可能小于乙；小王认为：若两物体质量相等，甲对容器底部的压强一定大于乙。关于两人观点，下列判断中正确的是（ ）</x:v>
      </x:c>
      <x:c r="L410" s="63" t="str">
        <x:v>A. 两人的观点均正确 B. 两人的观点均不正确 C. 只有小陈的观点正确 D. 只有小明的观点正确</x:v>
      </x:c>
      <x:c r="M410" s="63" t="str">
        <x:v>解：由于物体均漂浮，所以物体受到的浮力等于重力；若两物体的质量相等，则所受浮力相等，容器底增大的压力等于物体的重力，由图知，A的底面积大于B的底面积，所以甲对容器底部增加的压强一定小于乙，由于原来甲对容器底部的压强大于乙，故甲对容器底部的压强可能小于乙，故小王的观点错误。 若两物体体积相等，由于甲、乙物体漂浮在液面上，V排的大小无法判断，无法得出液面上升的情况，故无法比较对容器底压强的大小关系，故小陈的观点是正确的。 故选：C。</x:v>
      </x:c>
      <x:c r="N410" s="63" t="str">
        <x:v>https://k12static.xdf.cn/k12/image/externalized/98825977-f881-4517-8124-5142b5f43ecc.png</x:v>
      </x:c>
      <x:c r="O410" s="63" t="str">
        <x:v>https://k12static.xdf.cn/k12/image/externalized/aec92940-60fb-4ce6-8792-d9e85d791ec2.png</x:v>
      </x:c>
      <x:c r="P410" s="63" t="str">
        <x:v>3-5步</x:v>
      </x:c>
      <x:c r="Q410" s="63" t="str">
        <x:v>概念判断</x:v>
      </x:c>
      <x:c r="R410" s="63" t="str">
        <x:v>双状态</x:v>
      </x:c>
      <x:c r="S410" s="63" t="str">
        <x:v>单一约束</x:v>
      </x:c>
      <x:c r="T410" s="63" t="str">
        <x:v>无</x:v>
      </x:c>
      <x:c r="U410" s="63" t="str">
        <x:v>无</x:v>
      </x:c>
      <x:c r="V410" s="63" t="str">
        <x:v>多层因果推理</x:v>
      </x:c>
    </x:row>
    <x:row r="411">
      <x:c r="A411" s="64" t="str">
        <x:v>​2902097714229288960</x:v>
      </x:c>
      <x:c r="B411" s="65" t="str">
        <x:v>中等题</x:v>
      </x:c>
      <x:c r="C411" s="65" t="str">
        <x:v>中等题</x:v>
      </x:c>
      <x:c r="D411" s="65" t="str">
        <x:v>中等题</x:v>
      </x:c>
      <x:c r="E411" s="65" t="str">
        <x:v>保留原GPT裁定</x:v>
      </x:c>
      <x:c r="F411" s="65" t="str">
        <x:v>高</x:v>
      </x:c>
      <x:c r="G411" s="65" t="str">
        <x:v>中等题</x:v>
      </x:c>
      <x:c r="H411" s="65" t="str">
        <x:v>拔高题</x:v>
      </x:c>
      <x:c r="I411" s="65" t="str">
        <x:v>题干、解析与结构证据支持中等题：step=3-5步，题型=实验探究，状态=多状态，约束=无约束，推理=多层因果推理。教师、盲评和多次模型证据中未形成足以推翻原裁定的同向结构证据。</x:v>
      </x:c>
      <x:c r="J411" s="65" t="str">
        <x:v>未进入三次错题并集；逐题结构一致性复核</x:v>
      </x:c>
      <x:c r="K411" s="63" t="str">
        <x:v>在探究“冰的熔化特点”的实验中，分别在烧杯和试管中放入适量的碎冰，并各放了一支温度计如图甲，实验过程中根据两个温度计的示数随时间变化分别作出ABCD和AEFG两个图像如图乙，继续加热探究“水沸腾的温度变化特点”，整个过程烧杯中水的温度—时间图像如图丙，下列说法正确的是（ ）</x:v>
      </x:c>
      <x:c r="L411" s="63" t="str">
        <x:v>A. 试管内的碎冰熔化过程经历了9min B. 图乙中AEFG图像中的AE段和EC段，试管中的碎冰都处于固态 C. 探究“水沸腾的温度变化特点”时，试管中的水在第26分钟会沸腾 D. 探究“冰的熔化特点”过程中试管中的碎冰始终能从烧杯中的碎冰吸热</x:v>
      </x:c>
      <x:c r="M411" s="63" t="str">
        <x:v>解：A、先熔化的是烧杯中的冰，试管内的碎冰从第10min开始熔化，熔化过程经历了14min-10min=4min,故A错误； B、图乙中AEFG图像中的AE段处于固态，EC段温度到达熔点，但不吸收热量，冰不能熔化，试管中的碎冰都处于固态，故B正确； C、试管中的水能达到沸点，但不能再吸收热量，故不会沸腾，故C错误； D、EC段温度相同，不会发生热传递，不能吸收热量，故D错误。 故选：B。</x:v>
      </x:c>
      <x:c r="N411" s="63" t="str">
        <x:v>https://k12static.xdf.cn/k12/image/externalized/2c79eb79-ad68-4ae2-8eba-87d18a2026f5.png</x:v>
      </x:c>
      <x:c r="O411" s="63" t="str">
        <x:v>https://k12static.xdf.cn/k12/image/externalized/e4ce2f13-090d-4a2f-9390-630b3fb71d7a.png</x:v>
      </x:c>
      <x:c r="P411" s="63" t="str">
        <x:v>3-5步</x:v>
      </x:c>
      <x:c r="Q411" s="63" t="str">
        <x:v>实验探究</x:v>
      </x:c>
      <x:c r="R411" s="63" t="str">
        <x:v>多状态</x:v>
      </x:c>
      <x:c r="S411" s="63" t="str">
        <x:v>无约束</x:v>
      </x:c>
      <x:c r="T411" s="63" t="str">
        <x:v>控制变量或故障分析</x:v>
      </x:c>
      <x:c r="U411" s="63" t="str">
        <x:v>多组比较归纳</x:v>
      </x:c>
      <x:c r="V411" s="63" t="str">
        <x:v>多层因果推理</x:v>
      </x:c>
    </x:row>
    <x:row r="412">
      <x:c r="A412" s="64" t="str">
        <x:v>​2902256151312781312</x:v>
      </x:c>
      <x:c r="B412" s="65" t="str">
        <x:v>基础题</x:v>
      </x:c>
      <x:c r="C412" s="65" t="str">
        <x:v>基础题</x:v>
      </x:c>
      <x:c r="D412" s="65" t="str">
        <x:v>基础题</x:v>
      </x:c>
      <x:c r="E412" s="65" t="str">
        <x:v>保留原GPT裁定</x:v>
      </x:c>
      <x:c r="F412" s="65" t="str">
        <x:v>高</x:v>
      </x:c>
      <x:c r="G412" s="65" t="str">
        <x:v>基础题</x:v>
      </x:c>
      <x:c r="H412" s="65" t="str">
        <x:v>基础题</x:v>
      </x:c>
      <x:c r="I412" s="65" t="str">
        <x:v>题干、解析与结构证据支持基础题：step=1-2步，题型=概念判断，状态=单状态，约束=无约束，推理=简单因果推理。教师、盲评和多次模型证据中未形成足以推翻原裁定的同向结构证据。</x:v>
      </x:c>
      <x:c r="J412" s="65" t="str">
        <x:v>未进入三次错题并集；逐题结构一致性复核</x:v>
      </x:c>
      <x:c r="K412" s="63" t="str">
        <x:v>如图所示，某同学用弹簧测力计测量铁块没入水中所受浮力，当他缓慢地提着弹簧测力计将铁块上表面由位置A移至水面B的过程中，弹簧测力计示数的变化情况是（ ）</x:v>
      </x:c>
      <x:c r="L412" s="63" t="str">
        <x:v>A. 逐渐变大 B. 逐渐变小 C. 不变 D. 先不变后变大</x:v>
      </x:c>
      <x:c r="M412" s="63" t="str">
        <x:v>解：在从A至B的过程中，铁块受竖直向下的重力G，竖直向上的弹簧秤的拉力F，竖直向上的浮力F浮， 由平衡条件得：G=F浮+F，则弹簧秤的拉力F=G-F浮， 铁块受的浮力F浮=ρgV排，则F=G-ρgV排， 铁块的重力G、水的密度ρ及g不变，所以当他缓慢地将铁块上表面由位置A移至水面B的过程中，铁块还是完全浸没在水中，排开水的体积V排不变，F不变；则弹簧测力计示数不变。 故选：C。</x:v>
      </x:c>
      <x:c r="N412" s="63" t="str">
        <x:v>https://k12static.xdf.cn/k12/image/externalized/ae180f35-3190-47af-b001-6d07a049e556.png</x:v>
      </x:c>
      <x:c r="O412" s="63" t="str">
        <x:v>https://k12static.xdf.cn/k12/image/externalized/b1176764-a033-4428-bd93-fbe941a62cab.png</x:v>
      </x:c>
      <x:c r="P412" s="63" t="str">
        <x:v>1-2步</x:v>
      </x:c>
      <x:c r="Q412" s="63" t="str">
        <x:v>概念判断</x:v>
      </x:c>
      <x:c r="R412" s="63" t="str">
        <x:v>单状态</x:v>
      </x:c>
      <x:c r="S412" s="63" t="str">
        <x:v>无约束</x:v>
      </x:c>
      <x:c r="T412" s="63" t="str">
        <x:v>无</x:v>
      </x:c>
      <x:c r="U412" s="63" t="str">
        <x:v>无</x:v>
      </x:c>
      <x:c r="V412" s="63" t="str">
        <x:v>简单因果推理</x:v>
      </x:c>
    </x:row>
    <x:row r="413">
      <x:c r="A413" s="64" t="str">
        <x:v>​2902314276243222528</x:v>
      </x:c>
      <x:c r="B413" s="65" t="str">
        <x:v>中等题</x:v>
      </x:c>
      <x:c r="C413" s="65" t="str">
        <x:v>中等题</x:v>
      </x:c>
      <x:c r="D413" s="65" t="str">
        <x:v>中等题</x:v>
      </x:c>
      <x:c r="E413" s="65" t="str">
        <x:v>保留原GPT裁定</x:v>
      </x:c>
      <x:c r="F413" s="65" t="str">
        <x:v>高</x:v>
      </x:c>
      <x:c r="G413" s="65" t="str">
        <x:v>中等题</x:v>
      </x:c>
      <x:c r="H413" s="65" t="str">
        <x:v>拔高题</x:v>
      </x:c>
      <x:c r="I413" s="65" t="str">
        <x:v>题干、解析与结构证据支持中等题：step=3-5步，题型=实验探究，状态=多状态，约束=单一约束，推理=多层因果推理。教师、盲评和多次模型证据中未形成足以推翻原裁定的同向结构证据。</x:v>
      </x:c>
      <x:c r="J413" s="65" t="str">
        <x:v>未进入三次错题并集；逐题结构一致性复核</x:v>
      </x:c>
      <x:c r="K413" s="63" t="str">
        <x:v>小京利用铝块、细线、量筒和适量的水测量一个形状不规则的物块的密度。他先将适量的水倒入量筒中放在水平桌面上，量筒示数如图甲所示；再将系好细线的物块放入量筒水中，物块漂浮，量筒示数如图乙所示；把物块从量筒中取出，然后将系好细线的铝块放入量筒水中，量筒示数如图丙所示；最后将铝块和物块系在一起，共同浸没在量筒水中，量筒示数如图丁所示。根据实验过程及现象，下列四个选项中，判断正确的是。（g=10N/kg）（ ）</x:v>
      </x:c>
      <x:c r="L413" s="63" t="str">
        <x:v>A. 物块的体积为18cm3 B. 物块的质量为18g C. 物块浸没在水中受到的浮力是0.2N D. 物块的密度为0.9×103kg/m3</x:v>
      </x:c>
      <x:c r="M413" s="63" t="str">
        <x:v>解： AC、由丙、丁知，物块的体积V=V2-V3=90cm3-70cm3=20cm3； 物块浸没在水中受到的浮力是F浮=G排=ρ水gV排=1.0×103kg/m3×10N/kg×20×10-6m3=0.2N，故A错误，C正确； B、乙图，物块漂浮在水面上，所以F浮=G排=G，可得物块质量m=m排=ρ水（V1-V0）=1.0g/cm3×（78cm3-60cm3）=18g,故B正确； D、物块的密度ρ=$\frac{m}{v}$=$\frac{18g}{20c{m}^{3}}$=0.9g/cm3=0.9×103kg/m3，故D正确。 故选：BCD。</x:v>
      </x:c>
      <x:c r="N413" s="63" t="str">
        <x:v>https://k12static.xdf.cn/k12/image/externalized/2400cd93-c6d3-486e-ba53-ec02bfe5c4b9.png</x:v>
      </x:c>
      <x:c r="O413" s="63" t="str">
        <x:v>https://k12static.xdf.cn/k12/image/externalized/34c54186-89ed-44f7-8afb-14a667f1bc15.png</x:v>
      </x:c>
      <x:c r="P413" s="63" t="str">
        <x:v>3-5步</x:v>
      </x:c>
      <x:c r="Q413" s="63" t="str">
        <x:v>实验探究</x:v>
      </x:c>
      <x:c r="R413" s="63" t="str">
        <x:v>多状态</x:v>
      </x:c>
      <x:c r="S413" s="63" t="str">
        <x:v>单一约束</x:v>
      </x:c>
      <x:c r="T413" s="63" t="str">
        <x:v>控制变量或故障分析</x:v>
      </x:c>
      <x:c r="U413" s="63" t="str">
        <x:v>直接读数</x:v>
      </x:c>
      <x:c r="V413" s="63" t="str">
        <x:v>多层因果推理</x:v>
      </x:c>
    </x:row>
    <x:row r="414">
      <x:c r="A414" s="64" t="str">
        <x:v>​2906612162087952384</x:v>
      </x:c>
      <x:c r="B414" s="65" t="str">
        <x:v>中等题</x:v>
      </x:c>
      <x:c r="C414" s="65" t="str">
        <x:v>中等题</x:v>
      </x:c>
      <x:c r="D414" s="65" t="str">
        <x:v>中等题</x:v>
      </x:c>
      <x:c r="E414" s="65" t="str">
        <x:v>逐题复核后保留GPT裁定</x:v>
      </x:c>
      <x:c r="F414" s="65" t="str">
        <x:v>高</x:v>
      </x:c>
      <x:c r="G414" s="65" t="str">
        <x:v>基础题</x:v>
      </x:c>
      <x:c r="H414" s="65" t="str">
        <x:v>中等题</x:v>
      </x:c>
      <x:c r="I414" s="65" t="str">
        <x:v>需要围绕教材概念与常规物理关系完成常规的3—4个有效决策，或完成一套完整标准实验/共享过程分析。关系仍显性、方法常规，没有决定性隐含转换、复杂边界筛选或多状态强耦合。</x:v>
      </x:c>
      <x:c r="J414" s="65" t="str">
        <x:v>三次运行错题并集逐题复核</x:v>
      </x:c>
      <x:c r="K414" s="63" t="str">
        <x:v>跳绳也可以“发电”。用一根带有绝缘皮的长铜导线做跳绳，将它的两端与固定在地面上的灵敏电流计相连，摇动跳绳时，发现灵敏电流计的指针左右摆动。则（ ）</x:v>
      </x:c>
      <x:c r="L414" s="63" t="str">
        <x:v>A. 向任意方向摇绳均可产生电流 B. 电流方向与绳子运动方向有关 C. 此过程中机械能转化为电能 D. 跳绳发电属于电流的磁效应</x:v>
      </x:c>
      <x:c r="M414" s="63" t="str">
        <x:v>解： A、用一根导带有绝缘皮的长铜导线做跳绳，将跳绳的两端与固定在地面上的灵敏电流计相连，摇动“跳绳”时，导体在地磁场做切割磁感线运动，电路中会产生感应电流，由于地磁场是南北方向的，因此向任意方向摇，绳都做切割磁感线运动，均可产生电流，故A正确； B、感应电流方向与绳子运动方向、磁场的方向有关，故B正确； CD、跳绳发电属于电磁感应现象，根据此原理可制成发电机，在工作过程中将机械能转化为电能，故C正确，D错误。 故选：ABC。</x:v>
      </x:c>
      <x:c r="N414" s="63" t="str">
        <x:v>https://k12static.xdf.cn/k12/image/externalized/46e9580f-39ea-4461-8dba-0a1a02f49720.png</x:v>
      </x:c>
      <x:c r="O414" s="63" t="str">
        <x:v>https://k12static.xdf.cn/k12/image/externalized/85d0b14c-534b-4301-a8cd-671acc8b0bdf.png</x:v>
      </x:c>
      <x:c r="P414" s="63" t="str">
        <x:v>1-2步</x:v>
      </x:c>
      <x:c r="Q414" s="63" t="str">
        <x:v>概念判断</x:v>
      </x:c>
      <x:c r="R414" s="63" t="str">
        <x:v>单状态</x:v>
      </x:c>
      <x:c r="S414" s="63" t="str">
        <x:v>无约束</x:v>
      </x:c>
      <x:c r="T414" s="63" t="str">
        <x:v>无</x:v>
      </x:c>
      <x:c r="U414" s="63" t="str">
        <x:v>无</x:v>
      </x:c>
      <x:c r="V414" s="63" t="str">
        <x:v>多层因果推理</x:v>
      </x:c>
    </x:row>
    <x:row r="415">
      <x:c r="A415" s="64" t="str">
        <x:v>​2917062695357878272</x:v>
      </x:c>
      <x:c r="B415" s="65" t="str">
        <x:v>中等题</x:v>
      </x:c>
      <x:c r="C415" s="65" t="str">
        <x:v>中等题</x:v>
      </x:c>
      <x:c r="D415" s="65" t="str">
        <x:v>中等题</x:v>
      </x:c>
      <x:c r="E415" s="65" t="str">
        <x:v>逐题复核后保留GPT裁定</x:v>
      </x:c>
      <x:c r="F415" s="65" t="str">
        <x:v>高</x:v>
      </x:c>
      <x:c r="G415" s="65" t="str">
        <x:v>中等题</x:v>
      </x:c>
      <x:c r="H415" s="65" t="str">
        <x:v>中等题</x:v>
      </x:c>
      <x:c r="I415" s="65" t="str">
        <x:v>需要围绕教材概念与常规物理关系完成常规的3—4个有效决策，或完成一套完整标准实验/共享过程分析。关系仍显性、方法常规，没有决定性隐含转换、复杂边界筛选或多状态强耦合。</x:v>
      </x:c>
      <x:c r="J415" s="65" t="str">
        <x:v>三次运行错题并集逐题复核</x:v>
      </x:c>
      <x:c r="K415" s="63" t="str">
        <x:v>如图所示，轿车在水平路面上高速行驶，下列说法正确的是（ ）</x:v>
      </x:c>
      <x:c r="L415" s="63" t="str">
        <x:v>A. 车对路面的压力和路面对车的支持力是一对平衡力 B. 以行驶的汽车为参照物，路边的树是静止的 C. 驾驶室座椅上安装头枕的目的是防止碰撞前车时造成伤害 D. 高速行驶过程中，车对路面的压力小于车静止时对路面的压力</x:v>
      </x:c>
      <x:c r="M415" s="63" t="str">
        <x:v>解：A．车对路面的压力和路面对车的支持力作用在两个物体上，不是一对平衡力，故A错误； B．以行驶的汽车为参照物，路边的树相对于汽车的位置发生了变化，是运动的，故B错误； C．当后车追尾时，坐在座椅上的人的头部由于惯性要保持原来的运动状态，头会突然后仰，这时较软的头枕会保护头颈不被撞伤，故C错误； D．车静止时对路面的压力大小等于车的重力大小，小汽车高速行驶时，车身上方空气流速快、压强小，下方空气流速慢、压强大，产生向上的升力，所以车对路面的压力小于车静止时对路面的压力，故D正确。 故选：D。</x:v>
      </x:c>
      <x:c r="N415" s="63" t="str">
        <x:v>https://k12static.xdf.cn/k12/image/externalized/c4152827-8e2c-4164-892c-9f2aee63d4d5.png</x:v>
      </x:c>
      <x:c r="O415" s="63" t="str">
        <x:v>https://k12static.xdf.cn/k12/image/externalized/4fee0dc6-83ed-47a7-9b5e-4668b50228b5.png</x:v>
      </x:c>
      <x:c r="P415" s="63" t="str">
        <x:v>1-2步</x:v>
      </x:c>
      <x:c r="Q415" s="63" t="str">
        <x:v>概念判断</x:v>
      </x:c>
      <x:c r="R415" s="63" t="str">
        <x:v>单状态</x:v>
      </x:c>
      <x:c r="S415" s="63" t="str">
        <x:v>无约束</x:v>
      </x:c>
      <x:c r="T415" s="63" t="str">
        <x:v>无</x:v>
      </x:c>
      <x:c r="U415" s="63" t="str">
        <x:v>无</x:v>
      </x:c>
      <x:c r="V415" s="63" t="str">
        <x:v>简单因果推理</x:v>
      </x:c>
    </x:row>
    <x:row r="416">
      <x:c r="A416" s="64" t="str">
        <x:v>​2928194805791559680</x:v>
      </x:c>
      <x:c r="B416" s="65" t="str">
        <x:v>中等题</x:v>
      </x:c>
      <x:c r="C416" s="65" t="str">
        <x:v>中等题</x:v>
      </x:c>
      <x:c r="D416" s="65" t="str">
        <x:v>中等题</x:v>
      </x:c>
      <x:c r="E416" s="65" t="str">
        <x:v>保留原GPT裁定</x:v>
      </x:c>
      <x:c r="F416" s="65" t="str">
        <x:v>高</x:v>
      </x:c>
      <x:c r="G416" s="65" t="str">
        <x:v>中等题</x:v>
      </x:c>
      <x:c r="H416" s="65" t="str">
        <x:v>拔高题</x:v>
      </x:c>
      <x:c r="I416" s="65" t="str">
        <x:v>题干、解析与结构证据支持中等题：step=3-5步，题型=实验探究，状态=单状态，约束=单一约束，推理=多层因果推理。教师、盲评和多次模型证据中未形成足以推翻原裁定的同向结构证据。</x:v>
      </x:c>
      <x:c r="J416" s="65" t="str">
        <x:v>未进入三次错题并集；逐题结构一致性复核</x:v>
      </x:c>
      <x:c r="K416" s="63" t="str">
        <x:v>趣味实验“盐水制冰”：将装有浓盐水的烧杯放入冰箱降温后取出，再将装有水的试管放入盐水中，如图1所示，观察试管中水的状态并记录盐水和水的温度数据于下表中。 时间t/min 0 1 2 3 4 盐水温度ta/℃ -10 -8 -6 -4 -2 水的温度tb/℃ 10 5 0 0 0 水的状态 液态 固液共存 （1）图2为实验过程中水的能量走向示意图，请在括号内分别填入对应的物质“盐水”“水”和“冰”。 ① ________ ；② ________ ；③ ________ 。 （2）实验时低温的盐水始终为液态，则该盐水的凝固点 ________ 。 A.不高于-10℃ B.不低于-10℃ C.等于0℃ D.高于0℃ （3）有同学分析数据发现，盐水升温比水降温更慢，据此得出结论“盐水的比热容大于水的比热容”。你是否同意该结论？ ________ 。（简要说明判断依据）</x:v>
      </x:c>
      <x:c r="L416" s="63" t="str"/>
      <x:c r="M416" s="63" t="str">
        <x:v>解：（1）水凝固成冰的过程需要放热，热量传播方向由②至①、③，所以①是水，②是盐水；③冰； （2）由表格数据可知，盐水的最低温度为-10℃，实验时低温的盐水始终为液态，所以盐水的凝固点低于-10℃；故选：A； （3）盐水与水的质量不相等，故不能通过温度的变化比较两者的比热容大小，所以该结论是不合理的。 故答案为：（1）盐水；水；冰；（2）A；不同意，盐水和水的质量不知道，无法通过温度的变化比较两者的比热容大小。</x:v>
      </x:c>
      <x:c r="N416" s="63" t="str">
        <x:v>https://k12static.xdf.cn/k12/image/externalized/be3b2c01-51d0-468a-ba68-27dad86a4a67.png</x:v>
      </x:c>
      <x:c r="O416" s="63" t="str">
        <x:v>https://k12static.xdf.cn/k12/image/externalized/b1686907-e0ac-44ca-b5b3-20c181bf17dd.png</x:v>
      </x:c>
      <x:c r="P416" s="63" t="str">
        <x:v>3-5步</x:v>
      </x:c>
      <x:c r="Q416" s="63" t="str">
        <x:v>实验探究</x:v>
      </x:c>
      <x:c r="R416" s="63" t="str">
        <x:v>单状态</x:v>
      </x:c>
      <x:c r="S416" s="63" t="str">
        <x:v>单一约束</x:v>
      </x:c>
      <x:c r="T416" s="63" t="str">
        <x:v>控制变量或故障分析</x:v>
      </x:c>
      <x:c r="U416" s="63" t="str">
        <x:v>多组比较归纳</x:v>
      </x:c>
      <x:c r="V416" s="63" t="str">
        <x:v>多层因果推理</x:v>
      </x:c>
    </x:row>
    <x:row r="417">
      <x:c r="A417" s="64" t="str">
        <x:v>​2931077220550852608</x:v>
      </x:c>
      <x:c r="B417" s="65" t="str">
        <x:v>中等题</x:v>
      </x:c>
      <x:c r="C417" s="65" t="str">
        <x:v>中等题</x:v>
      </x:c>
      <x:c r="D417" s="65" t="str">
        <x:v>中等题</x:v>
      </x:c>
      <x:c r="E417" s="65" t="str">
        <x:v>保留原GPT裁定</x:v>
      </x:c>
      <x:c r="F417" s="65" t="str">
        <x:v>高</x:v>
      </x:c>
      <x:c r="G417" s="65" t="str">
        <x:v>基础题</x:v>
      </x:c>
      <x:c r="H417" s="65" t="str">
        <x:v>中等题</x:v>
      </x:c>
      <x:c r="I417" s="65" t="str">
        <x:v>题干、解析与结构证据支持中等题：step=1-2步，题型=概念判断，状态=单状态，约束=无约束，推理=多层因果推理。教师、盲评和多次模型证据中未形成足以推翻原裁定的同向结构证据。</x:v>
      </x:c>
      <x:c r="J417" s="65" t="str">
        <x:v>未进入三次错题并集；逐题结构一致性复核</x:v>
      </x:c>
      <x:c r="K417" s="63" t="str">
        <x:v>如图所示，同学们在探究重力与质量关系的实验中，用得到的数据描点作出了物体的重力随质量变化的图像，以下是三位同学对图像的分析 小丽：物体的质量越大，所受重力越大 小杰：物体的重力与质量的比值是定值 小刚：重力随质量变化的图像是一条过原点的直线 能够根据自己的分析得出“物体的重力与质量成正比”这一结论的是（ ）</x:v>
      </x:c>
      <x:c r="L417" s="63" t="str">
        <x:v>A. 小丽、小杰 B. 小丽、小刚 C. 小杰、小刚 D. 全都可以</x:v>
      </x:c>
      <x:c r="M417" s="63" t="str">
        <x:v>解：由图像可知，物体的重力与质量有关，且物体的重力与质量的比值是定值，其图像是一条过原点的直线，所以物体的重力与质量成正比，故小杰、小刚能根据自己的分析得出这一结论；而小丽的分析不够精准，如二次函数或一次函数关系中，也有这种可能，故不能得出“物体的重力与质量成正比”这一结论。 故选：C。</x:v>
      </x:c>
      <x:c r="N417" s="63" t="str">
        <x:v>https://k12static.xdf.cn/k12/image/externalized/3987fd5b-0507-446f-82f3-5b393d1722d5.png</x:v>
      </x:c>
      <x:c r="O417" s="63" t="str">
        <x:v>https://k12static.xdf.cn/k12/image/externalized/3fb7895b-99b6-4c10-b0e1-ee1f99c02937.png</x:v>
      </x:c>
      <x:c r="P417" s="63" t="str">
        <x:v>1-2步</x:v>
      </x:c>
      <x:c r="Q417" s="63" t="str">
        <x:v>概念判断</x:v>
      </x:c>
      <x:c r="R417" s="63" t="str">
        <x:v>单状态</x:v>
      </x:c>
      <x:c r="S417" s="63" t="str">
        <x:v>无约束</x:v>
      </x:c>
      <x:c r="T417" s="63" t="str">
        <x:v>无</x:v>
      </x:c>
      <x:c r="U417" s="63" t="str">
        <x:v>无</x:v>
      </x:c>
      <x:c r="V417" s="63" t="str">
        <x:v>多层因果推理</x:v>
      </x:c>
    </x:row>
    <x:row r="418">
      <x:c r="A418" s="64" t="str">
        <x:v>​2931237049922277376</x:v>
      </x:c>
      <x:c r="B418" s="65" t="str">
        <x:v>拔高题</x:v>
      </x:c>
      <x:c r="C418" s="65" t="str">
        <x:v>拔高题</x:v>
      </x:c>
      <x:c r="D418" s="65" t="str">
        <x:v>拔高题</x:v>
      </x:c>
      <x:c r="E418" s="65" t="str">
        <x:v>逐题复核后保留GPT裁定</x:v>
      </x:c>
      <x:c r="F418" s="65" t="str">
        <x:v>高</x:v>
      </x:c>
      <x:c r="G418" s="65" t="str">
        <x:v>拔高题</x:v>
      </x:c>
      <x:c r="H418" s="65" t="str">
        <x:v>拔高题</x:v>
      </x:c>
      <x:c r="I418" s="65" t="str">
        <x:v>最高难任务在电路状态、图线/参数与安全约束中包含图线反推、状态转换、误差评价、几何/等效转换、方程联立或参数反求等决定性卡点，整体约5—6个有效决策；尚未形成压轴所需的完整复杂约束网络。</x:v>
      </x:c>
      <x:c r="J418" s="65" t="str">
        <x:v>三次运行错题并集逐题复核</x:v>
      </x:c>
      <x:c r="K418" s="63" t="str">
        <x:v>如图甲所示，是小华家汽车上自动测定油箱内油量的装置，R是滑动变阻器（规格为“50Ω，1A”），油量表由电流表改装而成，油箱无油时，滑片在一端；油箱装满时，滑片在另一端。小华想知道R′的阻值，她拆下油量表，另外找来电源、滑动变阻器R1、定值电阻R2、电压表、电流表和开关等器材，组成如图乙所示的电路进行测量，调节R2大小，当电流表示数为0.6A时，油量表的指针指向满刻度，继续调节R1大小，得到如下表所示的数据。求：电压表示数/V0.511.522.53油量表示数/L01020304560</x:v>
      </x:c>
      <x:c r="L418" s="63" t="str"/>
      <x:c r="M418" s="63" t="str"/>
      <x:c r="N418" s="63" t="str">
        <x:v>https://k12static.xdf.cn/k12/image/externalized/e28d3b69-cd14-44b5-84c1-a3ce672231ff.png</x:v>
      </x:c>
      <x:c r="O418" s="63" t="str">
        <x:v>https://k12static.xdf.cn/k12/image/externalized/c01a70e7-fed4-453b-8f88-ecdda0e83b57.png</x:v>
      </x:c>
      <x:c r="P418" s="63" t="str">
        <x:v>3-5步</x:v>
      </x:c>
      <x:c r="Q418" s="63" t="str">
        <x:v>电路综合</x:v>
      </x:c>
      <x:c r="R418" s="63" t="str">
        <x:v>双状态</x:v>
      </x:c>
      <x:c r="S418" s="63" t="str">
        <x:v>单一约束</x:v>
      </x:c>
      <x:c r="T418" s="63" t="str">
        <x:v>无</x:v>
      </x:c>
      <x:c r="U418" s="63" t="str">
        <x:v>直接读数</x:v>
      </x:c>
      <x:c r="V418" s="63" t="str">
        <x:v>多层因果推理</x:v>
      </x:c>
    </x:row>
    <x:row r="419">
      <x:c r="A419" s="64" t="str">
        <x:v>​2951572416009965568</x:v>
      </x:c>
      <x:c r="B419" s="65" t="str">
        <x:v>拔高题</x:v>
      </x:c>
      <x:c r="C419" s="65" t="str">
        <x:v>拔高题</x:v>
      </x:c>
      <x:c r="D419" s="65" t="str">
        <x:v>拔高题</x:v>
      </x:c>
      <x:c r="E419" s="65" t="str">
        <x:v>保留原GPT裁定</x:v>
      </x:c>
      <x:c r="F419" s="65" t="str">
        <x:v>中</x:v>
      </x:c>
      <x:c r="G419" s="65" t="str">
        <x:v>拔高题</x:v>
      </x:c>
      <x:c r="H419" s="65" t="str">
        <x:v>中等题</x:v>
      </x:c>
      <x:c r="I419" s="65" t="str">
        <x:v>题干、解析与结构证据支持拔高题：step=3-5步，题型=光学声学综合，状态=单状态，约束=无约束，推理=多层因果推理。教师、盲评和多次模型证据中未形成足以推翻原裁定的同向结构证据。</x:v>
      </x:c>
      <x:c r="J419" s="65" t="str">
        <x:v>未进入三次错题并集；逐题结构一致性复核</x:v>
      </x:c>
      <x:c r="K419" s="63" t="str">
        <x:v>如图所示，两平面镜夹角为60&amp;deg;，OP为角平分线，某人站在P点，则平面镜M内此人所成的像的个数是（ ）</x:v>
      </x:c>
      <x:c r="L419" s="63" t="str">
        <x:v>A. 2个 B. 3个 C. 5个 D. 6个</x:v>
      </x:c>
      <x:c r="M419" s="63" t="str">
        <x:v>$P$ 在 $M, ~ N$ 中分别成像 $A, ~ B$ ，同时 $P$ 在 $M$ 中所成的像 $A$ 会在 $N$ 中再次成像 $A^{\prime}, ~ P$ 在 $N$ 中所成的像 B 会在 M 中再次成像 $\mathrm{B}^{\prime}, \mathrm{A}^{\prime}$ 在 M 中所成的像 C 和 $\mathrm{B}^{\prime}$ 在 N 中所成的像 $\mathrm{C}^{\prime}$ 恰好重合，所以在本题中得到的像一共有 5 个。如图。</x:v>
      </x:c>
      <x:c r="N419" s="63" t="str">
        <x:v>https://k12static.xdf.cn/k12/image/externalized/c328f67a-e9f0-4696-8a22-ae4d094e24c9.png</x:v>
      </x:c>
      <x:c r="O419" s="63" t="str">
        <x:v>https://k12static.xdf.cn/k12/image/externalized/4951a09c-0f1f-4e06-b76d-f7445e25c2c9.png</x:v>
      </x:c>
      <x:c r="P419" s="63" t="str">
        <x:v>3-5步</x:v>
      </x:c>
      <x:c r="Q419" s="63" t="str">
        <x:v>光学声学综合</x:v>
      </x:c>
      <x:c r="R419" s="63" t="str">
        <x:v>单状态</x:v>
      </x:c>
      <x:c r="S419" s="63" t="str">
        <x:v>无约束</x:v>
      </x:c>
      <x:c r="T419" s="63" t="str">
        <x:v>无</x:v>
      </x:c>
      <x:c r="U419" s="63" t="str">
        <x:v>无</x:v>
      </x:c>
      <x:c r="V419" s="63" t="str">
        <x:v>多层因果推理</x:v>
      </x:c>
    </x:row>
    <x:row r="420">
      <x:c r="A420" s="64" t="str">
        <x:v>​2951605846440767488</x:v>
      </x:c>
      <x:c r="B420" s="65" t="str">
        <x:v>基础题</x:v>
      </x:c>
      <x:c r="C420" s="65" t="str">
        <x:v>基础题</x:v>
      </x:c>
      <x:c r="D420" s="65" t="str">
        <x:v>基础题</x:v>
      </x:c>
      <x:c r="E420" s="65" t="str">
        <x:v>逐题复核后保留GPT裁定</x:v>
      </x:c>
      <x:c r="F420" s="65" t="str">
        <x:v>高</x:v>
      </x:c>
      <x:c r="G420" s="65" t="str">
        <x:v>送分题</x:v>
      </x:c>
      <x:c r="H420" s="65" t="str">
        <x:v>中等题</x:v>
      </x:c>
      <x:c r="I420" s="65" t="str">
        <x:v>最高难任务为1—2步显性应用、规范操作或简单因果，没有连续模型转换。 题目证据：自动调整：teacher_medium_to_basic_low_structure_guard；证据：单状态无约束；无实验、图表或变量关系；直接套用或简单因果。最高难任务实际有效推理约2步，需要结合牛顿第一定律，根据题目给出的“正在做变速运动”条件，区分外力消失时物体速度为零和不为零两种情况，最终判断正确结论，属于对牛顿第一定律适用条件的逻辑辨析。</x:v>
      </x:c>
      <x:c r="J420" s="65" t="str">
        <x:v>三次运行错题并集逐题复核</x:v>
      </x:c>
      <x:c r="K420" s="63" t="str">
        <x:v>一个物体正在做变速运动，此时如果该物体所受外力突然全部同时消失，则该物体将（ ）</x:v>
      </x:c>
      <x:c r="L420" s="63" t="str">
        <x:v>A. 静止 B. 匀速直线运动 C. 静止或匀速直线运动 D. 掉下来</x:v>
      </x:c>
      <x:c r="M420" s="63" t="str">
        <x:v>解：一个物体正在做变速运动，若外力消失时物体的速度为零，则物体将保持静止状态； 若外力消失时物体的速度不为零，则物体将保持消失时的速度做匀速直线运动； 综上所述，物体将保持静止或匀速直线运动。 故选：C。</x:v>
      </x:c>
      <x:c r="N420" s="63" t="str">
        <x:v>https://k12static.xdf.cn/k12/image/externalized/ce251ab9-5547-4998-b45d-cd0e3a15ea21.png</x:v>
      </x:c>
      <x:c r="O420" s="63" t="str">
        <x:v>https://k12static.xdf.cn/k12/image/externalized/615f809a-d869-4619-bb40-8a918097506e.png</x:v>
      </x:c>
      <x:c r="P420" s="63" t="str">
        <x:v>1-2步</x:v>
      </x:c>
      <x:c r="Q420" s="63" t="str">
        <x:v>概念判断</x:v>
      </x:c>
      <x:c r="R420" s="63" t="str">
        <x:v>单状态</x:v>
      </x:c>
      <x:c r="S420" s="63" t="str">
        <x:v>无约束</x:v>
      </x:c>
      <x:c r="T420" s="63" t="str">
        <x:v>无</x:v>
      </x:c>
      <x:c r="U420" s="63" t="str">
        <x:v>无</x:v>
      </x:c>
      <x:c r="V420" s="63" t="str">
        <x:v>简单因果推理</x:v>
      </x:c>
    </x:row>
    <x:row r="421">
      <x:c r="A421" s="64" t="str">
        <x:v>​2951640000472584192</x:v>
      </x:c>
      <x:c r="B421" s="65" t="str">
        <x:v>中等题</x:v>
      </x:c>
      <x:c r="C421" s="65" t="str">
        <x:v>中等题</x:v>
      </x:c>
      <x:c r="D421" s="65" t="str">
        <x:v>中等题</x:v>
      </x:c>
      <x:c r="E421" s="65" t="str">
        <x:v>保留原GPT裁定</x:v>
      </x:c>
      <x:c r="F421" s="65" t="str">
        <x:v>高</x:v>
      </x:c>
      <x:c r="G421" s="65" t="str">
        <x:v>基础题</x:v>
      </x:c>
      <x:c r="H421" s="65" t="str">
        <x:v>中等题</x:v>
      </x:c>
      <x:c r="I421" s="65" t="str">
        <x:v>题干、解析与结构证据支持中等题：step=3-5步，题型=概念判断，状态=双状态，约束=单一约束，推理=多层因果推理。教师、盲评和多次模型证据中未形成足以推翻原裁定的同向结构证据。</x:v>
      </x:c>
      <x:c r="J421" s="65" t="str">
        <x:v>未进入三次错题并集；逐题结构一致性复核</x:v>
      </x:c>
      <x:c r="K421" s="63" t="str">
        <x:v>如图，一块厚度、密度均匀的长方形水泥板放在水平地面上，用一竖直向上的力，欲使其一端抬离地面，则（ ）</x:v>
      </x:c>
      <x:c r="L421" s="63" t="str">
        <x:v>A. F甲＞F乙，因为甲方法的动力臂短 B. F甲＜F乙，因为乙方法的阻力臂长 C. F甲＞F乙，因为乙方法时阻力臂短 D. F甲=F乙</x:v>
      </x:c>
      <x:c r="M421" s="63" t="str">
        <x:v>解：两次抬起水泥板时的情况如图所示： 在上述两种情况下，动力为F，阻力均为水泥板的重力，对于形状规则质地均匀的物体，其重心都在其几何中心上，所以动力臂都等于阻力臂的2倍； 根据杠杆的平衡条件可得：F=$\frac{G{L}_{阻}}{{L}_{动}}$=$\frac{1}{2}$G，所以前后两次所用的力相同，故ABC错误，D正确。 故选：D。</x:v>
      </x:c>
      <x:c r="N421" s="63" t="str">
        <x:v>https://k12static.xdf.cn/k12/image/externalized/8fe6c10e-3fc8-4661-a32b-828fa5f2ea28.png</x:v>
      </x:c>
      <x:c r="O421" s="63" t="str">
        <x:v>https://k12static.xdf.cn/k12/image/externalized/3818d0c8-9bb9-4e0d-9980-5e514aaa9549.png</x:v>
      </x:c>
      <x:c r="P421" s="63" t="str">
        <x:v>3-5步</x:v>
      </x:c>
      <x:c r="Q421" s="63" t="str">
        <x:v>概念判断</x:v>
      </x:c>
      <x:c r="R421" s="63" t="str">
        <x:v>双状态</x:v>
      </x:c>
      <x:c r="S421" s="63" t="str">
        <x:v>单一约束</x:v>
      </x:c>
      <x:c r="T421" s="63" t="str">
        <x:v>无</x:v>
      </x:c>
      <x:c r="U421" s="63" t="str">
        <x:v>无</x:v>
      </x:c>
      <x:c r="V421" s="63" t="str">
        <x:v>多层因果推理</x:v>
      </x:c>
    </x:row>
    <x:row r="422">
      <x:c r="A422" s="64" t="str">
        <x:v>​2951658218704093184</x:v>
      </x:c>
      <x:c r="B422" s="65" t="str">
        <x:v>基础题</x:v>
      </x:c>
      <x:c r="C422" s="65" t="str">
        <x:v>基础题</x:v>
      </x:c>
      <x:c r="D422" s="65" t="str">
        <x:v>基础题</x:v>
      </x:c>
      <x:c r="E422" s="65" t="str">
        <x:v>保留原GPT裁定</x:v>
      </x:c>
      <x:c r="F422" s="65" t="str">
        <x:v>高</x:v>
      </x:c>
      <x:c r="G422" s="65" t="str">
        <x:v>中等题</x:v>
      </x:c>
      <x:c r="H422" s="65" t="str">
        <x:v>基础题</x:v>
      </x:c>
      <x:c r="I422" s="65" t="str">
        <x:v>题干、解析与结构证据支持基础题：step=1-2步，题型=概念判断，状态=单状态，约束=无约束，推理=简单因果推理。教师、盲评和多次模型证据中未形成足以推翻原裁定的同向结构证据。</x:v>
      </x:c>
      <x:c r="J422" s="65" t="str">
        <x:v>未进入三次错题并集；逐题结构一致性复核</x:v>
      </x:c>
      <x:c r="K422" s="63" t="str">
        <x:v>如图所示，北京冬奥会比赛项目中相关物理知识描述正确的是（ ）</x:v>
      </x:c>
      <x:c r="L422" s="63" t="str">
        <x:v>A. 谷爱凌夺冠决赛中完美旋转时，她受到惯性的作用 B. 苏翊鸣完成单板转体，他上升到最高点时受平衡力作用 C. 武大靖蹬地匀速通过弯道，是由于受到平衡力的作用 D. 柳鑫宇和王诗玥以如图造型滑行时，王诗玥对地面没有压力</x:v>
      </x:c>
      <x:c r="M422" s="63" t="str">
        <x:v>解：A．惯性是物体本身的一种性质，惯性不是力，不能说受到惯性的作用，故A错误； B．苏翊鸣上升到最高点时只受重力作用，所以受力不平衡，故B错误； C．武大靖蹬地匀速通过弯道时，运动状态不断改变，说明他受到了非平衡力的作用，故C错误； D．柳鑫宇和王诗玥以如图造型滑行时，王诗玥与地面之间没有接触，对地面没有压力，故D正确。 故选：D。</x:v>
      </x:c>
      <x:c r="N422" s="63" t="str">
        <x:v>https://k12static.xdf.cn/k12/image/externalized/00a1b885-1113-4dce-a9c5-d31f915b2c01.png</x:v>
      </x:c>
      <x:c r="O422" s="63" t="str">
        <x:v>https://k12static.xdf.cn/k12/image/externalized/a27c7487-ffc1-4375-b4ec-45859da9ca6a.png</x:v>
      </x:c>
      <x:c r="P422" s="63" t="str">
        <x:v>1-2步</x:v>
      </x:c>
      <x:c r="Q422" s="63" t="str">
        <x:v>概念判断</x:v>
      </x:c>
      <x:c r="R422" s="63" t="str">
        <x:v>单状态</x:v>
      </x:c>
      <x:c r="S422" s="63" t="str">
        <x:v>无约束</x:v>
      </x:c>
      <x:c r="T422" s="63" t="str">
        <x:v>无</x:v>
      </x:c>
      <x:c r="U422" s="63" t="str">
        <x:v>无</x:v>
      </x:c>
      <x:c r="V422" s="63" t="str">
        <x:v>简单因果推理</x:v>
      </x:c>
    </x:row>
    <x:row r="423">
      <x:c r="A423" s="64" t="str">
        <x:v>​2952966851480805376</x:v>
      </x:c>
      <x:c r="B423" s="65" t="str">
        <x:v>拔高题</x:v>
      </x:c>
      <x:c r="C423" s="65" t="str">
        <x:v>拔高题</x:v>
      </x:c>
      <x:c r="D423" s="65" t="str">
        <x:v>拔高题</x:v>
      </x:c>
      <x:c r="E423" s="65" t="str">
        <x:v>逐题复核后保留GPT裁定</x:v>
      </x:c>
      <x:c r="F423" s="65" t="str">
        <x:v>高</x:v>
      </x:c>
      <x:c r="G423" s="65" t="str">
        <x:v>拔高题</x:v>
      </x:c>
      <x:c r="H423" s="65" t="str">
        <x:v>拔高题</x:v>
      </x:c>
      <x:c r="I423" s="65" t="str">
        <x:v>最高难任务在力学模型、运动/受力与能量关系中包含图线反推、状态转换、误差评价、几何/等效转换、方程联立或参数反求等决定性卡点，整体约5—6个有效决策；尚未形成压轴所需的完整复杂约束网络。</x:v>
      </x:c>
      <x:c r="J423" s="65" t="str">
        <x:v>三次运行错题并集逐题复核</x:v>
      </x:c>
      <x:c r="K423" s="63" t="str">
        <x:v>如图所示，一根均匀的细木棒可绕O点无摩擦转动，$OA=AB=BC=CD$，对杠杆施加力F，将挂在A点重为180N的物体匀速提升0.4m。以下说法正确的是（ ）</x:v>
      </x:c>
      <x:c r="L423" s="63" t="str">
        <x:v>A. 若在D点施加力F，该杠杆一定为省力杠杆 B. 若木棒的机械效率为90%，则木棒的重力为10N C. 若在C点施加竖直向上的力F，提升过程中的F变大 D. 若物体从A点移至C点，仍提起0.4m，则F做的功变大</x:v>
      </x:c>
      <x:c r="M423" s="63" t="str">
        <x:v>A．若在D点施加力F，没有确定力F的方向，则动力臂长度不确定，不能确定该杠杆一定是省力杠杆，故A错误；B．若木棒的机械效率为90%，不计摩擦，则对物体做的功为有用功，对木棒做的功为额外功；因为$OA=AB=BC=CD$，所以，当物体匀速提升0.4m时，木棒重心升高的高度为0.8m，故有$\dfrac{180\mathrm{N}\times 0.4\mathrm{m}}{180\mathrm{N}\times 0.4\mathrm{m}+G_{\mathrm{棒}}\times 0.8\mathrm{m}}\times 100\mathrm{\% }=90\mathrm{\% }$解得，木棒的重力为G棒=10N，故B正确；C．若在C点施加竖直向上的力F，提升过程中，动力臂与阻力臂的比值不变，根据杠杆的平衡条件，力F不变，故C错误；D．若物体从A点移至C点，仍提起0.4m，对物体做的有用功不变，木棒重心升高的高度变小，对木棒做的额外功变小，所以，F做的功变小，故D错误。故选B。</x:v>
      </x:c>
      <x:c r="N423" s="63" t="str">
        <x:v>https://k12static.xdf.cn/k12/image/externalized/1e71934c-2959-4d68-8583-7bbd69a97a6a.png</x:v>
      </x:c>
      <x:c r="O423" s="63" t="str">
        <x:v>https://k12static.xdf.cn/k12/image/externalized/56dd5a4a-2f07-4d9e-98ea-3913da27b8dd.png</x:v>
      </x:c>
      <x:c r="P423" s="63" t="str">
        <x:v>3-5步</x:v>
      </x:c>
      <x:c r="Q423" s="63" t="str">
        <x:v>概念判断</x:v>
      </x:c>
      <x:c r="R423" s="63" t="str">
        <x:v>双状态</x:v>
      </x:c>
      <x:c r="S423" s="63" t="str">
        <x:v>单一约束</x:v>
      </x:c>
      <x:c r="T423" s="63" t="str">
        <x:v>无</x:v>
      </x:c>
      <x:c r="U423" s="63" t="str">
        <x:v>无</x:v>
      </x:c>
      <x:c r="V423" s="63" t="str">
        <x:v>多层因果推理</x:v>
      </x:c>
    </x:row>
    <x:row r="424">
      <x:c r="A424" s="64" t="str">
        <x:v>​2954123105349218304</x:v>
      </x:c>
      <x:c r="B424" s="65" t="str">
        <x:v>中等题</x:v>
      </x:c>
      <x:c r="C424" s="65" t="str">
        <x:v>中等题</x:v>
      </x:c>
      <x:c r="D424" s="65" t="str">
        <x:v>中等题</x:v>
      </x:c>
      <x:c r="E424" s="65" t="str">
        <x:v>保留原GPT裁定</x:v>
      </x:c>
      <x:c r="F424" s="65" t="str">
        <x:v>高</x:v>
      </x:c>
      <x:c r="G424" s="65" t="str">
        <x:v>中等题</x:v>
      </x:c>
      <x:c r="H424" s="65" t="str">
        <x:v>拔高题</x:v>
      </x:c>
      <x:c r="I424" s="65" t="str">
        <x:v>题干、解析与结构证据支持中等题：step=1-2步，题型=实验探究，状态=单状态，约束=无约束，推理=多层因果推理。教师、盲评和多次模型证据中未形成足以推翻原裁定的同向结构证据。</x:v>
      </x:c>
      <x:c r="J424" s="65" t="str">
        <x:v>未进入三次错题并集；逐题结构一致性复核</x:v>
      </x:c>
      <x:c r="K424" s="63" t="str">
        <x:v>“浮囊者，以浑脱羊皮吹气，令满系其空，束与腋下，人浮以渡”小凡了解到古人对浮力的利用后，利用所学知识，对影响浮力大小的因素进行了探究。小凡根据已有的知识和生活经验，做出了如下的猜想： A.浮力大小与物体浸入液体的体积有关；B.浮力大小与液体密度有关。 他找来了弹簧测力计、体积不同的圆柱体金属块、圆柱形玻璃杯、水、盐水（盐水密度大于水的密度）进行了如图所示的操作。 ​ （1）图乙中金属块所受浮力为 ________ N。 （2）通过比较甲、乙、丙三次实验数据可知，浮力大小与 ________ 有关。 （3）在探究猜想B的过程中，应控制不变的量是 ________ ，改变的量是 ________ 。 （4）实验过程中小凡发现丙、丁两图中弹簧测力计示数差异较小，实验过程中很容易得出错误结论，若不改变两种液体密度，请你提出一种改进的方法 ________ 。 （5）“浮囊者，以浑脱羊皮吹气，令满系其空，束与腋下，人浮以渡”，将完整的羊皮吹满气密封后固定在人的腋下，这样人在水中漂浮时，露出水面的体积变 ________ ，从而更安全。</x:v>
      </x:c>
      <x:c r="L424" s="63" t="str"/>
      <x:c r="M424" s="63" t="str">
        <x:v>解：（1）由图甲可知，物体重力为G=4.6N，图乙中测力计示数为F示=3.6N，则物体所受浮力为F浮=G-F示=4.6N-3.6N=1N； （2）比较甲、乙、丙可知，液体密度一定，排开液体体积不同，测力计示数不同，则浮力不同，说明浮力大小与物体排开液体体积有关； （3）探究浮力大小与液体密度关系，应控制物体排开液体体积不变，改变液体密度； （4）丙、丁两图中弹簧测力计示数差异较小，可知浮力变化量较小，根据ΔF浮=ΔρgV，液体密度不变时，要使浮力变化大，则换用体积更大的物体； （5）为固定浮囊时，人漂浮在水面上，浮力等于重力。将完整的羊皮吹满气密封后固定在人的腋下，人和浮囊是一个整体，漂浮时，由于浮囊质量较小，浮力基本等于人的重力，排开水的体积等于气囊排开水的体积与人排开水的体积之和，因为排开水的一部分体积被浮囊占据，那么人在水下的体积所占体积就变小，露出水面的体积变大。</x:v>
      </x:c>
      <x:c r="N424" s="63" t="str">
        <x:v>https://k12static.xdf.cn/k12/image/externalized/1c95e6d3-688c-4ce8-819b-3fdbb16a2b04.png</x:v>
      </x:c>
      <x:c r="O424" s="63" t="str">
        <x:v>https://k12static.xdf.cn/k12/image/externalized/86f5df56-8442-4820-baca-e27a15172550.png</x:v>
      </x:c>
      <x:c r="P424" s="63" t="str">
        <x:v>1-2步</x:v>
      </x:c>
      <x:c r="Q424" s="63" t="str">
        <x:v>实验探究</x:v>
      </x:c>
      <x:c r="R424" s="63" t="str">
        <x:v>单状态</x:v>
      </x:c>
      <x:c r="S424" s="63" t="str">
        <x:v>无约束</x:v>
      </x:c>
      <x:c r="T424" s="63" t="str">
        <x:v>控制变量或故障分析</x:v>
      </x:c>
      <x:c r="U424" s="63" t="str">
        <x:v>无</x:v>
      </x:c>
      <x:c r="V424" s="63" t="str">
        <x:v>多层因果推理</x:v>
      </x:c>
    </x:row>
    <x:row r="425">
      <x:c r="A425" s="64" t="str">
        <x:v>​2958865557823533056</x:v>
      </x:c>
      <x:c r="B425" s="65" t="str">
        <x:v>拔高题</x:v>
      </x:c>
      <x:c r="C425" s="65" t="str">
        <x:v>拔高题</x:v>
      </x:c>
      <x:c r="D425" s="65" t="str">
        <x:v>拔高题</x:v>
      </x:c>
      <x:c r="E425" s="65" t="str">
        <x:v>逐题复核后保留GPT裁定</x:v>
      </x:c>
      <x:c r="F425" s="65" t="str">
        <x:v>中</x:v>
      </x:c>
      <x:c r="G425" s="65" t="str">
        <x:v>拔高题</x:v>
      </x:c>
      <x:c r="H425" s="65" t="str">
        <x:v>压轴题</x:v>
      </x:c>
      <x:c r="I425" s="65" t="str">
        <x:v>存在决定性反推/等效/误差/几何转换，或同一装置中的5—6步高密度综合链。 题目证据：最高难小问为第(3)问，实际有效物理决策共4步：①由150℃从丙图读出R2阻值，结合R3阻值计算控制电路总电阻；②识别衔铁弹起时电流不变、电源电压不变，因此总电阻不变这一关键约束；③总电阻减去新的R3阻值得到新的R2阻值；④由R2阻值从丙图反推对应温度。五维锚定：知识量为电热、电能、电功率、电磁继电器控制电路跨模块综合，过程为两个控制电路状态对比，数学工具需要结合图像反推，情境为常规家用装置不额外增难，思维层次达到多层因果推理加图像反推转换。最高难任务依赖“衔铁吸合/弹起的触发电流不变、总电阻不变”这一隐含约束，属</x:v>
      </x:c>
      <x:c r="J425" s="65" t="str">
        <x:v>三次运行错题并集逐题复核</x:v>
      </x:c>
      <x:c r="K425" s="63" t="str">
        <x:v>图甲是某型号能设定加热温度的家用空气炸锅，其简化电路如图乙所示，它是通过电热丝Rt来加热空气，从而加热食物，达到设定加热温度后，断开开关。求： （1）若把空气炸锅单独接入家庭电路中持续工作电能表上标有3000r/（kW•h）的字样，其转盘正好转了100转，这段时间空气炸锅内200g的薯条温度升高了80℃，工作时间2min,求薯条吸收的热量和此时空气作锅的实际电功率。[c薯条=3.6×103J/（kg•℃）J。 （2）工作电路中电热丝R1与指示灯支路并联。已知R1的额定电压为220V，额定功率为1210W。正常工作时，工作电路的总电流为5.55A，此时指示灯支路消耗的功率。 （3）控制电路电源电压恒定，通过调节变阻器R3接入电路的阻值来设置加热温度，电阻R2置于温度监测区域，它的阻值随温度变化的关系如图丙所示。当加热温度设定为150℃，即R3的阻值调为100Ω时，闭合开关S，电磁继电器（不计线圈的电阻）的衔铁被吸下，工作电路接通，开始加热：直到温度达到150℃时，衔铁向上弹起，停止加热。则当R3的阻值调为80Ω时，对应的加热温度设定为多少？</x:v>
      </x:c>
      <x:c r="L425" s="63" t="str"/>
      <x:c r="M425" s="63" t="str">
        <x:v>解：（1）薯条吸收的热量：Q吸=c薯条mΔt=3.6×103J/（kg•℃）×200×10-3kg×80℃=5.76×104J； 3000r/（kW•h）表示电路中用电器每消耗1kW•h电能，电能表的转盘转过3000转， 则转盘转了100转，空气炸锅消耗的电能：W=$\frac{100r}{3000r/(kW\bullet h)}$=$\frac{1}{30}$kW•h, 空气炸锅的实际电功率：P=$\frac{W}{t}$=$\frac{\frac{1}{30}kW\bullet h}{\frac{2}{60}h}$=1kW=1000W； （2）由P=UI可知，R1的额定电流：I额=$\frac{{P}_{额}}{{U}_{额}}$=$\frac{1210W}{220V}$=5.5A； 根据串并联电路的电流特点可知，指示灯支路的电流：I灯=I-I额=5.55A-5.5A=0.05A； 指示灯支路消耗的功率：P灯=UI灯=220V×0.05A=11W； （3）R3的阻值调为100Ω，由图丙可知，当加热温度设定为150℃，R2的阻值是30Ω，衔铁向上弹起，停止加热， 根据串联电路的电阻特点可知，此时控制电路的总电阻：R=R2+R3=30Ω+100Ω=130Ω， 当R3的阻值调为80Ω时，由于衔铁被吸下时的电流不变，电源电压也不变，则总电阻不变。 所以此时R2的阻值：R′2=R-R′3=130Ω-80Ω=50Ω； 由图丙可知，对应的加热温度设定为200℃。 答：（1）薯条吸收的热量为5.76×104J；此时空气炸锅的实际电功率为1000W； （2）指示灯支路消耗的功率是11W； （3）当R3的阻值调为80Ω时，对应的加热温度设定为200℃。</x:v>
      </x:c>
      <x:c r="N425" s="63" t="str">
        <x:v>https://k12static.xdf.cn/k12/image/externalized/719ccdb8-bf4f-4077-aeb7-d8acb98a5330.png</x:v>
      </x:c>
      <x:c r="O425" s="63" t="str">
        <x:v>https://k12static.xdf.cn/k12/image/externalized/e7c313ee-92a3-4077-befb-bc7542805dd5.png</x:v>
      </x:c>
      <x:c r="P425" s="63" t="str">
        <x:v>3-5步</x:v>
      </x:c>
      <x:c r="Q425" s="63" t="str">
        <x:v>跨模块综合</x:v>
      </x:c>
      <x:c r="R425" s="63" t="str">
        <x:v>双状态</x:v>
      </x:c>
      <x:c r="S425" s="63" t="str">
        <x:v>单一约束</x:v>
      </x:c>
      <x:c r="T425" s="63" t="str">
        <x:v>无</x:v>
      </x:c>
      <x:c r="U425" s="63" t="str">
        <x:v>直接读数</x:v>
      </x:c>
      <x:c r="V425" s="63" t="str">
        <x:v>多层因果推理</x:v>
      </x:c>
    </x:row>
    <x:row r="426">
      <x:c r="A426" s="64" t="str">
        <x:v>​2961808929062686720</x:v>
      </x:c>
      <x:c r="B426" s="65" t="str">
        <x:v>中等题</x:v>
      </x:c>
      <x:c r="C426" s="65" t="str">
        <x:v>中等题</x:v>
      </x:c>
      <x:c r="D426" s="65" t="str">
        <x:v>中等题</x:v>
      </x:c>
      <x:c r="E426" s="65" t="str">
        <x:v>保留原GPT裁定</x:v>
      </x:c>
      <x:c r="F426" s="65" t="str">
        <x:v>高</x:v>
      </x:c>
      <x:c r="G426" s="65" t="str">
        <x:v>拔高题</x:v>
      </x:c>
      <x:c r="H426" s="65" t="str">
        <x:v>中等题</x:v>
      </x:c>
      <x:c r="I426" s="65" t="str">
        <x:v>题干、解析与结构证据支持中等题：step=3-5步，题型=电路综合，状态=双状态，约束=单一约束，推理=多层因果推理。教师、盲评和多次模型证据中未形成足以推翻原裁定的同向结构证据。</x:v>
      </x:c>
      <x:c r="J426" s="65" t="str">
        <x:v>未进入三次错题并集；逐题结构一致性复核</x:v>
      </x:c>
      <x:c r="K426" s="63" t="str">
        <x:v>如图为一款“智能照明灯”的电路，其控制电路中，电源电压恒定，R1为可变电阻，R2为光敏电阻，其阻值随光强度而变化。当电流到达某一值时，会将衔铁吸下，灯L天黑时自动发光，天亮时自动熄灭。关于该灯，下列说法正确的是（ ）</x:v>
      </x:c>
      <x:c r="L426" s="63" t="str">
        <x:v>A. 通电螺线管上方是N极 B. R2阻值应随光照强度的增大而增大 C. 若将R1调大，灯泡工作时间会变短 D. 若控制电路中电源电压降低，灯泡工作时间会变长</x:v>
      </x:c>
      <x:c r="M426" s="63" t="str">
        <x:v>解：A．根据控制电路可知，电流从通电螺线管上端流入，下端流出，由右手定则得，螺线管下方是N极，故A错误； B．灯L天黑时自动发光，天亮时自动熄灭；当电流到达某一值时，会将衔铁吸下，此时灯泡断开，灯熄灭，说明光照强度越强，螺线管的磁性越强，此时控制电路中，电路电流变强，电路总电阻变小；控制电路中，定值电阻R1、光敏电阻R2与螺线管串联，则光照强度越强，光敏电阻R2越小，即R2阻值应随光照强度的增大而减小，故B错误； C．若将R1调大，其他因素不变时，控制电路中电阻越大，控制电路中电流越小，螺线管磁性越小，越不能将衔铁吸下，灯泡工作时间会变长，故C错误； D．若控制电路中电源电压降低，根据欧姆定律可知，电路中的电流会变小，电磁铁的磁性减弱，使得灯泡不到天黑时就工作，天亮时仍在工作，即灯泡的工作时间会变长，故D正确。 故选：D。</x:v>
      </x:c>
      <x:c r="N426" s="63" t="str">
        <x:v>https://k12static.xdf.cn/k12/image/externalized/a0a1b24c-6f79-4e37-8cfc-fc5e0145ab16.png</x:v>
      </x:c>
      <x:c r="O426" s="63" t="str">
        <x:v>https://k12static.xdf.cn/k12/image/externalized/0bf482b2-4c86-4c71-8abd-4066ac64451e.png</x:v>
      </x:c>
      <x:c r="P426" s="63" t="str">
        <x:v>3-5步</x:v>
      </x:c>
      <x:c r="Q426" s="63" t="str">
        <x:v>电路综合</x:v>
      </x:c>
      <x:c r="R426" s="63" t="str">
        <x:v>双状态</x:v>
      </x:c>
      <x:c r="S426" s="63" t="str">
        <x:v>单一约束</x:v>
      </x:c>
      <x:c r="T426" s="63" t="str">
        <x:v>无</x:v>
      </x:c>
      <x:c r="U426" s="63" t="str">
        <x:v>无</x:v>
      </x:c>
      <x:c r="V426" s="63" t="str">
        <x:v>多层因果推理</x:v>
      </x:c>
    </x:row>
    <x:row r="427">
      <x:c r="A427" s="64" t="str">
        <x:v>​2962752047473356800</x:v>
      </x:c>
      <x:c r="B427" s="65" t="str">
        <x:v>中等题</x:v>
      </x:c>
      <x:c r="C427" s="65" t="str">
        <x:v>中等题</x:v>
      </x:c>
      <x:c r="D427" s="65" t="str">
        <x:v>中等题</x:v>
      </x:c>
      <x:c r="E427" s="65" t="str">
        <x:v>保留原GPT裁定</x:v>
      </x:c>
      <x:c r="F427" s="65" t="str">
        <x:v>高</x:v>
      </x:c>
      <x:c r="G427" s="65" t="str">
        <x:v>中等题</x:v>
      </x:c>
      <x:c r="H427" s="65" t="str">
        <x:v>拔高题</x:v>
      </x:c>
      <x:c r="I427" s="65" t="str">
        <x:v>题干、解析与结构证据支持中等题：step=3-5步，题型=实验探究，状态=单状态，约束=单一约束，推理=多层因果推理。教师、盲评和多次模型证据中未形成足以推翻原裁定的同向结构证据。</x:v>
      </x:c>
      <x:c r="J427" s="65" t="str">
        <x:v>未进入三次错题并集；逐题结构一致性复核</x:v>
      </x:c>
      <x:c r="K427" s="63" t="str">
        <x:v>如图所示，甲、乙、丙是三套完全相同的实验装置。其中燃料的质量，烧杯内液体的质量、初温也都相同。 （1）探究不同物质的比热容时，应选择 ________ 两图进行实验；不同物质吸热的多少是通过 ________ 来反映的（选填“液体升高的温度”或“加热的时间”），这种研究方法叫做 ________ 。 （2）根据记录的数据还可以发现，如果要使液体a和液体b的最后温度相同，就要给 ________ 加热更长的时间，由此可以得出实验的初步结论为：不同物质的吸热能力 ________ （选填“相同”或“不同”），根据表格数据可以得出 ________ 的比热容较大。 液体 质量/g 初始温度/℃ 加热时间/min 最后温度/℃ a 60 20 5 40 b 60 20 5 60 （3）探究不同燃料的热值应选择 ________ 两图进行实验，实验时比较燃料放出热量的多少是通过液体 ________ 来反映的（选填“升高的温度”或“加热的时间”）。 （4）实验收集的数据：液体a的质量为m,初温为t0，末温为t1，燃料1燃烧前的质量为m1，燃烧后的质量为m2，盛液体a的烧杯吸收的热量经测量为Q0，已知液体a的比热容为c,则燃料1的热值q= ________ （不计其他热损失，用题中给定的物理量符号表示）。 （5）通过实验得到的燃料热值与实际相比是 ________ （“偏大”或“偏小”或“不变”），你认为出现这样情况的主要原因是： ________ 。</x:v>
      </x:c>
      <x:c r="L427" s="63" t="str"/>
      <x:c r="M427" s="63" t="str">
        <x:v>解：（1）比较不同物质的比热容，应控制燃料相同而吸热物质不同，选择甲、丙两图进行实验。实验加热的时间越长，相同燃料燃烧的质量越多，放出的热量越多，液体吸收的就越多，故通过加热时间来反映物质吸热的多少。 （2）由表格数据可知，液体a在5min钟内温度上升20℃，质量相同的液体b在5min钟内温度上升40℃，所以升高相同的温度，a液体吸收的热量多，所以a液体的比热容大；不同物质吸热能力就越强。 （3）为了比较不同燃料的热值，要用相同质量的不同燃料，加热质量相同的同种液体，所以应选择甲、乙两图进行实验；根据Q吸=cmΔt可知，温度计上升的示数越高，吸热越多，即燃料放出的热量越多，燃料的热值越大，所以燃料热值的大小是通过升高的温度来反映的。 （4）a液体吸收的热量为 Qa吸=cm（t1-t0）， 不计热损失，那么燃料1燃烧放出的热量等于水吸收的热量与烧杯吸收的热量之和，即 Q放=Qa吸+Q0=cm（t1-t0）+Q0， 燃料1燃烧的质量Δm=m1-m2，则这支燃料1的热值 q=$\frac{{Q}_{放}}{\Delta m}$=$\frac{cm({t}_{1}-{t}_{0}+{Q}_{0})}{{m}_{1}-{m}_{2}}$； （5）由于燃料燃烧放出的热量不能被水全部吸收，即存在热损失，所以根据Q=mq测出的燃料热值比实际值偏小 故答案为：（1）甲、丙；加热的时间；转换法；（2）a；不同；a（3）甲、乙；升高的温度；（4）$\frac{cm({t}_{1}-{t}_{0}+{Q}_{0})}{{m}_{1}-{m}_{2}}$；（5）偏小；由于燃料燃烧放出的热量不能被水全部吸收，即存在热损失，所以根据Q=mq测出的燃料热值比实际值偏小。</x:v>
      </x:c>
      <x:c r="N427" s="63" t="str">
        <x:v>https://k12static.xdf.cn/k12/image/externalized/3ac8d970-ce5a-44f6-874b-fdc4e61ad72a.png</x:v>
      </x:c>
      <x:c r="O427" s="63" t="str">
        <x:v>https://k12static.xdf.cn/k12/image/externalized/fd118903-a4c1-447a-8d10-1e75fbe645aa.png</x:v>
      </x:c>
      <x:c r="P427" s="63" t="str">
        <x:v>3-5步</x:v>
      </x:c>
      <x:c r="Q427" s="63" t="str">
        <x:v>实验探究</x:v>
      </x:c>
      <x:c r="R427" s="63" t="str">
        <x:v>单状态</x:v>
      </x:c>
      <x:c r="S427" s="63" t="str">
        <x:v>单一约束</x:v>
      </x:c>
      <x:c r="T427" s="63" t="str">
        <x:v>控制变量或故障分析</x:v>
      </x:c>
      <x:c r="U427" s="63" t="str">
        <x:v>多组比较归纳</x:v>
      </x:c>
      <x:c r="V427" s="63" t="str">
        <x:v>多层因果推理</x:v>
      </x:c>
    </x:row>
    <x:row r="428">
      <x:c r="A428" s="64" t="str">
        <x:v>​2973335215521935360</x:v>
      </x:c>
      <x:c r="B428" s="65" t="str">
        <x:v>中等题</x:v>
      </x:c>
      <x:c r="C428" s="65" t="str">
        <x:v>中等题</x:v>
      </x:c>
      <x:c r="D428" s="65" t="str">
        <x:v>中等题</x:v>
      </x:c>
      <x:c r="E428" s="65" t="str">
        <x:v>保留原GPT裁定</x:v>
      </x:c>
      <x:c r="F428" s="65" t="str">
        <x:v>高</x:v>
      </x:c>
      <x:c r="G428" s="65" t="str">
        <x:v>中等题</x:v>
      </x:c>
      <x:c r="H428" s="65" t="str">
        <x:v>拔高题</x:v>
      </x:c>
      <x:c r="I428" s="65" t="str">
        <x:v>题干、解析与结构证据支持中等题：step=3-5步，题型=概念判断，状态=单状态，约束=单一约束，推理=多层因果推理。教师、盲评和多次模型证据中未形成足以推翻原裁定的同向结构证据。</x:v>
      </x:c>
      <x:c r="J428" s="65" t="str">
        <x:v>未进入三次错题并集；逐题结构一致性复核</x:v>
      </x:c>
      <x:c r="K428" s="63" t="str">
        <x:v>某同学在“研究液体的压强”的实验中，选择如图所示的器材，容器正中间用隔板分成左右两部分，隔板下部有一圆孔用薄橡皮膜封闭。在图甲的左、右两侧倒入深度不同的水后，橡皮膜向左凸起：在图乙左、右两侧分别倒入水和A液体后，橡皮膜相平。下列说法不正确的是（ ）$(ρ_{酒精}=0.8×10^3kg/m^3$）</x:v>
      </x:c>
      <x:c r="L428" s="63" t="str">
        <x:v>A. 甲实验可探究液体压强与深度的关系 B. 乙实验中左侧水对容器底的压强大于右侧液体对容器底的压强 C. 乙实验中左、右两侧容器分别装的是等质量的水和A液体 D. 若乙实验右侧液体是酒精，则左、右液面到橡皮膜中心的距离之比为4：5</x:v>
      </x:c>
      <x:c r="M428" s="63" t="str">
        <x:v>解：A、由甲图可知，橡皮膜左、右两侧水的深度不同，橡皮膜向左凸出，产生的压强也不同，可以通过橡皮膜的形变情况感知不同深度的水的压强大小，所以甲实验可探究液体压强与深度的关系，故A正确，不符合题意； BC、由乙图可知，橡皮膜相平，橡皮膜此时所受压强相等，根据F=pS可知，橡皮膜上方左侧水对橡皮膜的压力等于右侧液体对象皮膜的压力，则橡皮膜上方左侧水的重力和橡皮膜上方液体的重力相等，而橡皮膜右侧液体深度更深，由p=ρ液gh可知，橡皮膜右侧液体密度小于水的密度，橡皮膜下方左侧水的体积和右侧液体的体积相等，所以橡皮膜下方水的重力大于皮膜下方液体的重力，所以容器左侧水的重力大于右侧液体的重力，即乙图中左侧容器中水的重力大于右侧容器中液体的重力，所以容器底左侧受到水的压力大于右侧受到液体的压力，容器左、右两侧底面积相等，根据$p=\frac{F}{S}$可知，乙实验中左侧水对容器底的压强大于右侧液体对容器底的压强，故B正确，不符合题意，C错误，符合题意； D、若乙实验右侧液体是酒精，此时橡皮膜左、右两侧受到水和酒精的压强相等，则 ρ水gh水=ρ酒精gh酒精， 则：$\frac{{h}_{水}}{{h}_{酒精}}$=$\frac{{ρ}_{酒精}}{{ρ}_{水}}$=$\frac{0.8×1{0}^{3}kg/{m}^{3}}{1.0×1{0}^{3}kg/{m}^{3}}$=$\frac{4}{5}$， 故D正确，不符合题意。 故选：C。</x:v>
      </x:c>
      <x:c r="N428" s="63" t="str">
        <x:v>https://k12static.xdf.cn/k12/image/externalized/ba4b6261-b81b-4265-a003-63803946da41.png</x:v>
      </x:c>
      <x:c r="O428" s="63" t="str">
        <x:v>https://k12static.xdf.cn/k12/image/externalized/d31fae8f-e0e5-412a-a66f-bd044c3731a6.png</x:v>
      </x:c>
      <x:c r="P428" s="63" t="str">
        <x:v>3-5步</x:v>
      </x:c>
      <x:c r="Q428" s="63" t="str">
        <x:v>概念判断</x:v>
      </x:c>
      <x:c r="R428" s="63" t="str">
        <x:v>单状态</x:v>
      </x:c>
      <x:c r="S428" s="63" t="str">
        <x:v>单一约束</x:v>
      </x:c>
      <x:c r="T428" s="63" t="str">
        <x:v>控制变量或故障分析</x:v>
      </x:c>
      <x:c r="U428" s="63" t="str">
        <x:v>无</x:v>
      </x:c>
      <x:c r="V428" s="63" t="str">
        <x:v>多层因果推理</x:v>
      </x:c>
    </x:row>
    <x:row r="429">
      <x:c r="A429" s="64" t="str">
        <x:v>​2973345342348193792</x:v>
      </x:c>
      <x:c r="B429" s="65" t="str">
        <x:v>中等题</x:v>
      </x:c>
      <x:c r="C429" s="65" t="str">
        <x:v>中等题</x:v>
      </x:c>
      <x:c r="D429" s="65" t="str">
        <x:v>中等题</x:v>
      </x:c>
      <x:c r="E429" s="65" t="str">
        <x:v>保留原GPT裁定</x:v>
      </x:c>
      <x:c r="F429" s="65" t="str">
        <x:v>高</x:v>
      </x:c>
      <x:c r="G429" s="65" t="str">
        <x:v>中等题</x:v>
      </x:c>
      <x:c r="H429" s="65" t="str">
        <x:v>拔高题</x:v>
      </x:c>
      <x:c r="I429" s="65" t="str">
        <x:v>题干、解析与结构证据支持中等题：step=3-5步，题型=概念判断，状态=单状态，约束=无约束，推理=多层因果推理。教师、盲评和多次模型证据中未形成足以推翻原裁定的同向结构证据。</x:v>
      </x:c>
      <x:c r="J429" s="65" t="str">
        <x:v>未进入三次错题并集；逐题结构一致性复核</x:v>
      </x:c>
      <x:c r="K429" s="63" t="str">
        <x:v>某物质的熔化图像如图甲所示，则下列说法正确的是（ ）</x:v>
      </x:c>
      <x:c r="L429" s="63" t="str">
        <x:v>A. 该物质为晶体 B. 该物质熔化过程持续时间为20min C. 该物质在15min时是固液共存态，继续吸热 D. 将装有冰水混合物的试管放入正在熔化的该物质中，如图乙，试管内冰的质量会逐渐增加</x:v>
      </x:c>
      <x:c r="M429" s="63" t="str">
        <x:v>A．由图像可知，整个过程中温度有上升的趋势，是熔化图像；又因为该物质在熔化过程中温度保持不变，所以该物质是晶体，故A正确； BC．由图像知道，物质从第10min开始熔化，到第20min结束，熔化过程共经历了10min，当加热到15min时，该物质处于固液共存状态，此过程虽然温度保持不变，但会继续吸收热量，故B错误，C正确；D．将装有冰水混合物的试管放入正在熔化的该物质中时，冰水混合物温度高于该物质，冰水混合物会向该物质放热，温度保持不变，冰水混合物中的水会符合凝固结冰的条件，所以冰水混合物中的冰会变多，即冰的质量将变大，故D正确。故选ACD。</x:v>
      </x:c>
      <x:c r="N429" s="63" t="str">
        <x:v>https://k12static.xdf.cn/k12/image/externalized/dbae41c4-1994-4bf5-a181-d3896c6f1aef.png</x:v>
      </x:c>
      <x:c r="O429" s="63" t="str">
        <x:v>https://k12static.xdf.cn/k12/image/externalized/52de8ac0-75b2-4b67-92bd-20faa8f3665a.png</x:v>
      </x:c>
      <x:c r="P429" s="63" t="str">
        <x:v>3-5步</x:v>
      </x:c>
      <x:c r="Q429" s="63" t="str">
        <x:v>概念判断</x:v>
      </x:c>
      <x:c r="R429" s="63" t="str">
        <x:v>单状态</x:v>
      </x:c>
      <x:c r="S429" s="63" t="str">
        <x:v>无约束</x:v>
      </x:c>
      <x:c r="T429" s="63" t="str">
        <x:v>无</x:v>
      </x:c>
      <x:c r="U429" s="63" t="str">
        <x:v>多组比较归纳</x:v>
      </x:c>
      <x:c r="V429" s="63" t="str">
        <x:v>多层因果推理</x:v>
      </x:c>
    </x:row>
    <x:row r="430">
      <x:c r="A430" s="64" t="str">
        <x:v>​2973469832276631552</x:v>
      </x:c>
      <x:c r="B430" s="65" t="str">
        <x:v>基础题</x:v>
      </x:c>
      <x:c r="C430" s="65" t="str">
        <x:v>基础题</x:v>
      </x:c>
      <x:c r="D430" s="65" t="str">
        <x:v>基础题</x:v>
      </x:c>
      <x:c r="E430" s="65" t="str">
        <x:v>保留原GPT裁定</x:v>
      </x:c>
      <x:c r="F430" s="65" t="str">
        <x:v>中</x:v>
      </x:c>
      <x:c r="G430" s="65" t="str">
        <x:v>基础题</x:v>
      </x:c>
      <x:c r="H430" s="65" t="str">
        <x:v>中等题</x:v>
      </x:c>
      <x:c r="I430" s="65" t="str">
        <x:v>题干、解析与结构证据支持基础题：step=1-2步，题型=概念判断，状态=单状态，约束=无约束，推理=简单因果推理。教师、盲评和多次模型证据中未形成足以推翻原裁定的同向结构证据。</x:v>
      </x:c>
      <x:c r="J430" s="65" t="str">
        <x:v>未进入三次错题并集；逐题结构一致性复核</x:v>
      </x:c>
      <x:c r="K430" s="63" t="str">
        <x:v>将鸡蛋放入盐水中出现如图所示的状态，缓慢向杯中加少量盐并轻轻搅拌，下列说法正确的是（ ）</x:v>
      </x:c>
      <x:c r="L430" s="63" t="str">
        <x:v>A. 液体对杯底的压强将变小 B. 鸡蛋排开液体的质量保持不变 C. 鸡蛋将悬浮，受到的浮力变大 D. 鸡蛋仍漂浮，受到的浮力变小</x:v>
      </x:c>
      <x:c r="M430" s="63" t="str">
        <x:v>解： A、缓慢向杯中加少量盐并轻轻搅拌，液体的密度变大，深度不变，根据p=ρgh知液体对杯底的压强变大，故A错误； BCD、如图所示状态，此时鸡蛋漂浮，液体的密度大于鸡蛋密度，缓慢向杯中加盐使液体的密度变大，鸡蛋仍会漂浮，浮力仍等于鸡蛋的重力，鸡蛋的重力不变，浮力不变，由G=mg和阿基米德原理知鸡蛋排开液体的质量保持不变，故B正确，CD错误。 故选：B。</x:v>
      </x:c>
      <x:c r="N430" s="63" t="str">
        <x:v>https://k12static.xdf.cn/k12/image/externalized/ab5a3ab8-6e70-40dc-af63-94535eaf5c74.png</x:v>
      </x:c>
      <x:c r="O430" s="63" t="str">
        <x:v>https://k12static.xdf.cn/k12/image/externalized/362e5a22-b5ce-4605-a310-7390137c37c2.png</x:v>
      </x:c>
      <x:c r="P430" s="63" t="str">
        <x:v>1-2步</x:v>
      </x:c>
      <x:c r="Q430" s="63" t="str">
        <x:v>概念判断</x:v>
      </x:c>
      <x:c r="R430" s="63" t="str">
        <x:v>单状态</x:v>
      </x:c>
      <x:c r="S430" s="63" t="str">
        <x:v>无约束</x:v>
      </x:c>
      <x:c r="T430" s="63" t="str">
        <x:v>无</x:v>
      </x:c>
      <x:c r="U430" s="63" t="str">
        <x:v>无</x:v>
      </x:c>
      <x:c r="V430" s="63" t="str">
        <x:v>简单因果推理</x:v>
      </x:c>
    </x:row>
    <x:row r="431">
      <x:c r="A431" s="64" t="str">
        <x:v>​2973486664234840064</x:v>
      </x:c>
      <x:c r="B431" s="65" t="str">
        <x:v>拔高题</x:v>
      </x:c>
      <x:c r="C431" s="65" t="str">
        <x:v>拔高题</x:v>
      </x:c>
      <x:c r="D431" s="65" t="str">
        <x:v>拔高题</x:v>
      </x:c>
      <x:c r="E431" s="65" t="str">
        <x:v>逐题复核后保留GPT裁定</x:v>
      </x:c>
      <x:c r="F431" s="65" t="str">
        <x:v>高</x:v>
      </x:c>
      <x:c r="G431" s="65" t="str">
        <x:v>拔高题</x:v>
      </x:c>
      <x:c r="H431" s="65" t="str">
        <x:v>拔高题</x:v>
      </x:c>
      <x:c r="I431" s="65" t="str">
        <x:v>最高难任务在图表信息提取与关系反推中包含图线反推、状态转换、误差评价、几何/等效转换、方程联立或参数反求等决定性卡点，整体约5—6个有效决策；尚未形成压轴所需的完整复杂约束网络。</x:v>
      </x:c>
      <x:c r="J431" s="65" t="str">
        <x:v>三次运行错题并集逐题复核</x:v>
      </x:c>
      <x:c r="K431" s="63" t="str">
        <x:v>如图甲所示，用弹簧测力计挂一实心圆柱体，将圆柱体从盛满水的柱形容器上方离水面某一高度处缓缓下降，然后将其逐渐浸入水中，如图乙所示为整个过程中弹簧测力计示数F与圆柱体下降高度h变化关系的图象。下列说法正确的是（ ）</x:v>
      </x:c>
      <x:c r="L431" s="63" t="str">
        <x:v>A. 圆柱体下降过程中容器内的水对容器底部的压强先变大后不变 B. 圆柱体的密度为3×103kg/m3 C. 圆柱体刚浸没时下表面受到的液体压力是6N D. 物体完全浸没时和物体浸入一半时圆柱体下表面受到水的压力之差大于2N</x:v>
      </x:c>
      <x:c r="M431" s="63" t="str">
        <x:v>解：A.圆柱体逐渐浸入水中，排开水的体积逐渐变大，水的深度逐渐变大，圆柱体全部浸没之后，再下降的过程中，排开水的体积不变，水的深度不变，水的密度不变，根据p=ρ水gh可知，圆柱体下降过程中容器内的水对容器底部的压强先变大后不变，故A正确； B.根据称重法可得圆柱体的最大浮力：F浮=G-F示=8N-4N=4N， 圆柱体的体积为：V=$\frac{{F}_{浮}}{{ρ}_{水}g}$=$\frac{4N}{1×1{0}^{3}kg/{m}^{3}×10N/kg}$=4×10-4m3， 圆柱体的质量为：m=$\frac{G}{g}$=$\frac{8N}{10N/kg}$=0.8kg, 圆柱体的密度为：ρ=$\frac{m}{V}$=$\frac{0.8kg}{4×1{0}^{-4}{m}^{3}}$=2×103kg/m3，故B错误； C.圆柱体刚浸没时下表面受到的液体压力即此时其所受的浮力，根据称重法可得为：F浮=G-F示=8N-4N=4N，故C错误； D.当圆柱体没有沉入水下时，其下表面受到水的压力就是圆柱体所受的浮力，由图可知物体完全浸没时和物体浸入一半时浮力之差等于2N，故D错误。 故选：A。</x:v>
      </x:c>
      <x:c r="N431" s="63" t="str">
        <x:v>https://k12static.xdf.cn/k12/image/externalized/55f43b25-d898-44b0-bd93-027d61dd2add.png</x:v>
      </x:c>
      <x:c r="O431" s="63" t="str">
        <x:v>https://k12static.xdf.cn/k12/image/externalized/faba711f-b614-48ab-9950-3f50b56c13db.png</x:v>
      </x:c>
      <x:c r="P431" s="63" t="str">
        <x:v>3-5步</x:v>
      </x:c>
      <x:c r="Q431" s="63" t="str">
        <x:v>概念判断</x:v>
      </x:c>
      <x:c r="R431" s="63" t="str">
        <x:v>双状态</x:v>
      </x:c>
      <x:c r="S431" s="63" t="str">
        <x:v>单一约束</x:v>
      </x:c>
      <x:c r="T431" s="63" t="str">
        <x:v>无</x:v>
      </x:c>
      <x:c r="U431" s="63" t="str">
        <x:v>多组比较归纳</x:v>
      </x:c>
      <x:c r="V431" s="63" t="str">
        <x:v>多层因果推理</x:v>
      </x:c>
    </x:row>
    <x:row r="432">
      <x:c r="A432" s="64" t="str">
        <x:v>​2974343560647438336</x:v>
      </x:c>
      <x:c r="B432" s="65" t="str">
        <x:v>拔高题</x:v>
      </x:c>
      <x:c r="C432" s="65" t="str">
        <x:v>拔高题</x:v>
      </x:c>
      <x:c r="D432" s="65" t="str">
        <x:v>拔高题</x:v>
      </x:c>
      <x:c r="E432" s="65" t="str">
        <x:v>逐题复核后保留GPT裁定</x:v>
      </x:c>
      <x:c r="F432" s="65" t="str">
        <x:v>高</x:v>
      </x:c>
      <x:c r="G432" s="65" t="str">
        <x:v>拔高题</x:v>
      </x:c>
      <x:c r="H432" s="65" t="str">
        <x:v>拔高题</x:v>
      </x:c>
      <x:c r="I432" s="65" t="str">
        <x:v>最高难任务在受力、浮力/压强与状态变化中包含图线反推、状态转换、误差评价、几何/等效转换、方程联立或参数反求等决定性卡点，整体约5—6个有效决策；尚未形成压轴所需的完整复杂约束网络。</x:v>
      </x:c>
      <x:c r="J432" s="65" t="str">
        <x:v>三次运行错题并集逐题复核</x:v>
      </x:c>
      <x:c r="K432" s="63" t="str">
        <x:v>如图所示，质量和高度均相同的均匀实心圆柱体甲、乙置于水平地面上，其底面积S甲＜S乙。现将甲和乙分别沿水平方向切去比例n1和n2，并将切去部分叠放到对方剩余部分的上方。若叠放后甲、乙对地面的压力为F甲、F乙，对地面的压强变化量为△p甲、△p乙，则一定成立的是（ ）</x:v>
      </x:c>
      <x:c r="L432" s="63" t="str">
        <x:v>A. 若n1＞n2则△p甲＞△p乙 B. 若n1＞n2则F甲＞F乙 C. 若n1=n2则△p甲＞△p乙 D. 若n1=n2则F甲＞F乙</x:v>
      </x:c>
      <x:c r="M432" s="63" t="str">
        <x:v>解： AB．根据题意可知，实心圆柱体甲、乙质量和高度均相同，即甲、乙的高度时，其质量也相同，对水平面的压力也相等； 若n1＞n2（甲切去比例更大），则甲切去部分更重，所以将切去部分叠放到对方剩余部分的上方后，压力的变化量ΔF甲＜ΔF乙，则此时的压力关系为F甲＜F乙；由图可知底面积关系为S甲＜S乙，对地面的压强变化量为$\Delta p=\frac{\Delta F}{S}$，所以△p甲与△p乙的关系无法判断，故AB错误； CD．根据题意可知，实心圆柱体甲、乙质量和高度均相同，若n1=n2，则甲、乙切去部分一样重，所以将切去部分叠放到对方剩余部分的上方后，ΔF甲=ΔF乙，则F甲=F乙；底面积S甲＜S乙，对地面的压强变化量为$\Delta p=\frac{\Delta F}{S}$，所以△p甲＞△p乙，故C正确、D错误。 故选：C。</x:v>
      </x:c>
      <x:c r="N432" s="63" t="str">
        <x:v>https://k12static.xdf.cn/k12/image/externalized/712066e8-fdaf-45d3-8bd5-118a21241fd2.png</x:v>
      </x:c>
      <x:c r="O432" s="63" t="str">
        <x:v>https://k12static.xdf.cn/k12/image/externalized/61a0e4d8-754b-4195-9bb4-985c844d4ef0.png</x:v>
      </x:c>
      <x:c r="P432" s="63" t="str">
        <x:v>3-5步</x:v>
      </x:c>
      <x:c r="Q432" s="63" t="str">
        <x:v>概念判断</x:v>
      </x:c>
      <x:c r="R432" s="63" t="str">
        <x:v>单状态</x:v>
      </x:c>
      <x:c r="S432" s="63" t="str">
        <x:v>单一约束</x:v>
      </x:c>
      <x:c r="T432" s="63" t="str">
        <x:v>无</x:v>
      </x:c>
      <x:c r="U432" s="63" t="str">
        <x:v>无</x:v>
      </x:c>
      <x:c r="V432" s="63" t="str">
        <x:v>多层因果推理</x:v>
      </x:c>
    </x:row>
    <x:row r="433">
      <x:c r="A433" s="64" t="str">
        <x:v>​2974870961860915200</x:v>
      </x:c>
      <x:c r="B433" s="65" t="str">
        <x:v>中等题</x:v>
      </x:c>
      <x:c r="C433" s="65" t="str">
        <x:v>中等题</x:v>
      </x:c>
      <x:c r="D433" s="65" t="str">
        <x:v>中等题</x:v>
      </x:c>
      <x:c r="E433" s="65" t="str">
        <x:v>保留原GPT裁定</x:v>
      </x:c>
      <x:c r="F433" s="65" t="str">
        <x:v>高</x:v>
      </x:c>
      <x:c r="G433" s="65" t="str">
        <x:v>中等题</x:v>
      </x:c>
      <x:c r="H433" s="65" t="str">
        <x:v>中等题</x:v>
      </x:c>
      <x:c r="I433" s="65" t="str">
        <x:v>题干、解析与结构证据支持中等题：step=1-2步，题型=实验探究，状态=单状态，约束=无约束，推理=多层因果推理。教师、盲评和多次模型证据中未形成足以推翻原裁定的同向结构证据。</x:v>
      </x:c>
      <x:c r="J433" s="65" t="str">
        <x:v>未进入三次错题并集；逐题结构一致性复核</x:v>
      </x:c>
      <x:c r="K433" s="63" t="str">
        <x:v>在“探究液体压强”的实验中，小红在四个相同的烧杯中分别装入密度不同的两种液体A和B，将压强计的探头分别放在两种液体中，现象如图所示。下列关于此实验的说法中正确的是（ ）</x:v>
      </x:c>
      <x:c r="L433" s="63" t="str">
        <x:v>A. 比较甲、丙两图可知：丙图中橡皮膜在液体中所受液体压强较大 B. 比较甲、乙两图可知：乙图中橡皮膜在液体中所受液体压强较大 C. 比较丙、丁两图可知：液体A的密度大于液体B的密度 D. 比较甲、丙两图可知：橡皮膜在液体中的深度相同</x:v>
      </x:c>
      <x:c r="M433" s="63" t="str">
        <x:v>解： A、比较甲、丙两图可知，U形管两侧的液面高度差相等，说明两图中橡皮膜在液体中所受液体压强相等，故A错误； B、比较甲、乙两图可知，乙图中U形管两侧的液面高度差较大，说明乙图中橡皮膜在液体中所受液体压强较大，故B正确； C、比较丙、丁两图可知，U形管两侧的液面高度差相等，说明两图中橡皮膜在液体中所受液体压强相等，而丙图中橡皮膜所处的深度较小，根据p=ρgh可知，液体A的密度较大，故C正确； D、比较甲、丙两图可知，U形管两侧的液面高度差相等，说明两图中橡皮膜在液体中所受液体压强相等，液体密度也相同，根据p=ρgh可知，橡皮膜在液体中的深度相同，故D正确。 故选：BCD。</x:v>
      </x:c>
      <x:c r="N433" s="63" t="str">
        <x:v>https://k12static.xdf.cn/k12/image/externalized/8a2cd175-328c-4942-a848-e5b9995004d7.png</x:v>
      </x:c>
      <x:c r="O433" s="63" t="str">
        <x:v>https://k12static.xdf.cn/k12/image/externalized/a177e7cc-42b8-4f3e-83c8-939a229a1730.png</x:v>
      </x:c>
      <x:c r="P433" s="63" t="str">
        <x:v>1-2步</x:v>
      </x:c>
      <x:c r="Q433" s="63" t="str">
        <x:v>实验探究</x:v>
      </x:c>
      <x:c r="R433" s="63" t="str">
        <x:v>单状态</x:v>
      </x:c>
      <x:c r="S433" s="63" t="str">
        <x:v>无约束</x:v>
      </x:c>
      <x:c r="T433" s="63" t="str">
        <x:v>控制变量或故障分析</x:v>
      </x:c>
      <x:c r="U433" s="63" t="str">
        <x:v>多组比较归纳</x:v>
      </x:c>
      <x:c r="V433" s="63" t="str">
        <x:v>多层因果推理</x:v>
      </x:c>
    </x:row>
    <x:row r="434">
      <x:c r="A434" s="64" t="str">
        <x:v>​2984531146988597248</x:v>
      </x:c>
      <x:c r="B434" s="65" t="str">
        <x:v>拔高题</x:v>
      </x:c>
      <x:c r="C434" s="65" t="str">
        <x:v>拔高题</x:v>
      </x:c>
      <x:c r="D434" s="65" t="str">
        <x:v>拔高题</x:v>
      </x:c>
      <x:c r="E434" s="65" t="str">
        <x:v>逐题复核后保留GPT裁定</x:v>
      </x:c>
      <x:c r="F434" s="65" t="str">
        <x:v>高</x:v>
      </x:c>
      <x:c r="G434" s="65" t="str">
        <x:v>拔高题</x:v>
      </x:c>
      <x:c r="H434" s="65" t="str">
        <x:v>拔高题</x:v>
      </x:c>
      <x:c r="I434" s="65" t="str">
        <x:v>存在决定性反推/等效/误差/几何转换，或同一装置中的5—6步高密度综合链。 题目证据：自动调整：gpt56_medium_to_hard_phase_buoyancy_guard；证据：相变前后状态转换；浮力/排开体积建模；液面或压强结果联动。最高难选项实际有效推理为3步，五维锚定在中等档：知识量覆盖浮力、压强、密度三个关联知识点；过程包含沉底和熔化后两个物理状态，需要分别分析压力关系；数学工具为简单密度公式变形和压强公式的常规应用；情境属于熟悉的浮力常规变式；思维层次为常规多层因果分析。任务结构为围绕同一物体的两个连续状态完成常规分析，每个选项需要连续推理，不存在决定性转换或全链耦合。</x:v>
      </x:c>
      <x:c r="J434" s="65" t="str">
        <x:v>三次运行错题并集逐题复核</x:v>
      </x:c>
      <x:c r="K434" s="63" t="str">
        <x:v>将冰块轻轻放入水平桌面上盛满煤油的烧杯中，冰块静止时如图所示（ρ冰＞ρ煤油）。下列分析正确的是（ ）</x:v>
      </x:c>
      <x:c r="L434" s="63" t="str">
        <x:v>A. 放入冰块后，烧杯对桌面的压力变大 B. 冰块完全熔化后，杯中液面高度下降 C. 冰块完全熔化后，杯底受到液体的压强变大 D. 冰块完全熔化后，煤油的密度变大</x:v>
      </x:c>
      <x:c r="M434" s="63" t="str">
        <x:v>解： A、冰块的密度大于煤油的密度，冰块在煤油中下沉，则冰块受到的重力大于浮力，根据阿基米德原理可知，浮力等于排开的煤油的重力，所以冰块的重力大于排开的煤油的重力，放入冰块后，烧杯整体的重力变大，对桌面的压力变大，故A正确； B、冰块完全熔化后，由于冰块的密度小于水的密度，根据ρ=$\frac{m}{V}$可知，冰块化成水后体积变小，液面高度变低，故B正确； C、冰块静止时沉底，由浮沉条件可得F浮＜G冰块， 因烧杯为柱形容器，且力的作用是相互的，则此时杯底受到煤油的压力：F=G煤油+F浮＜G煤油+G冰块----① 烧杯为柱形容器，冰块完全熔化为水后，体积减小，则液体不会溢出，此时杯中液体对杯底的压力：F′=G煤油+G水， 冰熔化为水后质量不变，重力不变，即G水=G冰块，则F′=G煤油+G冰块-------② 由①②可知F′＞F，即冰块完全熔化后与冰块静止时相比，杯中液体对杯底的压力变大，受力面积不变，根据p=$\frac{F}{S}$可知，烧杯底部受到的压强变大，故C正确； D、煤油不溶于水，冰熔化成水后沉底，煤油的密度不变，故D错误。 故选：ABC。</x:v>
      </x:c>
      <x:c r="N434" s="63" t="str">
        <x:v>https://k12static.xdf.cn/k12/image/externalized/89407041-3f01-418b-bcb8-6a6d729fe358.png</x:v>
      </x:c>
      <x:c r="O434" s="63" t="str">
        <x:v>https://k12static.xdf.cn/k12/image/externalized/9c1aa4d9-5a49-44a4-b938-0c80a71774e5.png</x:v>
      </x:c>
      <x:c r="P434" s="63" t="str">
        <x:v>3-5步</x:v>
      </x:c>
      <x:c r="Q434" s="63" t="str">
        <x:v>概念判断</x:v>
      </x:c>
      <x:c r="R434" s="63" t="str">
        <x:v>双状态</x:v>
      </x:c>
      <x:c r="S434" s="63" t="str">
        <x:v>单一约束</x:v>
      </x:c>
      <x:c r="T434" s="63" t="str">
        <x:v>无</x:v>
      </x:c>
      <x:c r="U434" s="63" t="str">
        <x:v>无</x:v>
      </x:c>
      <x:c r="V434" s="63" t="str">
        <x:v>多层因果推理</x:v>
      </x:c>
    </x:row>
    <x:row r="435">
      <x:c r="A435" s="64" t="str">
        <x:v>​2991224506263293952</x:v>
      </x:c>
      <x:c r="B435" s="65" t="str">
        <x:v>拔高题</x:v>
      </x:c>
      <x:c r="C435" s="65" t="str">
        <x:v>拔高题</x:v>
      </x:c>
      <x:c r="D435" s="65" t="str">
        <x:v>拔高题</x:v>
      </x:c>
      <x:c r="E435" s="65" t="str">
        <x:v>逐题复核后保留GPT裁定</x:v>
      </x:c>
      <x:c r="F435" s="65" t="str">
        <x:v>高</x:v>
      </x:c>
      <x:c r="G435" s="65" t="str">
        <x:v>拔高题</x:v>
      </x:c>
      <x:c r="H435" s="65" t="str">
        <x:v>拔高题</x:v>
      </x:c>
      <x:c r="I435" s="65" t="str">
        <x:v>最高难任务在教材概念与常规物理关系中包含图线反推、状态转换、误差评价、几何/等效转换、方程联立或参数反求等决定性卡点，整体约5—6个有效决策；尚未形成压轴所需的完整复杂约束网络。</x:v>
      </x:c>
      <x:c r="J435" s="65" t="str">
        <x:v>三次运行错题并集逐题复核</x:v>
      </x:c>
      <x:c r="K435" s="63" t="str">
        <x:v>如图所示，甲图是一束太阳光通过三棱镜后的色散现象，乙图是一细束红光和一细束紫光以相同的入射角i从空气射入长方体玻璃砖的同一点，并且都直接从下表面射出。对于这一过程，下列说法中正确的是（ ）</x:v>
      </x:c>
      <x:c r="L435" s="63" t="str">
        <x:v>A. 从上表面射入时紫光的折射角比红光的折射角大 B. 从下表面射出时紫光的折射角比红光的折射角小 C. 从下表面射出后紫光和红光一定平行 D. 紫光和红光将从下表面的同一点射出</x:v>
      </x:c>
      <x:c r="M435" s="63" t="str">
        <x:v>解：由图甲可知，玻璃对紫光的折射率大于对红光的折射率， A、玻璃对紫光的折射率大于玻璃对红光的折射率，入射角i相同，由折射定律n=$\frac{sini}{sinr}$知，紫光的折射角比红光的折射角小。故A错误。 B、光在上表面的折射角和在下表面的入射角相等，根据折射定律知，两光在下表面的折射角相等。故B错误。 CD、从甲图可以看出紫光的偏折程度更大，紫光的折射角比红光的折射角小，由图可知“从下表面射出后紫光和红光一定平行”，如图所示： 故紫光和红光将从玻璃砖下表面的不同点射出。故C正确、D错误。 故选：C。</x:v>
      </x:c>
      <x:c r="N435" s="63" t="str">
        <x:v>https://k12static.xdf.cn/k12/image/externalized/5ba4a80a-aae7-4be2-a37c-5c60d61df0c7.png</x:v>
      </x:c>
      <x:c r="O435" s="63" t="str">
        <x:v>https://k12static.xdf.cn/k12/image/externalized/8eaf8f4a-6749-4df4-8290-311421a34028.png</x:v>
      </x:c>
      <x:c r="P435" s="63" t="str">
        <x:v>3-5步</x:v>
      </x:c>
      <x:c r="Q435" s="63" t="str">
        <x:v>光学声学综合</x:v>
      </x:c>
      <x:c r="R435" s="63" t="str">
        <x:v>双状态</x:v>
      </x:c>
      <x:c r="S435" s="63" t="str">
        <x:v>无约束</x:v>
      </x:c>
      <x:c r="T435" s="63" t="str">
        <x:v>无</x:v>
      </x:c>
      <x:c r="U435" s="63" t="str">
        <x:v>直接读数</x:v>
      </x:c>
      <x:c r="V435" s="63" t="str">
        <x:v>多层因果推理</x:v>
      </x:c>
    </x:row>
    <x:row r="436">
      <x:c r="A436" s="64" t="str">
        <x:v>​2992430927968739328</x:v>
      </x:c>
      <x:c r="B436" s="65" t="str">
        <x:v>中等题</x:v>
      </x:c>
      <x:c r="C436" s="65" t="str">
        <x:v>中等题</x:v>
      </x:c>
      <x:c r="D436" s="65" t="str">
        <x:v>中等题</x:v>
      </x:c>
      <x:c r="E436" s="65" t="str">
        <x:v>保留原GPT裁定</x:v>
      </x:c>
      <x:c r="F436" s="65" t="str">
        <x:v>高</x:v>
      </x:c>
      <x:c r="G436" s="65" t="str">
        <x:v>中等题</x:v>
      </x:c>
      <x:c r="H436" s="65" t="str">
        <x:v>中等题</x:v>
      </x:c>
      <x:c r="I436" s="65" t="str">
        <x:v>题干、解析与结构证据支持中等题：step=3-5步，题型=力学综合，状态=双状态，约束=单一约束，推理=多层因果推理。教师、盲评和多次模型证据中未形成足以推翻原裁定的同向结构证据。</x:v>
      </x:c>
      <x:c r="J436" s="65" t="str">
        <x:v>未进入三次错题并集；逐题结构一致性复核</x:v>
      </x:c>
      <x:c r="K436" s="63" t="str">
        <x:v>如图，设水对瓶底或瓶盖的压强为p、压力为F，瓶子对桌面的压强为p′。将瓶子从正放（如图甲）变为倒放（如图乙），则关于p、F及p′的变化情况下列说法正确的是（ ）</x:v>
      </x:c>
      <x:c r="L436" s="63" t="str">
        <x:v>A. p变大，F变大，p′变大 B. p变大，F不变，p′变大 C. p变大，F变小，p′变大 D. p变小，F不变，p′变大</x:v>
      </x:c>
      <x:c r="M436" s="63" t="str">
        <x:v>解：（1）由于瓶内水不满，而瓶子上细下粗，所以倒过来时水的深度变大，由p=ρgh可知，液体对瓶盖的压强变大，即p变大； 甲中水对容器底部的压力和液体的重力相等，乙中上粗下细，水对容器底部的压力小于水的重力，所以F变小； （2）瓶对桌面的压力等于瓶和里面水的总重力，无论瓶口朝上还是朝下，它们的重力不变，所以对桌面的压力也不变，而倒过来后受力面积变小，所以，由p=$\frac{F}{S}$可知，瓶子对桌面的压强变大，即p′变大； 综上所述，C正确， 故选：C。</x:v>
      </x:c>
      <x:c r="N436" s="63" t="str">
        <x:v>https://k12static.xdf.cn/k12/image/externalized/f5d4f034-6872-40cc-ae63-100387e6e98f.png</x:v>
      </x:c>
      <x:c r="O436" s="63" t="str">
        <x:v>https://k12static.xdf.cn/k12/image/externalized/f1d73438-6f29-4f82-9bf2-95527e3e1157.png</x:v>
      </x:c>
      <x:c r="P436" s="63" t="str">
        <x:v>3-5步</x:v>
      </x:c>
      <x:c r="Q436" s="63" t="str">
        <x:v>力学综合</x:v>
      </x:c>
      <x:c r="R436" s="63" t="str">
        <x:v>双状态</x:v>
      </x:c>
      <x:c r="S436" s="63" t="str">
        <x:v>单一约束</x:v>
      </x:c>
      <x:c r="T436" s="63" t="str">
        <x:v>无</x:v>
      </x:c>
      <x:c r="U436" s="63" t="str">
        <x:v>无</x:v>
      </x:c>
      <x:c r="V436" s="63" t="str">
        <x:v>多层因果推理</x:v>
      </x:c>
    </x:row>
    <x:row r="437">
      <x:c r="A437" s="64" t="str">
        <x:v>​2993298932537778176</x:v>
      </x:c>
      <x:c r="B437" s="65" t="str">
        <x:v>拔高题</x:v>
      </x:c>
      <x:c r="C437" s="65" t="str">
        <x:v>拔高题</x:v>
      </x:c>
      <x:c r="D437" s="65" t="str">
        <x:v>拔高题</x:v>
      </x:c>
      <x:c r="E437" s="65" t="str">
        <x:v>保留原GPT裁定</x:v>
      </x:c>
      <x:c r="F437" s="65" t="str">
        <x:v>高</x:v>
      </x:c>
      <x:c r="G437" s="65" t="str">
        <x:v>拔高题</x:v>
      </x:c>
      <x:c r="H437" s="65" t="str">
        <x:v>拔高题</x:v>
      </x:c>
      <x:c r="I437" s="65" t="str">
        <x:v>题干、解析与结构证据支持拔高题：step=3-5步，题型=力学综合，状态=双状态，约束=单一约束，推理=多层因果推理。教师、盲评和多次模型证据中未形成足以推翻原裁定的同向结构证据。</x:v>
      </x:c>
      <x:c r="J437" s="65" t="str">
        <x:v>未进入三次错题并集；逐题结构一致性复核</x:v>
      </x:c>
      <x:c r="K437" s="63" t="str">
        <x:v>如图甲为盛水的烧杯，上方有弹簧测力计悬挂的圆柱体，将圆柱体缓慢下降，直至将圆柱体全部浸入水中，整个过程中弹簧测力计示数F与圆柱体下降高度h变化关系的图象如图乙所示，g取10N/kg,下列说法正确的是（ ）（不考虑水面的变化）</x:v>
      </x:c>
      <x:c r="L437" s="63" t="str">
        <x:v>A. 圆柱体受到的重力是9N B. 圆柱体受到的最大浮力是6N C. 圆柱体的密度是1.5×103kg/m3 D. 当圆柱体刚好全部浸没时，下表面受到水的压强为800Pa</x:v>
      </x:c>
      <x:c r="M437" s="63" t="str">
        <x:v>解：为了便于分析，弹簧测力计示数F与圆柱体下降高度h变化关系的图象线段标上A、B、C、D四个点如下图，根据图象分析如下： A、由图象可知，当h=0时，弹簧测力计示数为9N，此时圆柱体处于空气中，根据二力平衡条件可知，G=F拉=9N，故A正确； B、图象中CD段圆柱体完全浸入水中，排开水的体积不再改变，受到的浮力不再改变，圆柱体受到的拉力F=3N，则圆柱体受到的浮力F浮=G-F=9N-3N=6N，故B正确； C、圆柱体完全浸没时，其体积等于排开水的体积，由阿基米德原理F浮=ρ水gV排可得， 物体的体积：V=V排=$\frac{{F}_{浮}}{{ρ}_{水}g}$=$\frac{6N}{1.0×1{0}^{3}kg/{m}^{3}×10N/kg}$=6×10-4m3； 由公式G=mg知圆柱体的质量为： m=$\frac{G}{g}$=$\frac{9N}{10N/kg}$=0.9kg, 圆柱体密度为： ρ物=$\frac{m}{V}$=$\frac{0.9kg}{6×1{0}^{-4}{m}^{3}}$=1.5×103kg/m3，故C正确； D、由图知，圆柱体下降高度为4cm时，其下表面接触水面，下降8cm时圆柱体刚好浸没水中， 不考虑水面高度的变化，则此时圆柱体下表面在水中的深度h=8cm-4cm=4cm=0.04m, 所以其下表面受到水的压强：p=ρ水gh=1.0×103kg/m3×10N/kg×0.04m=400Pa,故D错误。 故选：ABC。</x:v>
      </x:c>
      <x:c r="N437" s="63" t="str">
        <x:v>https://k12static.xdf.cn/k12/image/externalized/01f6da46-6734-47c4-995a-ece7da7ba27b.png</x:v>
      </x:c>
      <x:c r="O437" s="63" t="str">
        <x:v>https://k12static.xdf.cn/k12/image/externalized/7873b41f-b0ba-4dbb-bd2d-e784c2ea598d.png</x:v>
      </x:c>
      <x:c r="P437" s="63" t="str">
        <x:v>3-5步</x:v>
      </x:c>
      <x:c r="Q437" s="63" t="str">
        <x:v>力学综合</x:v>
      </x:c>
      <x:c r="R437" s="63" t="str">
        <x:v>双状态</x:v>
      </x:c>
      <x:c r="S437" s="63" t="str">
        <x:v>单一约束</x:v>
      </x:c>
      <x:c r="T437" s="63" t="str">
        <x:v>无</x:v>
      </x:c>
      <x:c r="U437" s="63" t="str">
        <x:v>图像反推或外推</x:v>
      </x:c>
      <x:c r="V437" s="63" t="str">
        <x:v>多层因果推理</x:v>
      </x:c>
    </x:row>
    <x:row r="438">
      <x:c r="A438" s="64" t="str">
        <x:v>​2993320549792632832</x:v>
      </x:c>
      <x:c r="B438" s="65" t="str">
        <x:v>送分题</x:v>
      </x:c>
      <x:c r="C438" s="65" t="str">
        <x:v>送分题</x:v>
      </x:c>
      <x:c r="D438" s="65" t="str">
        <x:v>送分题</x:v>
      </x:c>
      <x:c r="E438" s="65" t="str">
        <x:v>保留原GPT裁定</x:v>
      </x:c>
      <x:c r="F438" s="65" t="str">
        <x:v>高</x:v>
      </x:c>
      <x:c r="G438" s="65" t="str">
        <x:v>送分题</x:v>
      </x:c>
      <x:c r="H438" s="65" t="str">
        <x:v>基础题</x:v>
      </x:c>
      <x:c r="I438" s="65" t="str">
        <x:v>题干、解析与结构证据支持送分题：step=1-2步，题型=直接计算，状态=单状态，约束=无约束，推理=直接套用。教师、盲评和多次模型证据中未形成足以推翻原裁定的同向结构证据。</x:v>
      </x:c>
      <x:c r="J438" s="65" t="str">
        <x:v>未进入三次错题并集；逐题结构一致性复核</x:v>
      </x:c>
      <x:c r="K438" s="63" t="str">
        <x:v>单位换算： （1）16m= cm；0.2km= m；0.18mm= nm。 （2）50μm= mm；0.3mm= m；26dm= km。 （3）1nm= m；1μm= m；1mm= m。 （4）1m= dm= cm。一张纸的厚度约为75μm= m。</x:v>
      </x:c>
      <x:c r="L438" s="63" t="str"/>
      <x:c r="M438" s="63" t="str">
        <x:v>解：长度的单位换算关系是：1m=1×10dm=1×102cm=1×103mm=1×106μm=1×109nm,1km=1×103m； （1）16m=16×102cm=1.6×103cm；0.2km=0.2×103m=200m；0.18mm=0.18×106nm=1.8×105nm； （2）50μm=50×10-3mm=0.05mm；0.3mm=0.3×10-3m=3×10-4m；26dm=26×10-4km=2.6×10-3km； （3）1nm=1×10-9m；1μm=1×10-6m；1mm=1×10-3m； （4）1m=10dm=100cm；75μm=75×10-6m=7.5×10-5m。 故答案为：（1）1.6×103；200；1.8×105；（2）0.05；3×10-4；2.6×10-3；（3）1×10-9；1×10-6；1×10-3；（4）10；100；7.5×10-5。</x:v>
      </x:c>
      <x:c r="N438" s="63" t="str">
        <x:v>https://k12static.xdf.cn/k12/image/externalized/858d0464-90d7-436e-8c81-5ddc53d475ab.png</x:v>
      </x:c>
      <x:c r="O438" s="63" t="str">
        <x:v>https://k12static.xdf.cn/k12/image/externalized/f965462f-1832-452b-b7ef-660f850dead5.png</x:v>
      </x:c>
      <x:c r="P438" s="63" t="str">
        <x:v>1-2步</x:v>
      </x:c>
      <x:c r="Q438" s="63" t="str">
        <x:v>直接计算</x:v>
      </x:c>
      <x:c r="R438" s="63" t="str">
        <x:v>单状态</x:v>
      </x:c>
      <x:c r="S438" s="63" t="str">
        <x:v>无约束</x:v>
      </x:c>
      <x:c r="T438" s="63" t="str">
        <x:v>无</x:v>
      </x:c>
      <x:c r="U438" s="63" t="str">
        <x:v>无</x:v>
      </x:c>
      <x:c r="V438" s="63" t="str">
        <x:v>直接套用</x:v>
      </x:c>
    </x:row>
    <x:row r="439">
      <x:c r="A439" s="64" t="str">
        <x:v>​2997900897077972992</x:v>
      </x:c>
      <x:c r="B439" s="65" t="str">
        <x:v>中等题</x:v>
      </x:c>
      <x:c r="C439" s="65" t="str">
        <x:v>中等题</x:v>
      </x:c>
      <x:c r="D439" s="65" t="str">
        <x:v>中等题</x:v>
      </x:c>
      <x:c r="E439" s="65" t="str">
        <x:v>保留原GPT裁定</x:v>
      </x:c>
      <x:c r="F439" s="65" t="str">
        <x:v>高</x:v>
      </x:c>
      <x:c r="G439" s="65" t="str">
        <x:v>中等题</x:v>
      </x:c>
      <x:c r="H439" s="65" t="str">
        <x:v>拔高题</x:v>
      </x:c>
      <x:c r="I439" s="65" t="str">
        <x:v>题干、解析与结构证据支持中等题：step=3-5步，题型=力学综合，状态=双状态，约束=单一约束，推理=多层因果推理。教师、盲评和多次模型证据中未形成足以推翻原裁定的同向结构证据。</x:v>
      </x:c>
      <x:c r="J439" s="65" t="str">
        <x:v>未进入三次错题并集；逐题结构一致性复核</x:v>
      </x:c>
      <x:c r="K439" s="63" t="str">
        <x:v>如图1所示，水平路面由三段长度相等的粗糙区域组成。在2N水平拉力F的作用下，物块（体积忽略不计）从区域①的最左端由静止开始运动，在刚进入区域③时撤去拉力，物块最终停在区域③的最右端。图2为物块在区域①和②上运动的v-t图象，则（ ）</x:v>
      </x:c>
      <x:c r="L439" s="63" t="str">
        <x:v>A. 区域①路面的粗糙程度比②的大 B. 拉力在区域①中做功的功率比②的小 C. 物块在区域①上所受的摩擦力等于2N D. 物块在区域③上运动的时间可能为1s</x:v>
      </x:c>
      <x:c r="M439" s="63" t="str">
        <x:v>解：由图知： 物体在0～2s内做加速运动，在2s～3s内做匀速运动，且物体在0～2s内图象与2s～3s内图象与坐标轴围成的面积相同，说明物体运动的路程相同。即物体在0～2s内在区域①上做加速运动，在2s～3s内在区域②上做匀速直线运动，区域①表面上受到的摩擦力小于拉力F，在区域②表面上受到的摩擦力等于拉力F。 A、因为滑动摩擦力大小只与压力大小和接触面的粗糙程度有关，所以区域①路面的粗糙程度比区域②的粗糙程度小，故A错误； B、拉力在两个区域上运动的距离相等，做功大小相等，作用时间不同，在区域①上运动时间长，功率小。故B正确； C、物体在区域①上受到的摩擦力小于F=2N．故C错误； D、物块进入区域3时的速度为2m/s,做减速运动，在区域③的平均速度一定小于2m/s,所以运动时间一定大于1秒。故D错误。 故选：B。</x:v>
      </x:c>
      <x:c r="N439" s="63" t="str">
        <x:v>https://k12static.xdf.cn/k12/image/externalized/6e5a5899-7c00-42ac-91ae-b3634eafd875.png</x:v>
      </x:c>
      <x:c r="O439" s="63" t="str">
        <x:v>https://k12static.xdf.cn/k12/image/externalized/c0b1c800-efb2-4624-8f99-2ddc57e573d8.png</x:v>
      </x:c>
      <x:c r="P439" s="63" t="str">
        <x:v>3-5步</x:v>
      </x:c>
      <x:c r="Q439" s="63" t="str">
        <x:v>力学综合</x:v>
      </x:c>
      <x:c r="R439" s="63" t="str">
        <x:v>双状态</x:v>
      </x:c>
      <x:c r="S439" s="63" t="str">
        <x:v>单一约束</x:v>
      </x:c>
      <x:c r="T439" s="63" t="str">
        <x:v>无</x:v>
      </x:c>
      <x:c r="U439" s="63" t="str">
        <x:v>多组比较归纳</x:v>
      </x:c>
      <x:c r="V439" s="63" t="str">
        <x:v>多层因果推理</x:v>
      </x:c>
    </x:row>
    <x:row r="440">
      <x:c r="A440" s="64" t="str">
        <x:v>​3000869599914250240</x:v>
      </x:c>
      <x:c r="B440" s="65" t="str">
        <x:v>基础题</x:v>
      </x:c>
      <x:c r="C440" s="65" t="str">
        <x:v>基础题</x:v>
      </x:c>
      <x:c r="D440" s="65" t="str">
        <x:v>基础题</x:v>
      </x:c>
      <x:c r="E440" s="65" t="str">
        <x:v>保留原GPT裁定</x:v>
      </x:c>
      <x:c r="F440" s="65" t="str">
        <x:v>中</x:v>
      </x:c>
      <x:c r="G440" s="65" t="str">
        <x:v>基础题</x:v>
      </x:c>
      <x:c r="H440" s="65" t="str">
        <x:v>中等题</x:v>
      </x:c>
      <x:c r="I440" s="65" t="str">
        <x:v>题干、解析与结构证据支持基础题：step=1-2步，题型=概念判断，状态=单状态，约束=无约束，推理=简单因果推理。教师、盲评和多次模型证据中未形成足以推翻原裁定的同向结构证据。</x:v>
      </x:c>
      <x:c r="J440" s="65" t="str">
        <x:v>未进入三次错题并集；逐题结构一致性复核</x:v>
      </x:c>
      <x:c r="K440" s="63" t="str">
        <x:v>生活中经常对一些物理量进行估测。下列数据较为接近实际情况的是（ ）</x:v>
      </x:c>
      <x:c r="L440" s="63" t="str">
        <x:v>A. 普通中学生正常跳绳的功率约为50W B. 物理课本对水平桌面的压强约为100Pa C. 中学生从一楼走到二楼做的功约为1500J D. 漂浮在水面上的乒乓球受浮力约为0.1N</x:v>
      </x:c>
      <x:c r="M440" s="63" t="str">
        <x:v>解：A.普通中学生正常跳绳的功率约为P=$\frac{W}{t}$=$\frac{nGh}{t}$=$\frac{120×500N×0.05m}{60s}$=50W，故A符合实际； B.物理课书重约3N，与水平桌面接触面积约5×10-2m2，物理课书对桌面的压强p=$\frac{F}{S}$=$\frac{G}{S}$=$\frac{3N}{5×1{0}^{-2}{m}^{2}}$=60Pa,故B不符合实际； C.中学生从一楼走到二楼做的功约为W=Gh=500N×3m=1500J，故C符合实际； D.漂浮在水面上的乒乓球受浮力约为F浮=G=mg=0.003kg×10N/kg=0.03N，故D不符合实际。 故选：AC。</x:v>
      </x:c>
      <x:c r="N440" s="63" t="str">
        <x:v>https://k12static.xdf.cn/k12/image/externalized/b534db1a-4a16-404f-8538-e692c4ff2583.png</x:v>
      </x:c>
      <x:c r="O440" s="63" t="str">
        <x:v>https://k12static.xdf.cn/k12/image/externalized/8237684d-6b87-44b8-86f7-8a88cffac9d0.png</x:v>
      </x:c>
      <x:c r="P440" s="63" t="str">
        <x:v>1-2步</x:v>
      </x:c>
      <x:c r="Q440" s="63" t="str">
        <x:v>概念判断</x:v>
      </x:c>
      <x:c r="R440" s="63" t="str">
        <x:v>单状态</x:v>
      </x:c>
      <x:c r="S440" s="63" t="str">
        <x:v>无约束</x:v>
      </x:c>
      <x:c r="T440" s="63" t="str">
        <x:v>无</x:v>
      </x:c>
      <x:c r="U440" s="63" t="str">
        <x:v>无</x:v>
      </x:c>
      <x:c r="V440" s="63" t="str">
        <x:v>简单因果推理</x:v>
      </x:c>
    </x:row>
    <x:row r="441">
      <x:c r="A441" s="64" t="str">
        <x:v>​3004941862002024448</x:v>
      </x:c>
      <x:c r="B441" s="65" t="str">
        <x:v>基础题</x:v>
      </x:c>
      <x:c r="C441" s="65" t="str">
        <x:v>基础题</x:v>
      </x:c>
      <x:c r="D441" s="65" t="str">
        <x:v>基础题</x:v>
      </x:c>
      <x:c r="E441" s="65" t="str">
        <x:v>保留原GPT裁定</x:v>
      </x:c>
      <x:c r="F441" s="65" t="str">
        <x:v>中</x:v>
      </x:c>
      <x:c r="G441" s="65" t="str">
        <x:v>基础题</x:v>
      </x:c>
      <x:c r="H441" s="65" t="str">
        <x:v>中等题</x:v>
      </x:c>
      <x:c r="I441" s="65" t="str">
        <x:v>题干、解析与结构证据支持基础题：step=1-2步，题型=概念判断，状态=单状态，约束=无约束，推理=简单因果推理。教师、盲评和多次模型证据中未形成足以推翻原裁定的同向结构证据。</x:v>
      </x:c>
      <x:c r="J441" s="65" t="str">
        <x:v>未进入三次错题并集；逐题结构一致性复核</x:v>
      </x:c>
      <x:c r="K441" s="63" t="str">
        <x:v>某兴趣小组用相同烧杯盛等量的水，用相同的热源同时加热。如图，甲杯为隔水加热，乙杯为隔油加热，丙杯为隔砂加热，加热一段时间后，测得烧杯外物质的温度分别为水温100℃、油温300℃、砂温600℃，且观察到乙、丙两烧杯中的水呈沸腾状态，则三杯水的温度高低顺序为（ ）</x:v>
      </x:c>
      <x:c r="L441" s="63" t="str">
        <x:v>A. 甲＞乙＞丙 B. 甲＜乙＜丙 C. 甲＜乙=丙 D. 甲=乙=丙</x:v>
      </x:c>
      <x:c r="M441" s="63" t="str">
        <x:v>解：甲杯中的水温等于100℃，但由于不能继续从外面烧杯中吸收热量，所以不会沸腾；乙和丙烧杯的水沸腾，说明此时水的温度已经达到沸点100℃，但温度不再升高。综上所述，三杯水的最终温度是相同的。 故选：D。</x:v>
      </x:c>
      <x:c r="N441" s="63" t="str">
        <x:v>https://k12static.xdf.cn/k12/image/externalized/6680b62b-6e15-4372-927e-a55beb2339da.png</x:v>
      </x:c>
      <x:c r="O441" s="63" t="str">
        <x:v>https://k12static.xdf.cn/k12/image/externalized/1c2b06c7-ff27-431d-8ad1-073f52ff8ce4.png</x:v>
      </x:c>
      <x:c r="P441" s="63" t="str">
        <x:v>1-2步</x:v>
      </x:c>
      <x:c r="Q441" s="63" t="str">
        <x:v>概念判断</x:v>
      </x:c>
      <x:c r="R441" s="63" t="str">
        <x:v>单状态</x:v>
      </x:c>
      <x:c r="S441" s="63" t="str">
        <x:v>无约束</x:v>
      </x:c>
      <x:c r="T441" s="63" t="str">
        <x:v>无</x:v>
      </x:c>
      <x:c r="U441" s="63" t="str">
        <x:v>无</x:v>
      </x:c>
      <x:c r="V441" s="63" t="str">
        <x:v>简单因果推理</x:v>
      </x:c>
    </x:row>
    <x:row r="442">
      <x:c r="A442" s="64" t="str">
        <x:v>​3006527303731937280</x:v>
      </x:c>
      <x:c r="B442" s="65" t="str">
        <x:v>基础题</x:v>
      </x:c>
      <x:c r="C442" s="65" t="str">
        <x:v>基础题</x:v>
      </x:c>
      <x:c r="D442" s="65" t="str">
        <x:v>基础题</x:v>
      </x:c>
      <x:c r="E442" s="65" t="str">
        <x:v>保留原GPT裁定</x:v>
      </x:c>
      <x:c r="F442" s="65" t="str">
        <x:v>高</x:v>
      </x:c>
      <x:c r="G442" s="65" t="str">
        <x:v>中等题</x:v>
      </x:c>
      <x:c r="H442" s="65" t="str">
        <x:v>基础题</x:v>
      </x:c>
      <x:c r="I442" s="65" t="str">
        <x:v>题干、解析与结构证据支持基础题：step=1-2步，题型=概念判断，状态=单状态，约束=无约束，推理=简单因果推理。教师、盲评和多次模型证据中未形成足以推翻原裁定的同向结构证据。</x:v>
      </x:c>
      <x:c r="J442" s="65" t="str">
        <x:v>未进入三次错题并集；逐题结构一致性复核</x:v>
      </x:c>
      <x:c r="K442" s="63" t="str">
        <x:v>下列说法正确的是（ ）</x:v>
      </x:c>
      <x:c r="L442" s="63" t="str">
        <x:v>A. 图甲中树荫下亮斑的形状和树叶缝隙的形状是一致的 B. 图乙中通过三个小孔看到的是烛焰倒立的像 C. 图丙中玻璃杯中“浇不灭的蜡烛”是光的折射形成的虚像 D. 图丁中人眼看到的3条完整的“小鱼”都是虚像</x:v>
      </x:c>
      <x:c r="M442" s="63" t="str">
        <x:v>A．图甲中树荫下的亮斑是太阳通过树叶缝隙形成的，由于光的直线传播，亮斑的形状应该是太阳的形状，而不是树叶缝隙的形状。故A错误；B．图乙中通过三个小孔看烛焰时，由于光的直线传播，烛焰发出的光直接射入人眼，使人看到了烛焰，故B错误；C．看到的“烛焰”是由于光的反射形成的，是平面镜成像，成的是虚像，故C错误；D．图丁中看到的3条完整的“小鱼”是因为光的折射形成的虚像，因此这些鱼都是虚像。故D正确。故选D。</x:v>
      </x:c>
      <x:c r="N442" s="63" t="str">
        <x:v>https://k12static.xdf.cn/k12/image/externalized/c88298d2-e240-4459-bfc7-9e99253588ea.png</x:v>
      </x:c>
      <x:c r="O442" s="63" t="str">
        <x:v>https://k12static.xdf.cn/k12/image/externalized/5f9768ff-5ce3-4b98-b0c1-6420e82c9ff2.png</x:v>
      </x:c>
      <x:c r="P442" s="63" t="str">
        <x:v>1-2步</x:v>
      </x:c>
      <x:c r="Q442" s="63" t="str">
        <x:v>概念判断</x:v>
      </x:c>
      <x:c r="R442" s="63" t="str">
        <x:v>单状态</x:v>
      </x:c>
      <x:c r="S442" s="63" t="str">
        <x:v>无约束</x:v>
      </x:c>
      <x:c r="T442" s="63" t="str">
        <x:v>无</x:v>
      </x:c>
      <x:c r="U442" s="63" t="str">
        <x:v>无</x:v>
      </x:c>
      <x:c r="V442" s="63" t="str">
        <x:v>简单因果推理</x:v>
      </x:c>
    </x:row>
    <x:row r="443">
      <x:c r="A443" s="64" t="str">
        <x:v>​3015490018074447872</x:v>
      </x:c>
      <x:c r="B443" s="65" t="str">
        <x:v>中等题</x:v>
      </x:c>
      <x:c r="C443" s="65" t="str">
        <x:v>中等题</x:v>
      </x:c>
      <x:c r="D443" s="65" t="str">
        <x:v>中等题</x:v>
      </x:c>
      <x:c r="E443" s="65" t="str">
        <x:v>保留原GPT裁定</x:v>
      </x:c>
      <x:c r="F443" s="65" t="str">
        <x:v>高</x:v>
      </x:c>
      <x:c r="G443" s="65" t="str">
        <x:v>中等题</x:v>
      </x:c>
      <x:c r="H443" s="65" t="str">
        <x:v>中等题</x:v>
      </x:c>
      <x:c r="I443" s="65" t="str">
        <x:v>题干、解析与结构证据支持中等题：step=3-5步，题型=概念判断，状态=双状态，约束=单一约束，推理=多层因果推理。教师、盲评和多次模型证据中未形成足以推翻原裁定的同向结构证据。</x:v>
      </x:c>
      <x:c r="J443" s="65" t="str">
        <x:v>未进入三次错题并集；逐题结构一致性复核</x:v>
      </x:c>
      <x:c r="K443" s="63" t="str">
        <x:v>如图甲所示，完全相同的A、B两方形物块叠放在水平桌面上，用F1=25N的水平力作用在B物块上，A、B一起向右做匀速直线运动；若用F2=40N的水平力按如图乙所示作用在A物块上。下列说法正确的是（ ）</x:v>
      </x:c>
      <x:c r="L443" s="63" t="str">
        <x:v>A. 甲图中A物块对桌面的摩擦力大小为25N，方向水平向左 B. 乙图中B物块不受摩擦力 C. 甲图中B物块对A物块的摩擦力大小为25N，方向水平向右 D. 乙图中A物块受到桌面对它的摩擦力大小为40N，方向水平向左</x:v>
      </x:c>
      <x:c r="M443" s="63" t="str">
        <x:v>解： AC、对甲图中B物块进行受力分析可知，在水平方向上B受到水平向右的拉力F1，A对B水平向左的摩擦力，在这两个力的作用下保持平衡状态，故A对B水平向左的摩擦力等于拉力F1，大小为25N； 对甲图中A物块进行受力分析可知，在水平方向上受到B对A的水平向右的摩擦力，桌面对A水平向左的摩擦力，在这两个力的作用下保持平衡状态，而A对B水平向左的摩擦力与B对A的水平向右的摩擦力是相互作用力，大小相等，为25N，故A物块受到桌面对它的摩擦力大小为25N，故A错误，C正确； B、若用F2=40N的水平力作用在A物块上，A物块受到桌面对它的滑动摩擦力仍然为25N，此时受力不平衡，两物块向右做加速直线运动，则B物块一定受到摩擦力，故B错误。 D、若用F2=40N的水平力作用在A物块上，它们仍然一起向右做直线运动，物块A对左面的压力不变，接触面的粗糙程度不变，A物块受到桌面对它的滑动摩擦力不变，仍为25N，故D错误 故选：C。</x:v>
      </x:c>
      <x:c r="N443" s="63" t="str">
        <x:v>https://k12static.xdf.cn/k12/image/externalized/76afd90c-9395-4550-81ad-f9a3b2f524a5.png</x:v>
      </x:c>
      <x:c r="O443" s="63" t="str">
        <x:v>https://k12static.xdf.cn/k12/image/externalized/f3a612e5-d5a7-4407-9577-2819315d7e23.png</x:v>
      </x:c>
      <x:c r="P443" s="63" t="str">
        <x:v>3-5步</x:v>
      </x:c>
      <x:c r="Q443" s="63" t="str">
        <x:v>概念判断</x:v>
      </x:c>
      <x:c r="R443" s="63" t="str">
        <x:v>双状态</x:v>
      </x:c>
      <x:c r="S443" s="63" t="str">
        <x:v>单一约束</x:v>
      </x:c>
      <x:c r="T443" s="63" t="str">
        <x:v>无</x:v>
      </x:c>
      <x:c r="U443" s="63" t="str">
        <x:v>无</x:v>
      </x:c>
      <x:c r="V443" s="63" t="str">
        <x:v>多层因果推理</x:v>
      </x:c>
    </x:row>
    <x:row r="444">
      <x:c r="A444" s="64" t="str">
        <x:v>​3022225340690878464</x:v>
      </x:c>
      <x:c r="B444" s="65" t="str">
        <x:v>拔高题</x:v>
      </x:c>
      <x:c r="C444" s="65" t="str">
        <x:v>拔高题</x:v>
      </x:c>
      <x:c r="D444" s="65" t="str">
        <x:v>拔高题</x:v>
      </x:c>
      <x:c r="E444" s="65" t="str">
        <x:v>逐题复核后保留GPT裁定</x:v>
      </x:c>
      <x:c r="F444" s="65" t="str">
        <x:v>高</x:v>
      </x:c>
      <x:c r="G444" s="65" t="str">
        <x:v>压轴题</x:v>
      </x:c>
      <x:c r="H444" s="65" t="str">
        <x:v>拔高题</x:v>
      </x:c>
      <x:c r="I444" s="65" t="str">
        <x:v>最高难任务在电路状态、图线/参数与安全约束中包含图线反推、状态转换、误差评价、几何/等效转换、方程联立或参数反求等决定性卡点，整体约5—6个有效决策；尚未形成压轴所需的完整复杂约束网络。</x:v>
      </x:c>
      <x:c r="J444" s="65" t="str">
        <x:v>三次运行错题并集逐题复核</x:v>
      </x:c>
      <x:c r="K444" s="63" t="str">
        <x:v>如图所示的电路，电源电压保持不变。小灯泡的额定电压为6V，滑动变阻器铭牌标有“50Ω，1A”字样，电流表选用0～3A量程。先闭合开关S1、断开开关S2，此时小灯泡正常发光；保持开关S1闭合，再闭合开关S2，当滑动变阻器连入电路的阻值为30Ω时，电流表的示数为0.8A。则保持开关S1、S2都闭合，忽略温度对灯丝电阻的影响，使用过程中元件完好，在保证电路安全的情况下，下列说法不正确的是（ ）</x:v>
      </x:c>
      <x:c r="L444" s="63" t="str">
        <x:v>A. 将滑动变阻器的滑片向右移动，小灯泡实际功率不变 B. 滑动变阻器允许接入电路的阻值范围是2.5～50Ω C. 通过电流表的电流最小值为0.72A D. 电路的总功率最大值为9.6W</x:v>
      </x:c>
      <x:c r="M444" s="63" t="str">
        <x:v>解：A、开关S1、S2都闭合，灯泡和滑动变阻器并联，电流表测干路电流；将滑动变阻器的滑片向右移动，根据并联电路特点可知，灯泡两端的电压和通过的电流不变，由P=UI可知，灯泡的实际功率不变，故A正确；B、先闭合开关S1、断开开关S2，小灯泡正常发光，此时电路为只有灯泡的简单电路，小灯泡的额定电压为6V，故电源电压U=6V； 保持开关S1闭合，再闭合开关S2，灯泡和滑动变阻器并联，电流表测干路电流； 当滑动变阻器连入电路的阻值为30Ω时，电流表的示数为0.8A，根据并联电路电流规律和欧姆定律可知，通过灯泡的电流为： IL=I-I滑=0.8A-$\frac{6V}{30Ω}$=0.8A-0.2A=0.6A； 电流表示数最大为3A，滑动变阻器允许通过最大电流为1A，因此通过滑动变阻器最大电流为I滑大=1A， 故滑动变阻器接入电路的最小阻值为： R滑小=$\frac{U}{{I}_{大}}$=$\frac{6V}{1A}$=6Ω； 滑动变阻器接入电路的最大阻值为50Ω， 因此滑动变阻器允许接入电路的阻值范围是6～50Ω，故B错误； C、当滑动变阻器接入电路的阻值最大时，电流表的示数最小；此时通过滑动变阻器的电流为： I滑小=$\frac{U}{{R}_{大}}$=$\frac{6V}{50Ω}$=0.12A， 根据并联电路电流规律可知， 通过电流表的电流最小值为： I小=I滑小+IL=0.12A+0.6A=0.72A，故C正确； D、由B可知，通过滑动变阻器最大电流为I滑大=1A，根据并联电路电流规律，电路中最大电流为I最大=I滑大+IL=1A+0.6A=1.6A， 则电路的总功率最大值为： P=UI最大=6V×1.6A=9.6W，故D正确。 故选：B。</x:v>
      </x:c>
      <x:c r="N444" s="63" t="str">
        <x:v>https://k12static.xdf.cn/k12/image/externalized/3790d147-e501-4f41-8673-458d4f3bfa9d.png</x:v>
      </x:c>
      <x:c r="O444" s="63" t="str">
        <x:v>https://k12static.xdf.cn/k12/image/externalized/6525fcb0-5da1-4857-87c2-3b528b29aaa9.png</x:v>
      </x:c>
      <x:c r="P444" s="63" t="str">
        <x:v>3-5步</x:v>
      </x:c>
      <x:c r="Q444" s="63" t="str">
        <x:v>电路综合</x:v>
      </x:c>
      <x:c r="R444" s="63" t="str">
        <x:v>双状态</x:v>
      </x:c>
      <x:c r="S444" s="63" t="str">
        <x:v>多约束</x:v>
      </x:c>
      <x:c r="T444" s="63" t="str">
        <x:v>无</x:v>
      </x:c>
      <x:c r="U444" s="63" t="str">
        <x:v>无</x:v>
      </x:c>
      <x:c r="V444" s="63" t="str">
        <x:v>多层因果推理</x:v>
      </x:c>
    </x:row>
    <x:row r="445">
      <x:c r="A445" s="64" t="str">
        <x:v>​3022272897051807744</x:v>
      </x:c>
      <x:c r="B445" s="65" t="str">
        <x:v>基础题</x:v>
      </x:c>
      <x:c r="C445" s="65" t="str">
        <x:v>基础题</x:v>
      </x:c>
      <x:c r="D445" s="65" t="str">
        <x:v>基础题</x:v>
      </x:c>
      <x:c r="E445" s="65" t="str">
        <x:v>保留原GPT裁定</x:v>
      </x:c>
      <x:c r="F445" s="65" t="str">
        <x:v>高</x:v>
      </x:c>
      <x:c r="G445" s="65" t="str">
        <x:v>送分题</x:v>
      </x:c>
      <x:c r="H445" s="65" t="str">
        <x:v>基础题</x:v>
      </x:c>
      <x:c r="I445" s="65" t="str">
        <x:v>题干、解析与结构证据支持基础题：step=1-2步，题型=概念判断，状态=单状态，约束=无约束，推理=直接套用。教师、盲评和多次模型证据中未形成足以推翻原裁定的同向结构证据。</x:v>
      </x:c>
      <x:c r="J445" s="65" t="str">
        <x:v>未进入三次错题并集；逐题结构一致性复核</x:v>
      </x:c>
      <x:c r="K445" s="63" t="str">
        <x:v>下列关于物理概念的说法错误的是（ ）</x:v>
      </x:c>
      <x:c r="L445" s="63" t="str">
        <x:v>A. 一定质量的某种物质温度升高1℃时，所吸收的热量叫这种物质的比热容 B. 在光的折射现象中，光路是可逆的 C. 静止在磁场中某一点的小磁针，它的南极所指方向为该点的磁场方向 D. 运动的物体具有惯性，静止的物体不具有惯性</x:v>
      </x:c>
      <x:c r="M445" s="63" t="str">
        <x:v>解： A、单位质量的某种物质温度升高1℃时吸收的热量，叫做这种物质的比热容，故A正确； B、在光的折射现象中，光路是可逆的，故B正确； C、磁场的方向可根据小磁针受力方向确定，规定小磁针静止时其北极所指的方向为该点磁场方向，故C错误； D、由牛顿第一定律与惯性知识可知：惯性是物体本身具有的性质。一切物体在任何情况下都具有惯性，故D错误。 故选：CD。</x:v>
      </x:c>
      <x:c r="N445" s="63" t="str">
        <x:v>https://k12static.xdf.cn/k12/image/externalized/dea6cab9-a6ad-4b11-bddf-832bac5697f2.png</x:v>
      </x:c>
      <x:c r="O445" s="63" t="str">
        <x:v>https://k12static.xdf.cn/k12/image/externalized/a182ef9f-6c54-4721-86d6-e50e3c9da112.png</x:v>
      </x:c>
      <x:c r="P445" s="63" t="str">
        <x:v>1-2步</x:v>
      </x:c>
      <x:c r="Q445" s="63" t="str">
        <x:v>概念判断</x:v>
      </x:c>
      <x:c r="R445" s="63" t="str">
        <x:v>单状态</x:v>
      </x:c>
      <x:c r="S445" s="63" t="str">
        <x:v>无约束</x:v>
      </x:c>
      <x:c r="T445" s="63" t="str">
        <x:v>无</x:v>
      </x:c>
      <x:c r="U445" s="63" t="str">
        <x:v>无</x:v>
      </x:c>
      <x:c r="V445" s="63" t="str">
        <x:v>直接套用</x:v>
      </x:c>
    </x:row>
    <x:row r="446">
      <x:c r="A446" s="64" t="str">
        <x:v>​3022297435391143936</x:v>
      </x:c>
      <x:c r="B446" s="65" t="str">
        <x:v>压轴题</x:v>
      </x:c>
      <x:c r="C446" s="65" t="str">
        <x:v>压轴题</x:v>
      </x:c>
      <x:c r="D446" s="65" t="str">
        <x:v>压轴题</x:v>
      </x:c>
      <x:c r="E446" s="65" t="str">
        <x:v>逐题复核后保留GPT裁定</x:v>
      </x:c>
      <x:c r="F446" s="65" t="str">
        <x:v>高</x:v>
      </x:c>
      <x:c r="G446" s="65" t="str">
        <x:v>压轴题</x:v>
      </x:c>
      <x:c r="H446" s="65" t="str">
        <x:v>压轴题</x:v>
      </x:c>
      <x:c r="I446" s="65" t="str">
        <x:v>题目把图表信息提取与关系反推组织成多对象、多状态、多约束的共享模型网络，后续任务依赖前述状态/参数，并要求分类、临界/边界、有效解筛选或可行性验证，属于7步以上的完整耦合链。</x:v>
      </x:c>
      <x:c r="J446" s="65" t="str">
        <x:v>三次运行错题并集逐题复核</x:v>
      </x:c>
      <x:c r="K446" s="63" t="str">
        <x:v>为了将放置在水平地面上重为108N，边长为10cm的某正方体合金块提升一定高度，设置了甲图所示的滑轮组装置。当用图乙所示随时间变化的竖直向下的拉力F拉绳时，合金块的速度v与合金块上升的高度h随时间变化的关系分别如图丙和丁所示。图中连接合金块G的轻绳始终保持竖直（不计绳重和摩擦）。则下列四个相关计算结果中正确的是（ ）</x:v>
      </x:c>
      <x:c r="L446" s="63" t="str">
        <x:v>A. 0～1s内，合金块对地面的压强是3000Pa B. 0～2s内，拉力F做的功是62.5J C. 2s～3s内，拉力F的功率是100W D. 2s～3s内，滑轮组的机械效率是90%</x:v>
      </x:c>
      <x:c r="M446" s="63" t="str">
        <x:v>解： A、由图可知在2～3s内，重物做匀速运动，拉力F3=40N， 由F=$\frac{1}{3}$（G+G动）可得，G动=3F3-G=3×40N-108N=12N， 由图乙可知，在0～1s内，拉力F=30N．取动滑轮和重物为研究对象，受到向下的重力G和G动，向上的支持力F支，及三根绳子向上的拉力F′作用，处于静止状态； 合金块对地面的压力为F压=F支=G-F′=G-3F拉+G动=108N-3×30N+12N=30N， 合金块对地面的压强为p=$\frac{{F}_{压}}{S}$=$\frac{30N}{0.1m×0.1m}$=3000Pa；故A正确； B、0～1s内，合金块静止，因此拉力没有做功， 在1～2s内，拉力F2=50N，重物上升高度h2=1.25m 拉力F的作用点下降的距离s2=3h2=3×1.25m=3.75m, 则0～2s内，拉力做的功：W=F2s2=50N×3.75m=187.5J；故B错误； CD、由图可知在2～3s内，重物做匀速运动，v3=2.50m/s,拉力F3=40N， 所以拉力F的作用点下降的速度v3′=3v3=3×2.50m/s=7.5m/s, 拉力做功功率（总功率）：P总=F3v3′=40N×7.5m/s=300W，故C错误； 滑轮组的机械效率：η=$\frac{{W}_{有}}{{W}_{总}}$×100%=$\frac{G{h}_{3}}{{F}_{3}{s}_{3}}$×100%=$\frac{108N}{40N×3}$×100%=90%，故D正确； 故选：AD。</x:v>
      </x:c>
      <x:c r="N446" s="63" t="str">
        <x:v>https://k12static.xdf.cn/k12/image/externalized/a0758a9a-e981-482a-80ad-07968d4492e4.png</x:v>
      </x:c>
      <x:c r="O446" s="63" t="str">
        <x:v>https://k12static.xdf.cn/k12/image/externalized/07e7959b-38a9-488c-9dae-da729b108b8e.png</x:v>
      </x:c>
      <x:c r="P446" s="63" t="str">
        <x:v>6-8步</x:v>
      </x:c>
      <x:c r="Q446" s="63" t="str">
        <x:v>力学综合</x:v>
      </x:c>
      <x:c r="R446" s="63" t="str">
        <x:v>多状态</x:v>
      </x:c>
      <x:c r="S446" s="63" t="str">
        <x:v>多约束</x:v>
      </x:c>
      <x:c r="T446" s="63" t="str">
        <x:v>无</x:v>
      </x:c>
      <x:c r="U446" s="63" t="str">
        <x:v>多组比较归纳</x:v>
      </x:c>
      <x:c r="V446" s="63" t="str">
        <x:v>逆向推理或临界分析</x:v>
      </x:c>
    </x:row>
    <x:row r="447">
      <x:c r="A447" s="64" t="str">
        <x:v>​3023651143171031040</x:v>
      </x:c>
      <x:c r="B447" s="65" t="str">
        <x:v>中等题</x:v>
      </x:c>
      <x:c r="C447" s="65" t="str">
        <x:v>中等题</x:v>
      </x:c>
      <x:c r="D447" s="65" t="str">
        <x:v>中等题</x:v>
      </x:c>
      <x:c r="E447" s="65" t="str">
        <x:v>保留原GPT裁定</x:v>
      </x:c>
      <x:c r="F447" s="65" t="str">
        <x:v>高</x:v>
      </x:c>
      <x:c r="G447" s="65" t="str">
        <x:v>中等题</x:v>
      </x:c>
      <x:c r="H447" s="65" t="str">
        <x:v>中等题</x:v>
      </x:c>
      <x:c r="I447" s="65" t="str">
        <x:v>题干、解析与结构证据支持中等题：step=3-5步，题型=概念判断，状态=双状态，约束=无约束，推理=多层因果推理。教师、盲评和多次模型证据中未形成足以推翻原裁定的同向结构证据。</x:v>
      </x:c>
      <x:c r="J447" s="65" t="str">
        <x:v>未进入三次错题并集；逐题结构一致性复核</x:v>
      </x:c>
      <x:c r="K447" s="63" t="str">
        <x:v>两次水平拉动同物体在同一水平面上做匀速直线运动，两次物体运动的路程（s）-时间（t）图象如图所示，根据图象，下列判断正确的是（ ）</x:v>
      </x:c>
      <x:c r="L447" s="63" t="str">
        <x:v>A. 两次物体运动的速度v1＞v2 B. 两次物体所受的拉力F1＞F2 C. 0～6s两次拉力对物体所做的功W1＞W2 D. 0～6s两次拉力对物体做功的功率P1＜P2</x:v>
      </x:c>
      <x:c r="M447" s="63" t="str">
        <x:v>解：A．由图象可知，在相同时间内，物体第一次通过的路程大于第二次通过的路程，所以v1＞v2，故A正确； B．同一物体重力相等，对水平面的压力相等，在同一水平面接触面的粗糙程度相同，因此两次拉动物体时，物体受到的摩擦力相等，由于物体做匀速直线运动，所受到的拉力和摩擦力是一对平衡力，大小相等，所以两次物体所受的拉力F1=F2=f,故B错误； CD．由图象可知，0-6s物体第一次通过的路程大于第二次通过的路程，又因为F1=F2，根据W=Fs可得，0-6s两次拉力对物体所做的功W1＞W2， 因为两次的运动时间相同，由$P=\frac{W}{t}$可知，P1＞P2，故C正确，D错误。 故选：AC。</x:v>
      </x:c>
      <x:c r="N447" s="63" t="str">
        <x:v>https://k12static.xdf.cn/k12/image/externalized/4f6cd716-a18e-434a-8267-da033191ac77.png</x:v>
      </x:c>
      <x:c r="O447" s="63" t="str">
        <x:v>https://k12static.xdf.cn/k12/image/externalized/174e37d4-05f8-4ee3-be0f-7ae828f77b75.png</x:v>
      </x:c>
      <x:c r="P447" s="63" t="str">
        <x:v>3-5步</x:v>
      </x:c>
      <x:c r="Q447" s="63" t="str">
        <x:v>概念判断</x:v>
      </x:c>
      <x:c r="R447" s="63" t="str">
        <x:v>双状态</x:v>
      </x:c>
      <x:c r="S447" s="63" t="str">
        <x:v>无约束</x:v>
      </x:c>
      <x:c r="T447" s="63" t="str">
        <x:v>无</x:v>
      </x:c>
      <x:c r="U447" s="63" t="str">
        <x:v>多组比较归纳</x:v>
      </x:c>
      <x:c r="V447" s="63" t="str">
        <x:v>多层因果推理</x:v>
      </x:c>
    </x:row>
    <x:row r="448">
      <x:c r="A448" s="64" t="str">
        <x:v>​3023651235361832960</x:v>
      </x:c>
      <x:c r="B448" s="65" t="str">
        <x:v>中等题</x:v>
      </x:c>
      <x:c r="C448" s="65" t="str">
        <x:v>中等题</x:v>
      </x:c>
      <x:c r="D448" s="65" t="str">
        <x:v>中等题</x:v>
      </x:c>
      <x:c r="E448" s="65" t="str">
        <x:v>逐题复核后保留GPT裁定</x:v>
      </x:c>
      <x:c r="F448" s="65" t="str">
        <x:v>高</x:v>
      </x:c>
      <x:c r="G448" s="65" t="str">
        <x:v>基础题</x:v>
      </x:c>
      <x:c r="H448" s="65" t="str">
        <x:v>中等题</x:v>
      </x:c>
      <x:c r="I448" s="65" t="str">
        <x:v>存在约3—4步常规连续分析、共享过程或完整标准实验任务，关系仍显性。 题目证据：最高难选项实际有效推理约2步，五维锚定落在中等档，核心任务是围绕功率P=Gh/t辨析多个变量对结果的影响，检验不同表述中变量关系的充分必要性。题目要求对每个选项分别判断功率大小的充分条件，属于高密度概念辨析。</x:v>
      </x:c>
      <x:c r="J448" s="65" t="str">
        <x:v>三次运行错题并集逐题复核</x:v>
      </x:c>
      <x:c r="K448" s="63" t="str">
        <x:v>某班组织了一次爬楼比赛，要求从一楼爬到五楼，看哪位同学爬楼时功率最大。下列说法正确的是（ ）</x:v>
      </x:c>
      <x:c r="L448" s="63" t="str">
        <x:v>A. 体重最大的那位同学做功最多 B. 体重轻的同学速度快，功率最大 C. 第一个到达终点的同学功率最大 D. 最后一个到达终点的同学可能赢得比赛</x:v>
      </x:c>
      <x:c r="M448" s="63" t="str">
        <x:v>解：设五楼的楼高为h,人的体重为G，从一楼爬到五楼的时间为t, 则：某人一楼爬到五楼，爬楼做的功W=Gh,爬楼的功率：P=$\frac{W}{t}$=$\frac{Gh}{t}$，所以，在h一定时，$\frac{G}{t}$的值越大，爬楼的功率就越大。 A、由W=Gh可知，h相同，体重最大的那位同学做功最多，故A正确； B、G小，$\frac{G}{t}$的值不一定大，故B错误； C、t小，$\frac{G}{t}$的值不一定大，故C错误； D、t大，$\frac{G}{t}$的值不一定小，也可能大，故D正确。 故选：AD。</x:v>
      </x:c>
      <x:c r="N448" s="63" t="str">
        <x:v>https://k12static.xdf.cn/k12/image/externalized/57902de1-416e-4e34-91f3-b1c0c512502e.png</x:v>
      </x:c>
      <x:c r="O448" s="63" t="str">
        <x:v>https://k12static.xdf.cn/k12/image/externalized/873ca595-621d-47e3-8db7-cdf054a9feb3.png</x:v>
      </x:c>
      <x:c r="P448" s="63" t="str">
        <x:v>1-2步</x:v>
      </x:c>
      <x:c r="Q448" s="63" t="str">
        <x:v>概念判断</x:v>
      </x:c>
      <x:c r="R448" s="63" t="str">
        <x:v>单状态</x:v>
      </x:c>
      <x:c r="S448" s="63" t="str">
        <x:v>无约束</x:v>
      </x:c>
      <x:c r="T448" s="63" t="str">
        <x:v>无</x:v>
      </x:c>
      <x:c r="U448" s="63" t="str">
        <x:v>无</x:v>
      </x:c>
      <x:c r="V448" s="63" t="str">
        <x:v>简单因果推理</x:v>
      </x:c>
    </x:row>
    <x:row r="449">
      <x:c r="A449" s="64" t="str">
        <x:v>​3023682768417857536</x:v>
      </x:c>
      <x:c r="B449" s="65" t="str">
        <x:v>基础题</x:v>
      </x:c>
      <x:c r="C449" s="65" t="str">
        <x:v>基础题</x:v>
      </x:c>
      <x:c r="D449" s="65" t="str">
        <x:v>基础题</x:v>
      </x:c>
      <x:c r="E449" s="65" t="str">
        <x:v>保留原GPT裁定</x:v>
      </x:c>
      <x:c r="F449" s="65" t="str">
        <x:v>中</x:v>
      </x:c>
      <x:c r="G449" s="65" t="str">
        <x:v>中等题</x:v>
      </x:c>
      <x:c r="H449" s="65" t="str">
        <x:v>基础题</x:v>
      </x:c>
      <x:c r="I449" s="65" t="str">
        <x:v>题干、解析与结构证据支持基础题：step=1-2步，题型=概念判断，状态=单状态，约束=无约束，推理=简单因果推理。教师、盲评和多次模型证据中未形成足以推翻原裁定的同向结构证据。</x:v>
      </x:c>
      <x:c r="J449" s="65" t="str">
        <x:v>未进入三次错题并集；逐题结构一致性复核</x:v>
      </x:c>
      <x:c r="K449" s="63" t="str">
        <x:v>关于显微镜和望远镜下列分析正确的是（ ）</x:v>
      </x:c>
      <x:c r="L449" s="63" t="str">
        <x:v>A. 来自被观察物体的光经显微镜的物镜后成一个放大的实像 B. 显微镜目镜的作用如同一个平面镜 C. 望远镜的目镜作用是把物体通过物镜成在焦点附近的像放大 D. 望远镜观察到的是被观察物体放大的虚像</x:v>
      </x:c>
      <x:c r="M449" s="63" t="str">
        <x:v>A．显微镜的放大过程是：来自被观察物体的光经过物镜后成一个放大的实像，目镜把这个放大的像再次放大，成正立、放大的虚像，故A正确；B．显微镜目镜使物体成正立、放大的虚像，作用如同一个放大镜，故B错误；C．望远镜的放大过程是：物镜使远处物体在焦点附近成倒立的实像，目镜再把这个实像放大，成正立的虚像，故C正确；D．望远镜观察到的是被观察物体所成正立、放大的虚像，故D正确故选ACD。</x:v>
      </x:c>
      <x:c r="N449" s="63" t="str">
        <x:v>https://k12static.xdf.cn/k12/image/externalized/6fd763ee-01e6-4b3f-8d22-f15829e0fd01.png</x:v>
      </x:c>
      <x:c r="O449" s="63" t="str">
        <x:v>https://k12static.xdf.cn/k12/image/externalized/3158bdbf-8250-43f1-8651-f7dc71944141.png</x:v>
      </x:c>
      <x:c r="P449" s="63" t="str">
        <x:v>1-2步</x:v>
      </x:c>
      <x:c r="Q449" s="63" t="str">
        <x:v>概念判断</x:v>
      </x:c>
      <x:c r="R449" s="63" t="str">
        <x:v>单状态</x:v>
      </x:c>
      <x:c r="S449" s="63" t="str">
        <x:v>无约束</x:v>
      </x:c>
      <x:c r="T449" s="63" t="str">
        <x:v>无</x:v>
      </x:c>
      <x:c r="U449" s="63" t="str">
        <x:v>无</x:v>
      </x:c>
      <x:c r="V449" s="63" t="str">
        <x:v>简单因果推理</x:v>
      </x:c>
    </x:row>
    <x:row r="450">
      <x:c r="A450" s="64" t="str">
        <x:v>​3026022062336888832</x:v>
      </x:c>
      <x:c r="B450" s="65" t="str">
        <x:v>拔高题</x:v>
      </x:c>
      <x:c r="C450" s="65" t="str">
        <x:v>拔高题</x:v>
      </x:c>
      <x:c r="D450" s="65" t="str">
        <x:v>拔高题</x:v>
      </x:c>
      <x:c r="E450" s="65" t="str">
        <x:v>逐题复核后保留GPT裁定</x:v>
      </x:c>
      <x:c r="F450" s="65" t="str">
        <x:v>高</x:v>
      </x:c>
      <x:c r="G450" s="65" t="str">
        <x:v>拔高题</x:v>
      </x:c>
      <x:c r="H450" s="65" t="str">
        <x:v>拔高题</x:v>
      </x:c>
      <x:c r="I450" s="65" t="str">
        <x:v>最高难任务在教材概念与常规物理关系中包含图线反推、状态转换、误差评价、几何/等效转换、方程联立或参数反求等决定性卡点，整体约5—6个有效决策；尚未形成压轴所需的完整复杂约束网络。</x:v>
      </x:c>
      <x:c r="J450" s="65" t="str">
        <x:v>三次运行错题并集逐题复核</x:v>
      </x:c>
      <x:c r="K450" s="63" t="str">
        <x:v>如图所示，水平地面上放置相同材料制成的四个木块，其中两个质量为m的木块间用不可伸长的水平轻绳相连，下面两个木块质量分别为2m和3m。现用水平拉力F拉其中一个质量为3m的木块，使四个木块一同水平向右匀速运动，则（ ）</x:v>
      </x:c>
      <x:c r="L450" s="63" t="str">
        <x:v>A. 质量为3m的木块与地面间的摩擦力为$\frac{4F}{7}$ B. 质量为2m的木块与地面间的摩擦力为$\frac{F}{2}$ C. 轻绳对m的拉力为$\frac{F}{7}$ D. 轻绳对m的拉力为$\frac{F}{2}$</x:v>
      </x:c>
      <x:c r="M450" s="63" t="str">
        <x:v>解： 四个木块水平向右匀速运动，把四个木块当作一个整体，水平向右的拉力为F和总摩擦力f总平衡，所以f总=F； 图中四个木块对地面的压力：F总压=G总=（m+m+2m+3m）g=7mg, 右边2个木块对对地面的压力：F右压=（m+3m）g=4mg, 左边2个木块对对地面的压力：F左压=（m+2m）g=3mg, 因为接触面粗糙程度相同时，滑动摩擦力与压力成正比， 所以，右边质量为3m的木块与地面间的摩擦力为：f1=$\frac{4mg}{7mg}$×f总=$\frac{4F}{7}$， 左边质量为2m的木块与地面间的摩擦力为：f2=$\frac{3mg}{7mg}$×f总=$\frac{3F}{7}$， 把质量为m的木块和质量为2m的木块上看作一个整体，整体向右匀速运动， 所以轻绳对m的拉力和质量为2m的木块与地面间的摩擦力相等，即F绳=f2=$\frac{3F}{7}$，故A正确，B、C、D错误。 故选：A。</x:v>
      </x:c>
      <x:c r="N450" s="63" t="str">
        <x:v>https://k12static.xdf.cn/k12/image/externalized/93b45b5f-67e0-4551-8e67-f7509c68e900.png</x:v>
      </x:c>
      <x:c r="O450" s="63" t="str">
        <x:v>https://k12static.xdf.cn/k12/image/externalized/d6c58675-0ed9-4df3-afc4-9191a9a1314a.png</x:v>
      </x:c>
      <x:c r="P450" s="63" t="str">
        <x:v>3-5步</x:v>
      </x:c>
      <x:c r="Q450" s="63" t="str">
        <x:v>力学综合</x:v>
      </x:c>
      <x:c r="R450" s="63" t="str">
        <x:v>单状态</x:v>
      </x:c>
      <x:c r="S450" s="63" t="str">
        <x:v>单一约束</x:v>
      </x:c>
      <x:c r="T450" s="63" t="str">
        <x:v>无</x:v>
      </x:c>
      <x:c r="U450" s="63" t="str">
        <x:v>无</x:v>
      </x:c>
      <x:c r="V450" s="63" t="str">
        <x:v>多层因果推理</x:v>
      </x:c>
    </x:row>
    <x:row r="451">
      <x:c r="A451" s="64" t="str">
        <x:v>​3032629189525671936</x:v>
      </x:c>
      <x:c r="B451" s="65" t="str">
        <x:v>基础题</x:v>
      </x:c>
      <x:c r="C451" s="65" t="str">
        <x:v>基础题</x:v>
      </x:c>
      <x:c r="D451" s="65" t="str">
        <x:v>基础题</x:v>
      </x:c>
      <x:c r="E451" s="65" t="str">
        <x:v>保留原GPT裁定</x:v>
      </x:c>
      <x:c r="F451" s="65" t="str">
        <x:v>高</x:v>
      </x:c>
      <x:c r="G451" s="65" t="str">
        <x:v>基础题</x:v>
      </x:c>
      <x:c r="H451" s="65" t="str">
        <x:v>基础题</x:v>
      </x:c>
      <x:c r="I451" s="65" t="str">
        <x:v>题干、解析与结构证据支持基础题：step=1-2步，题型=概念判断，状态=单状态，约束=无约束，推理=简单因果推理。教师、盲评和多次模型证据中未形成足以推翻原裁定的同向结构证据。</x:v>
      </x:c>
      <x:c r="J451" s="65" t="str">
        <x:v>未进入三次错题并集；逐题结构一致性复核</x:v>
      </x:c>
      <x:c r="K451" s="63" t="str">
        <x:v>如图是我国055型万吨级驱逐舰“延安”号。该舰满载时，排水量约12000t,吃水深度6.6m,下列说法正确的是（ ）</x:v>
      </x:c>
      <x:c r="L451" s="63" t="str">
        <x:v>A. 排水量指的是舰船满载时排开水的重力 B. “延安”号漂浮在海面上，所受重力小于浮力 C. “延安”号漂浮在海面上，所受浮力方向垂直向上 D. “延安”号从河里到海里的过程中，排开液体的体积变小</x:v>
      </x:c>
      <x:c r="M451" s="63" t="str">
        <x:v>解：A、排水量指的是舰船满载时排开水的质量，故A错误； B、驱逐舰浮在海面上，根据漂浮条件可知，所受的浮力等于它的重力，故B错误； C、驱逐舰所受浮力的方向是竖直向上的，故C错误； D、驱逐舰从河里到海里的过程中，始终漂浮在海面上，所受浮力大小不变，由V排=$\frac{{F}_{浮}}{{ρ}_{水}g}$可知，海水的密度比河水的密度大，所以在海里排开液体的体积小，即从河里到海里的过程中，排开液体的体积变小，故D正确。 故选：D。</x:v>
      </x:c>
      <x:c r="N451" s="63" t="str">
        <x:v>https://k12static.xdf.cn/k12/image/externalized/b32b1d57-dfb0-4e48-8d6d-46f944ba5cfa.png</x:v>
      </x:c>
      <x:c r="O451" s="63" t="str">
        <x:v>https://k12static.xdf.cn/k12/image/externalized/aafbe15f-7c26-4f17-89be-228b7a78dd4b.png</x:v>
      </x:c>
      <x:c r="P451" s="63" t="str">
        <x:v>1-2步</x:v>
      </x:c>
      <x:c r="Q451" s="63" t="str">
        <x:v>概念判断</x:v>
      </x:c>
      <x:c r="R451" s="63" t="str">
        <x:v>单状态</x:v>
      </x:c>
      <x:c r="S451" s="63" t="str">
        <x:v>无约束</x:v>
      </x:c>
      <x:c r="T451" s="63" t="str">
        <x:v>无</x:v>
      </x:c>
      <x:c r="U451" s="63" t="str">
        <x:v>无</x:v>
      </x:c>
      <x:c r="V451" s="63" t="str">
        <x:v>简单因果推理</x:v>
      </x:c>
    </x:row>
    <x:row r="452">
      <x:c r="A452" s="64" t="str">
        <x:v>​3039633133689999360</x:v>
      </x:c>
      <x:c r="B452" s="65" t="str">
        <x:v>基础题</x:v>
      </x:c>
      <x:c r="C452" s="65" t="str">
        <x:v>基础题</x:v>
      </x:c>
      <x:c r="D452" s="65" t="str">
        <x:v>基础题</x:v>
      </x:c>
      <x:c r="E452" s="65" t="str">
        <x:v>保留原GPT裁定</x:v>
      </x:c>
      <x:c r="F452" s="65" t="str">
        <x:v>高</x:v>
      </x:c>
      <x:c r="G452" s="65" t="str">
        <x:v>中等题</x:v>
      </x:c>
      <x:c r="H452" s="65" t="str">
        <x:v>基础题</x:v>
      </x:c>
      <x:c r="I452" s="65" t="str">
        <x:v>题干、解析与结构证据支持基础题：step=1-2步，题型=概念判断，状态=单状态，约束=无约束，推理=多层因果推理。教师、盲评和多次模型证据中未形成足以推翻原裁定的同向结构证据。</x:v>
      </x:c>
      <x:c r="J452" s="65" t="str">
        <x:v>未进入三次错题并集；逐题结构一致性复核</x:v>
      </x:c>
      <x:c r="K452" s="63" t="str">
        <x:v>小明和小华乘高铁出行，以站台为参照物，他们所乘的列车是静止的。要说明运动的相对性，还需要的依据是（ ）</x:v>
      </x:c>
      <x:c r="L452" s="63" t="str">
        <x:v>A. 以他们所乘列车为参照物，站台是静止的 B. 以站台为参照物，窗外另一列车是运动的 C. 以窗外另一列车为参照物，他们所乘列车是运动的 D. 以他们所乘列车为参照物，窗外另一列车是运动的</x:v>
      </x:c>
      <x:c r="M452" s="63" t="str">
        <x:v>解：A、由题意知，以站台为参照物，他们所乘的列车是静止的，则以他们所乘列车为参照物，站台也是静止的，但这不能说明运动的相对性，故A错误； B、以站台为参照物，窗外另一列车的位置发生了改变，是运动的，但这不能说明运动的相对性，故B错误； C、以窗外另一列车为参照物，他们所乘列车位置发生了改变，是运动的，能说明运动的相对性，故C正确； D、以他们所乘列车为参照物，窗外另一列车的位置发生了改变，是运动的，但这不能说明运动的相对性，故D错误。 故选：C。</x:v>
      </x:c>
      <x:c r="N452" s="63" t="str">
        <x:v>https://k12static.xdf.cn/k12/image/externalized/27ff3293-51f3-41b8-904b-189bd4edb896.png</x:v>
      </x:c>
      <x:c r="O452" s="63" t="str">
        <x:v>https://k12static.xdf.cn/k12/image/externalized/6a1416a3-9741-47e1-8a54-ad1a2cce6a82.png</x:v>
      </x:c>
      <x:c r="P452" s="63" t="str">
        <x:v>1-2步</x:v>
      </x:c>
      <x:c r="Q452" s="63" t="str">
        <x:v>概念判断</x:v>
      </x:c>
      <x:c r="R452" s="63" t="str">
        <x:v>单状态</x:v>
      </x:c>
      <x:c r="S452" s="63" t="str">
        <x:v>无约束</x:v>
      </x:c>
      <x:c r="T452" s="63" t="str">
        <x:v>无</x:v>
      </x:c>
      <x:c r="U452" s="63" t="str">
        <x:v>无</x:v>
      </x:c>
      <x:c r="V452" s="63" t="str">
        <x:v>多层因果推理</x:v>
      </x:c>
    </x:row>
    <x:row r="453">
      <x:c r="A453" s="64" t="str">
        <x:v>​3045768462702751744</x:v>
      </x:c>
      <x:c r="B453" s="65" t="str">
        <x:v>中等题</x:v>
      </x:c>
      <x:c r="C453" s="65" t="str">
        <x:v>中等题</x:v>
      </x:c>
      <x:c r="D453" s="65" t="str">
        <x:v>中等题</x:v>
      </x:c>
      <x:c r="E453" s="65" t="str">
        <x:v>保留原GPT裁定</x:v>
      </x:c>
      <x:c r="F453" s="65" t="str">
        <x:v>高</x:v>
      </x:c>
      <x:c r="G453" s="65" t="str">
        <x:v>中等题</x:v>
      </x:c>
      <x:c r="H453" s="65" t="str">
        <x:v>拔高题</x:v>
      </x:c>
      <x:c r="I453" s="65" t="str">
        <x:v>题干、解析与结构证据支持中等题：step=3-5步，题型=概念判断，状态=单状态，约束=单一约束，推理=多层因果推理。教师、盲评和多次模型证据中未形成足以推翻原裁定的同向结构证据。</x:v>
      </x:c>
      <x:c r="J453" s="65" t="str">
        <x:v>未进入三次错题并集；逐题结构一致性复核</x:v>
      </x:c>
      <x:c r="K453" s="63" t="str">
        <x:v>如图为小明家的部分电路示意图，正在发光的灯泡突然熄灭，经检查发现：开关闭合，保险丝完好，用测电笔检测三孔插座的左右两孔，氖管均发光。若电路只有一处故障，该故障可能是（ ）</x:v>
      </x:c>
      <x:c r="L453" s="63" t="str">
        <x:v>A. 灯泡断路 B. 插座短路 C. 进户线的火线断路 D. 进户线的零线断路</x:v>
      </x:c>
      <x:c r="M453" s="63" t="str">
        <x:v>A．若电灯的灯丝断路，此时插座的左孔与零线相连不带电，用验电笔插入时，氖管不发光；插座的右孔接火线，用验电笔插入时，氖管发光，故A不符合题意；B．若插座短路，电路短路，保险丝会熔断，题目中保险丝完好，故B不符合题意；C．若进户火线断路，那么插座两孔均不带电，用测电笔检测插座的左右两孔，氖管不会发光。故C不符合题意；D．若进户零线断路，则此时灯泡完好，控制灯泡的开关闭合，因进户线断路，无法形成闭合回路，故灯泡熄灭；因进户零线断路，则插座两孔均带电，故用测电笔检测插座的左右两孔，氖管均发光。故D符合题意。故选D。</x:v>
      </x:c>
      <x:c r="N453" s="63" t="str">
        <x:v>https://k12static.xdf.cn/k12/image/externalized/aa3d3b09-1034-489c-a2c0-f8cbf1c35339.png</x:v>
      </x:c>
      <x:c r="O453" s="63" t="str">
        <x:v>https://k12static.xdf.cn/k12/image/externalized/2a2a56dd-bfe7-45b7-98ef-3c977e53942b.png</x:v>
      </x:c>
      <x:c r="P453" s="63" t="str">
        <x:v>3-5步</x:v>
      </x:c>
      <x:c r="Q453" s="63" t="str">
        <x:v>概念判断</x:v>
      </x:c>
      <x:c r="R453" s="63" t="str">
        <x:v>单状态</x:v>
      </x:c>
      <x:c r="S453" s="63" t="str">
        <x:v>单一约束</x:v>
      </x:c>
      <x:c r="T453" s="63" t="str">
        <x:v>无</x:v>
      </x:c>
      <x:c r="U453" s="63" t="str">
        <x:v>无</x:v>
      </x:c>
      <x:c r="V453" s="63" t="str">
        <x:v>多层因果推理</x:v>
      </x:c>
    </x:row>
    <x:row r="454">
      <x:c r="A454" s="64" t="str">
        <x:v>​3046118691697373184</x:v>
      </x:c>
      <x:c r="B454" s="65" t="str">
        <x:v>基础题</x:v>
      </x:c>
      <x:c r="C454" s="65" t="str">
        <x:v>基础题</x:v>
      </x:c>
      <x:c r="D454" s="65" t="str">
        <x:v>基础题</x:v>
      </x:c>
      <x:c r="E454" s="65" t="str">
        <x:v>保留原GPT裁定</x:v>
      </x:c>
      <x:c r="F454" s="65" t="str">
        <x:v>中</x:v>
      </x:c>
      <x:c r="G454" s="65" t="str">
        <x:v>送分题</x:v>
      </x:c>
      <x:c r="H454" s="65" t="str">
        <x:v>基础题</x:v>
      </x:c>
      <x:c r="I454" s="65" t="str">
        <x:v>题干、解析与结构证据支持基础题：step=3-5步，题型=力学综合，状态=单状态，约束=单一约束，推理=多层因果推理。教师、盲评和多次模型证据中未形成足以推翻原裁定的同向结构证据。</x:v>
      </x:c>
      <x:c r="J454" s="65" t="str">
        <x:v>未进入三次错题并集；逐题结构一致性复核</x:v>
      </x:c>
      <x:c r="K454" s="63" t="str">
        <x:v>丹丹要晾晒三条相同的湿毛巾，如图的挂法中，最有可能让衣架保持水平平衡的是（ ）</x:v>
      </x:c>
      <x:c r="L454" s="63" t="str"/>
      <x:c r="M454" s="63" t="str">
        <x:v>解：设每条湿毛巾重力为G，每个小格的长度为L， A、左侧力与力臂的乘积为2G×L=2GL，右侧力与力臂的乘积为G×2L=2GL，左侧=右侧，故A正确； B、左侧力与力臂的乘积为2G×2L=4GL，右侧力与力臂的乘积为G×L=GL，左侧≠右侧，故A错误； C、左侧力与力臂的乘积为2G×L=2GL，右侧力与力臂的乘积为G×L=GL，左侧≠右侧，故C错误； D、左侧力与力臂的乘积为2G×2L=4GL，右侧力与力臂的乘积为G×2L=2GL，左侧≠右侧，故D错误； 故选：A。</x:v>
      </x:c>
      <x:c r="N454" s="63" t="str">
        <x:v>https://k12static.xdf.cn/k12/image/externalized/04db403a-b301-47dd-8bac-92c40ba41330.png</x:v>
      </x:c>
      <x:c r="O454" s="63" t="str">
        <x:v>https://k12static.xdf.cn/k12/image/externalized/3ed5e410-34e9-48c2-bf61-74e4cfa434fc.png</x:v>
      </x:c>
      <x:c r="P454" s="63" t="str">
        <x:v>3-5步</x:v>
      </x:c>
      <x:c r="Q454" s="63" t="str">
        <x:v>力学综合</x:v>
      </x:c>
      <x:c r="R454" s="63" t="str">
        <x:v>单状态</x:v>
      </x:c>
      <x:c r="S454" s="63" t="str">
        <x:v>单一约束</x:v>
      </x:c>
      <x:c r="T454" s="63" t="str">
        <x:v>无</x:v>
      </x:c>
      <x:c r="U454" s="63" t="str">
        <x:v>无</x:v>
      </x:c>
      <x:c r="V454" s="63" t="str">
        <x:v>多层因果推理</x:v>
      </x:c>
    </x:row>
    <x:row r="455">
      <x:c r="A455" s="64" t="str">
        <x:v>​3048814838256050176</x:v>
      </x:c>
      <x:c r="B455" s="65" t="str">
        <x:v>拔高题</x:v>
      </x:c>
      <x:c r="C455" s="65" t="str">
        <x:v>拔高题</x:v>
      </x:c>
      <x:c r="D455" s="65" t="str">
        <x:v>拔高题</x:v>
      </x:c>
      <x:c r="E455" s="65" t="str">
        <x:v>逐题复核后保留GPT裁定</x:v>
      </x:c>
      <x:c r="F455" s="65" t="str">
        <x:v>高</x:v>
      </x:c>
      <x:c r="G455" s="65" t="str">
        <x:v>拔高题</x:v>
      </x:c>
      <x:c r="H455" s="65" t="str">
        <x:v>拔高题</x:v>
      </x:c>
      <x:c r="I455" s="65" t="str">
        <x:v>最高难任务在图表信息提取与关系反推中包含图线反推、状态转换、误差评价、几何/等效转换、方程联立或参数反求等决定性卡点，整体约5—6个有效决策；尚未形成压轴所需的完整复杂约束网络。</x:v>
      </x:c>
      <x:c r="J455" s="65" t="str">
        <x:v>三次运行错题并集逐题复核</x:v>
      </x:c>
      <x:c r="K455" s="63" t="str">
        <x:v>如图所示，弹簧左端固定于竖直墙壁，右端与物块M连接，置于粗糙水平面上，当M位于O点时弹簧恰好不发生形变。现将物块M拉至Y处由静止释放，M向左最远可运动至X点。则物块从Y点运动至X点的过程中，合力F合，速度v随位置s变化的图像为（ ）</x:v>
      </x:c>
      <x:c r="L455" s="63" t="str"/>
      <x:c r="M455" s="63" t="str">
        <x:v>解：合力F合分析：从Y点开始释放，弹簧处于拉伸状态，弹簧弹力F大于摩擦力f,合力方向向左，大小为F-f。随着物块向左运动，弹簧形变量减小，弹力F逐渐减小，合力逐渐减小。当运动到某一位置时，弹簧弹力F与摩擦力f相等，此时合力为0。继续向左运动，弹簧弹力F小于摩擦力f,合力方向向右，大小为f-F，且随着弹簧继续压缩，弹力F增大，合力逐渐增大。 速度v分析：从Y点由静止释放，在合力作用下向左加速运动，速度逐渐增大。当合力为0时，速度达到最大。之后由于合力方向向右，物块做减速运动，速度逐渐减小，直到在X点速度减为0。 根据上述分析，合力F合随位置s先减小到0，再反向增大；速度v随位置s先增大到最大值，再减小到0。所以合力F合、速度v随位置s变化的图像应该是选项C。故C符合题意，ABD不符合题意。 故选：C。</x:v>
      </x:c>
      <x:c r="N455" s="63" t="str">
        <x:v>https://k12static.xdf.cn/k12/image/externalized/545fa3f7-dda3-40e1-bd4f-288391855e85.png</x:v>
      </x:c>
      <x:c r="O455" s="63" t="str">
        <x:v>https://k12static.xdf.cn/k12/image/externalized/c5d1a4e6-2e53-4394-b4e1-b5c4467dcead.png</x:v>
      </x:c>
      <x:c r="P455" s="63" t="str">
        <x:v>3-5步</x:v>
      </x:c>
      <x:c r="Q455" s="63" t="str">
        <x:v>概念判断</x:v>
      </x:c>
      <x:c r="R455" s="63" t="str">
        <x:v>连续变化或临界状态</x:v>
      </x:c>
      <x:c r="S455" s="63" t="str">
        <x:v>单一约束</x:v>
      </x:c>
      <x:c r="T455" s="63" t="str">
        <x:v>无</x:v>
      </x:c>
      <x:c r="U455" s="63" t="str">
        <x:v>图像反推或外推</x:v>
      </x:c>
      <x:c r="V455" s="63" t="str">
        <x:v>多层因果推理</x:v>
      </x:c>
    </x:row>
    <x:row r="456">
      <x:c r="A456" s="64" t="str">
        <x:v>​3052782342720278528</x:v>
      </x:c>
      <x:c r="B456" s="65" t="str">
        <x:v>中等题</x:v>
      </x:c>
      <x:c r="C456" s="65" t="str">
        <x:v>中等题</x:v>
      </x:c>
      <x:c r="D456" s="65" t="str">
        <x:v>中等题</x:v>
      </x:c>
      <x:c r="E456" s="65" t="str">
        <x:v>保留原GPT裁定</x:v>
      </x:c>
      <x:c r="F456" s="65" t="str">
        <x:v>高</x:v>
      </x:c>
      <x:c r="G456" s="65" t="str">
        <x:v>基础题</x:v>
      </x:c>
      <x:c r="H456" s="65" t="str">
        <x:v>中等题</x:v>
      </x:c>
      <x:c r="I456" s="65" t="str">
        <x:v>题干、解析与结构证据支持中等题：step=3-5步，题型=概念判断，状态=双状态，约束=无约束，推理=多层因果推理。教师、盲评和多次模型证据中未形成足以推翻原裁定的同向结构证据。</x:v>
      </x:c>
      <x:c r="J456" s="65" t="str">
        <x:v>未进入三次错题并集；逐题结构一致性复核</x:v>
      </x:c>
      <x:c r="K456" s="63" t="str">
        <x:v>蹦极是一种具有刺激性的运动项目。如图所示，某次蹦极时，人从蹦极台跳下，到A点时弹性绳刚好绷直，人继续下落到最低点B。若不考虑空气阻力，下列关于人在下降过程中能量分析的说法中正确的是（ ）</x:v>
      </x:c>
      <x:c r="L456" s="63" t="str">
        <x:v>A. 到达A点前，人的重力势能全部转化为动能 B. 到达A点时，弹性绳的弹性势能最小，人的动能最大 C. 从A点运动到B点过程中，人的机械能守恒 D. 从A点运动到B点过程中，人的重力势能全部转化为弹性势能</x:v>
      </x:c>
      <x:c r="M456" s="63" t="str">
        <x:v>解：A、弹性绳绷直前，人在重力的作用下向下做加速运动，人的质量不变，高度变小，人的重力势能减小，速度变大，动能增大，不计空气阻力，人的重力势能转化成动能，故A正确； B、弹性绳刚好绷直时，人继续向下运动，人的重力大于弹性绳的弹力，向下做加速运动，当弹力等于人的重力时，速度最大，动能最大，故B错误； C、下降到最低点的过程中，人的机械能转化为弹性绳的弹性势能，所以人的机械能不守恒，故C错误； D、从A点运动到B点过程中，人的重力势能不仅转化为弹性势能，还转化为人的动能，故D错误。 故选：A。</x:v>
      </x:c>
      <x:c r="N456" s="63" t="str">
        <x:v>https://k12static.xdf.cn/k12/image/externalized/71dd4a47-2ff7-4f07-b458-2c93cc0def94.png</x:v>
      </x:c>
      <x:c r="O456" s="63" t="str">
        <x:v>https://k12static.xdf.cn/k12/image/externalized/f5397156-3b1b-4ceb-8fa6-046f4214c3e5.png</x:v>
      </x:c>
      <x:c r="P456" s="63" t="str">
        <x:v>3-5步</x:v>
      </x:c>
      <x:c r="Q456" s="63" t="str">
        <x:v>概念判断</x:v>
      </x:c>
      <x:c r="R456" s="63" t="str">
        <x:v>双状态</x:v>
      </x:c>
      <x:c r="S456" s="63" t="str">
        <x:v>无约束</x:v>
      </x:c>
      <x:c r="T456" s="63" t="str">
        <x:v>无</x:v>
      </x:c>
      <x:c r="U456" s="63" t="str">
        <x:v>无</x:v>
      </x:c>
      <x:c r="V456" s="63" t="str">
        <x:v>多层因果推理</x:v>
      </x:c>
    </x:row>
    <x:row r="457">
      <x:c r="A457" s="64" t="str">
        <x:v>​3054185302288609280</x:v>
      </x:c>
      <x:c r="B457" s="65" t="str">
        <x:v>送分题</x:v>
      </x:c>
      <x:c r="C457" s="65" t="str">
        <x:v>送分题</x:v>
      </x:c>
      <x:c r="D457" s="65" t="str">
        <x:v>送分题</x:v>
      </x:c>
      <x:c r="E457" s="65" t="str">
        <x:v>保留原GPT裁定</x:v>
      </x:c>
      <x:c r="F457" s="65" t="str">
        <x:v>高</x:v>
      </x:c>
      <x:c r="G457" s="65" t="str">
        <x:v>送分题</x:v>
      </x:c>
      <x:c r="H457" s="65" t="str">
        <x:v>基础题</x:v>
      </x:c>
      <x:c r="I457" s="65" t="str">
        <x:v>题干、解析与结构证据支持送分题：step=1-2步，题型=概念判断，状态=单状态，约束=无约束，推理=直接套用。教师、盲评和多次模型证据中未形成足以推翻原裁定的同向结构证据。</x:v>
      </x:c>
      <x:c r="J457" s="65" t="str">
        <x:v>未进入三次错题并集；逐题结构一致性复核</x:v>
      </x:c>
      <x:c r="K457" s="63" t="str">
        <x:v>“沸腾时代 逐梦经外”，每年的3月21日为经外火锅节。煮火锅时香飘四溢，这是 现象，说明分子 ；在沸腾的锅中加入毛肚，是通过 的方式改变毛肚的内能，使用电磁炉煮火锅时是将 能转化为内能。</x:v>
      </x:c>
      <x:c r="L457" s="63" t="str"/>
      <x:c r="M457" s="63" t="str">
        <x:v>解：煮火锅时香飘四溢，属于扩散现象，说明分子在不停地做无规则运动； 在沸腾的锅中加入毛肚，主要是通过热传递的方式改变内能； 使用电磁炉煮火锅时将电能转化为内能。 故答案为：扩散；不停地做无规则运动；热传递；电。</x:v>
      </x:c>
      <x:c r="N457" s="63" t="str">
        <x:v>https://k12static.xdf.cn/k12/image/externalized/54afcad3-d314-49e7-aa6d-c16a77aa6cf6.png</x:v>
      </x:c>
      <x:c r="O457" s="63" t="str">
        <x:v>https://k12static.xdf.cn/k12/image/externalized/96229337-9d0c-4fff-9cd4-8166ccf26d16.png</x:v>
      </x:c>
      <x:c r="P457" s="63" t="str">
        <x:v>1-2步</x:v>
      </x:c>
      <x:c r="Q457" s="63" t="str">
        <x:v>概念判断</x:v>
      </x:c>
      <x:c r="R457" s="63" t="str">
        <x:v>单状态</x:v>
      </x:c>
      <x:c r="S457" s="63" t="str">
        <x:v>无约束</x:v>
      </x:c>
      <x:c r="T457" s="63" t="str">
        <x:v>无</x:v>
      </x:c>
      <x:c r="U457" s="63" t="str">
        <x:v>无</x:v>
      </x:c>
      <x:c r="V457" s="63" t="str">
        <x:v>直接套用</x:v>
      </x:c>
    </x:row>
    <x:row r="458">
      <x:c r="A458" s="64" t="str">
        <x:v>​3054210849161695232</x:v>
      </x:c>
      <x:c r="B458" s="65" t="str">
        <x:v>中等题</x:v>
      </x:c>
      <x:c r="C458" s="65" t="str">
        <x:v>中等题</x:v>
      </x:c>
      <x:c r="D458" s="65" t="str">
        <x:v>中等题</x:v>
      </x:c>
      <x:c r="E458" s="65" t="str">
        <x:v>保留原GPT裁定</x:v>
      </x:c>
      <x:c r="F458" s="65" t="str">
        <x:v>高</x:v>
      </x:c>
      <x:c r="G458" s="65" t="str">
        <x:v>基础题</x:v>
      </x:c>
      <x:c r="H458" s="65" t="str">
        <x:v>中等题</x:v>
      </x:c>
      <x:c r="I458" s="65" t="str">
        <x:v>题干、解析与结构证据支持中等题：step=3-5步，题型=图像表格分析，状态=单状态，约束=无约束，推理=多层因果推理。教师、盲评和多次模型证据中未形成足以推翻原裁定的同向结构证据。</x:v>
      </x:c>
      <x:c r="J458" s="65" t="str">
        <x:v>未进入三次错题并集；逐题结构一致性复核</x:v>
      </x:c>
      <x:c r="K458" s="63" t="str">
        <x:v>如图是一些小冰块温度随加热时间变化的图像，假设单位时间内物体吸收的热量相等。由图像可知冰是 （填“晶体”或“非晶体”），BC段物质处于 （填“固态”“液态”或“固液共存状态”），t1时物体的内能 （填“大于”“等于”或“小于”）t2时物体的内能。100g冰温度从-10℃升高到0℃，吸收的热量为 J。$[{c}_{冰}=2.1×{10}^{3}J/(kg\bullet ℃)]$</x:v>
      </x:c>
      <x:c r="L458" s="63" t="str"/>
      <x:c r="M458" s="63" t="str">
        <x:v>解：晶体熔化时，吸收热量，温度保持不变，有固定的熔点，由图像可知，冰熔化过程中，温度保持不变，熔点为0℃，故冰是晶体；BC段是冰的熔化过程，处于固液共存状态，由于物体在不断吸收热量，内能增加，所以t1时物体的内能小于t1时物体的内能； 100g冰温度从-10℃升高到0℃，吸收的热量： Q吸=c冰mΔt=2.1×103J/（kg•℃）×100×10-3kg×[0℃-（-10℃）]=2.1×103J。 故答案为：晶体；固液共存状态；小于；2.1×103。</x:v>
      </x:c>
      <x:c r="N458" s="63" t="str">
        <x:v>https://k12static.xdf.cn/k12/image/externalized/58d4175f-4229-4546-9efe-1936ece041f8.png</x:v>
      </x:c>
      <x:c r="O458" s="63" t="str">
        <x:v>https://k12static.xdf.cn/k12/image/externalized/8d5b0ab5-1bf2-41b4-9b2a-b228fdf7cb20.png</x:v>
      </x:c>
      <x:c r="P458" s="63" t="str">
        <x:v>3-5步</x:v>
      </x:c>
      <x:c r="Q458" s="63" t="str">
        <x:v>图像表格分析</x:v>
      </x:c>
      <x:c r="R458" s="63" t="str">
        <x:v>单状态</x:v>
      </x:c>
      <x:c r="S458" s="63" t="str">
        <x:v>无约束</x:v>
      </x:c>
      <x:c r="T458" s="63" t="str">
        <x:v>无</x:v>
      </x:c>
      <x:c r="U458" s="63" t="str">
        <x:v>多组比较归纳</x:v>
      </x:c>
      <x:c r="V458" s="63" t="str">
        <x:v>多层因果推理</x:v>
      </x:c>
    </x:row>
    <x:row r="459">
      <x:c r="A459" s="64" t="str">
        <x:v>​3054326763462176768</x:v>
      </x:c>
      <x:c r="B459" s="65" t="str">
        <x:v>送分题</x:v>
      </x:c>
      <x:c r="C459" s="65" t="str">
        <x:v>送分题</x:v>
      </x:c>
      <x:c r="D459" s="65" t="str">
        <x:v>送分题</x:v>
      </x:c>
      <x:c r="E459" s="65" t="str">
        <x:v>保留原GPT裁定</x:v>
      </x:c>
      <x:c r="F459" s="65" t="str">
        <x:v>高</x:v>
      </x:c>
      <x:c r="G459" s="65" t="str">
        <x:v>送分题</x:v>
      </x:c>
      <x:c r="H459" s="65" t="str">
        <x:v>基础题</x:v>
      </x:c>
      <x:c r="I459" s="65" t="str">
        <x:v>题干、解析与结构证据支持送分题：step=1-2步，题型=概念判断，状态=单状态，约束=无约束，推理=直接套用。教师、盲评和多次模型证据中未形成足以推翻原裁定的同向结构证据。</x:v>
      </x:c>
      <x:c r="J459" s="65" t="str">
        <x:v>未进入三次错题并集；逐题结构一致性复核</x:v>
      </x:c>
      <x:c r="K459" s="63" t="str">
        <x:v>下列数据中最符合实际的是（ ）</x:v>
      </x:c>
      <x:c r="L459" s="63" t="str">
        <x:v>A. 一节新的1号干电池电压为1V B. 对人体的安全电压为36V C. 半导体收音机电源的电流约为50mA D. 通过手电筒的电流大约为5A</x:v>
      </x:c>
      <x:c r="M459" s="63" t="str">
        <x:v>解：A、一节新的干电池的电压是1.5V，故A不符合实际； B、对人体的安全电压不高于36V，故B不符合实际； C、半导体收音机的工作电流非常小，在50mA左右，故C符合实际； D、手电筒工作时的电流很小，大约为0.3A，故D不符合实际。 故选：C。</x:v>
      </x:c>
      <x:c r="N459" s="63" t="str">
        <x:v>https://k12static.xdf.cn/k12/image/externalized/6a757629-ef93-4d2a-b32b-f88a06fc626b.png</x:v>
      </x:c>
      <x:c r="O459" s="63" t="str">
        <x:v>https://k12static.xdf.cn/k12/image/externalized/3340b048-f8e3-4b2c-950c-37cf419c35a6.png</x:v>
      </x:c>
      <x:c r="P459" s="63" t="str">
        <x:v>1-2步</x:v>
      </x:c>
      <x:c r="Q459" s="63" t="str">
        <x:v>概念判断</x:v>
      </x:c>
      <x:c r="R459" s="63" t="str">
        <x:v>单状态</x:v>
      </x:c>
      <x:c r="S459" s="63" t="str">
        <x:v>无约束</x:v>
      </x:c>
      <x:c r="T459" s="63" t="str">
        <x:v>无</x:v>
      </x:c>
      <x:c r="U459" s="63" t="str">
        <x:v>无</x:v>
      </x:c>
      <x:c r="V459" s="63" t="str">
        <x:v>直接套用</x:v>
      </x:c>
    </x:row>
    <x:row r="460">
      <x:c r="A460" s="64" t="str">
        <x:v>​3055962604654874624</x:v>
      </x:c>
      <x:c r="B460" s="65" t="str">
        <x:v>中等题</x:v>
      </x:c>
      <x:c r="C460" s="65" t="str">
        <x:v>中等题</x:v>
      </x:c>
      <x:c r="D460" s="65" t="str">
        <x:v>中等题</x:v>
      </x:c>
      <x:c r="E460" s="65" t="str">
        <x:v>保留原GPT裁定</x:v>
      </x:c>
      <x:c r="F460" s="65" t="str">
        <x:v>高</x:v>
      </x:c>
      <x:c r="G460" s="65" t="str">
        <x:v>中等题</x:v>
      </x:c>
      <x:c r="H460" s="65" t="str">
        <x:v>拔高题</x:v>
      </x:c>
      <x:c r="I460" s="65" t="str">
        <x:v>题干、解析与结构证据支持中等题：step=3-5步，题型=概念判断，状态=多状态，约束=单一约束，推理=多层因果推理。教师、盲评和多次模型证据中未形成足以推翻原裁定的同向结构证据。</x:v>
      </x:c>
      <x:c r="J460" s="65" t="str">
        <x:v>未进入三次错题并集；逐题结构一致性复核</x:v>
      </x:c>
      <x:c r="K460" s="63" t="str">
        <x:v>如图甲所示，静止在水平面上的物块，受水平拉力F的作用，F随时间t的变化关系如图乙所示，当拉力略大于滑动摩擦力时，物块才开始滑动。从t=0开始，小强每隔2s记录的物块位置和时刻如图丙所示。下列说法正确的是（ ）</x:v>
      </x:c>
      <x:c r="L460" s="63" t="str">
        <x:v>A. 0-6s内，物块受到的摩擦力等于2N B. 0-6s内，拉力对物体没有做功 C. 6-12s内，物块受到的合力为6N D. 12-18s内，物块处于平衡状态</x:v>
      </x:c>
      <x:c r="M460" s="63" t="str">
        <x:v>解：由图丙知，12s～18s物体在相同时间内通过的路程相等，则物块做匀速直线运动，物块受到的摩擦力为滑动摩擦力，物块受到平衡力的作用，由图乙知，此时的滑动摩擦力f=F=4N；所以，12～18s内，物块受到的摩擦力为4N； 由图乙知，0～6s内，物体受到的拉力F=2N，小于滑动摩擦力，所以，此时物体应处于静止状态，物体所受静摩擦力等于拉力，等于2N； 0-6s内，物体没有在力的方向上移动距离，拉力对物体没有做功； 由图乙知，6～12s内物体受到的拉力为6N，物体受到的摩擦力为滑动摩擦力，滑动摩擦力大小与压力和接触面的粗糙程度有关，由于接触面的粗糙程度与物体间的压力都不变，则滑动摩擦力大小不变，摩擦力仍等于4N，所以6-12s内，物块受到的合力为6N-4N=2N。 故AC错误、BD正确。 故选：BD。</x:v>
      </x:c>
      <x:c r="N460" s="63" t="str">
        <x:v>https://k12static.xdf.cn/k12/image/externalized/81f10297-62ed-4e5a-8cf6-2b13410ba649.png</x:v>
      </x:c>
      <x:c r="O460" s="63" t="str">
        <x:v>https://k12static.xdf.cn/k12/image/externalized/3e24d93e-245c-4e62-9f9d-2d56376e4e6d.png</x:v>
      </x:c>
      <x:c r="P460" s="63" t="str">
        <x:v>3-5步</x:v>
      </x:c>
      <x:c r="Q460" s="63" t="str">
        <x:v>概念判断</x:v>
      </x:c>
      <x:c r="R460" s="63" t="str">
        <x:v>多状态</x:v>
      </x:c>
      <x:c r="S460" s="63" t="str">
        <x:v>单一约束</x:v>
      </x:c>
      <x:c r="T460" s="63" t="str">
        <x:v>无</x:v>
      </x:c>
      <x:c r="U460" s="63" t="str">
        <x:v>多组比较归纳</x:v>
      </x:c>
      <x:c r="V460" s="63" t="str">
        <x:v>多层因果推理</x:v>
      </x:c>
    </x:row>
    <x:row r="461">
      <x:c r="A461" s="64" t="str">
        <x:v>​3056554590499819520</x:v>
      </x:c>
      <x:c r="B461" s="65" t="str">
        <x:v>基础题</x:v>
      </x:c>
      <x:c r="C461" s="65" t="str">
        <x:v>基础题</x:v>
      </x:c>
      <x:c r="D461" s="65" t="str">
        <x:v>基础题</x:v>
      </x:c>
      <x:c r="E461" s="65" t="str">
        <x:v>保留原GPT裁定</x:v>
      </x:c>
      <x:c r="F461" s="65" t="str">
        <x:v>高</x:v>
      </x:c>
      <x:c r="G461" s="65" t="str">
        <x:v>中等题</x:v>
      </x:c>
      <x:c r="H461" s="65" t="str">
        <x:v>基础题</x:v>
      </x:c>
      <x:c r="I461" s="65" t="str">
        <x:v>题干、解析与结构证据支持基础题：step=1-2步，题型=概念判断，状态=单状态，约束=无约束，推理=简单因果推理。教师、盲评和多次模型证据中未形成足以推翻原裁定的同向结构证据。</x:v>
      </x:c>
      <x:c r="J461" s="65" t="str">
        <x:v>未进入三次错题并集；逐题结构一致性复核</x:v>
      </x:c>
      <x:c r="K461" s="63" t="str">
        <x:v>2025年春节，我市遭遇特大暴雪，为保障市民安全出行，环卫工人正在清理道路上的冰雪，如图所示。下列说法错误的是（ ）</x:v>
      </x:c>
      <x:c r="L461" s="63" t="str">
        <x:v>A. 铲雪时铁锹是一个省力杠杆 B. 积雪被踩平说明力可以改变物体的形状 C. 除雪车的防滑链是通过增大接触面的粗糙程度来增大摩擦 D. 铲雪时手握在铁锹的不同位置时力的作用效果是不同的</x:v>
      </x:c>
      <x:c r="M461" s="63" t="str">
        <x:v>解：A、铁锹在使用过程中，动力臂小于阻力臂，属于费力杠杆，故A错误； B、积雪被踩平，积雪的形状发生变化，说明力可以改变物体的形状，故B正确； C、除雪车的防滑链是在压力一定时，通过增大接触面的粗糙程度来增大摩擦，故C正确； D、铲雪时手握在铁锹的不同位置时力的作用点不同，力的作用效果是不同的，故D正确。 故选：A。</x:v>
      </x:c>
      <x:c r="N461" s="63" t="str">
        <x:v>https://k12static.xdf.cn/k12/image/externalized/09ce21a7-a3b4-49a4-9eb2-d9aa9111ade9.png</x:v>
      </x:c>
      <x:c r="O461" s="63" t="str">
        <x:v>https://k12static.xdf.cn/k12/image/externalized/8d2a5034-3799-449f-ab83-2daee9cdc0ee.png</x:v>
      </x:c>
      <x:c r="P461" s="63" t="str">
        <x:v>1-2步</x:v>
      </x:c>
      <x:c r="Q461" s="63" t="str">
        <x:v>概念判断</x:v>
      </x:c>
      <x:c r="R461" s="63" t="str">
        <x:v>单状态</x:v>
      </x:c>
      <x:c r="S461" s="63" t="str">
        <x:v>无约束</x:v>
      </x:c>
      <x:c r="T461" s="63" t="str">
        <x:v>无</x:v>
      </x:c>
      <x:c r="U461" s="63" t="str">
        <x:v>无</x:v>
      </x:c>
      <x:c r="V461" s="63" t="str">
        <x:v>简单因果推理</x:v>
      </x:c>
    </x:row>
    <x:row r="462">
      <x:c r="A462" s="64" t="str">
        <x:v>​3057491283792941056</x:v>
      </x:c>
      <x:c r="B462" s="65" t="str">
        <x:v>拔高题</x:v>
      </x:c>
      <x:c r="C462" s="65" t="str">
        <x:v>拔高题</x:v>
      </x:c>
      <x:c r="D462" s="65" t="str">
        <x:v>拔高题</x:v>
      </x:c>
      <x:c r="E462" s="65" t="str">
        <x:v>保留原GPT裁定</x:v>
      </x:c>
      <x:c r="F462" s="65" t="str">
        <x:v>高</x:v>
      </x:c>
      <x:c r="G462" s="65" t="str">
        <x:v>拔高题</x:v>
      </x:c>
      <x:c r="H462" s="65" t="str">
        <x:v>压轴题</x:v>
      </x:c>
      <x:c r="I462" s="65" t="str">
        <x:v>题干、解析与结构证据支持拔高题：step=3-5步，题型=力学综合，状态=单状态，约束=单一约束，推理=多层因果推理。教师、盲评和多次模型证据中未形成足以推翻原裁定的同向结构证据。</x:v>
      </x:c>
      <x:c r="J462" s="65" t="str">
        <x:v>未进入三次错题并集；逐题结构一致性复核</x:v>
      </x:c>
      <x:c r="K462" s="63" t="str">
        <x:v>小聪同学用如图所示的滑轮组提升重物A，他通过细绳b用F1的拉力将重物A匀速提升1.8m,所用时间为10s,此过程中固定在地面的细绳a的拉力F2恒为110N。不计绳重和机械之间的摩擦，每个滑轮的重力均为10N。下列说法中正确的是（ ）</x:v>
      </x:c>
      <x:c r="L462" s="63" t="str">
        <x:v>A. 物体A的重力为220N B. 细绳b的拉力F1为340N C. 拉力F1做功的功率为40.8W D. 该滑轮组在使用过程中的机械效率为78%</x:v>
      </x:c>
      <x:c r="M462" s="63" t="str">
        <x:v>解： A、由题知，与地面固定的细绳a的拉力F2=110N，每个滑轮的重力均为10N，由图知，承担下面动滑轮绳子的股数n=2， 不计绳重和机械之间的摩擦，拉力F2=$\frac{1}{2}$（GA+G动）， 所以物体A的重力为：GA=2F2-G动=2×110N-10N=210N，故A错误； B、以中间的动滑轮为研究对象，根据力的平衡条件可知，细绳b的拉力等于下面3股绳子的拉力加上中间滑轮的重力， 则拉力F1的大小为：F1=3F2+G轮=3×110N+10N=340N，故B正确； C、重物A匀速提升的高度hA=1.8m,由动滑轮的特点可知绳子a移动的距离：sa=2hA， 由图可知，中间的滑轮受到3股绳子向下的拉力，而细绳b的拉力F1作用在该滑轮的挂钩上，此时费力但省距离， 因此绳子b移动的距离：s=$\frac{1}{3}$sa=$\frac{2}{3}$hA=$\frac{2}{3}$×1.8m=1.2m, 拉力F1做的总功：W总=F1s=340N×1.2m=408J， 拉力F1做功的功率：P=$\frac{{W}_{总}}{t}$=$\frac{408J}{10s}$=40.8W，故C正确； D、使用滑轮组时，所做的有用功：W有=GAhA=210N×1.8m=378J， 该滑轮组在使用过程中的机械效率为：η=$\frac{{W}_{有}}{{W}_{总}}$×100%=$\frac{378J}{408J}$×100%≈92.6%，故D错误。 故选：BC。</x:v>
      </x:c>
      <x:c r="N462" s="63" t="str">
        <x:v>https://k12static.xdf.cn/k12/image/externalized/72c5d6db-c558-4494-b801-63995a806f04.png</x:v>
      </x:c>
      <x:c r="O462" s="63" t="str">
        <x:v>https://k12static.xdf.cn/k12/image/externalized/3aa3ecef-2775-4058-b512-295e8e75a6fa.png</x:v>
      </x:c>
      <x:c r="P462" s="63" t="str">
        <x:v>3-5步</x:v>
      </x:c>
      <x:c r="Q462" s="63" t="str">
        <x:v>力学综合</x:v>
      </x:c>
      <x:c r="R462" s="63" t="str">
        <x:v>单状态</x:v>
      </x:c>
      <x:c r="S462" s="63" t="str">
        <x:v>单一约束</x:v>
      </x:c>
      <x:c r="T462" s="63" t="str">
        <x:v>无</x:v>
      </x:c>
      <x:c r="U462" s="63" t="str">
        <x:v>无</x:v>
      </x:c>
      <x:c r="V462" s="63" t="str">
        <x:v>多层因果推理</x:v>
      </x:c>
    </x:row>
    <x:row r="463">
      <x:c r="A463" s="64" t="str">
        <x:v>​3057876787693936640</x:v>
      </x:c>
      <x:c r="B463" s="65" t="str">
        <x:v>中等题</x:v>
      </x:c>
      <x:c r="C463" s="65" t="str">
        <x:v>中等题</x:v>
      </x:c>
      <x:c r="D463" s="65" t="str">
        <x:v>中等题</x:v>
      </x:c>
      <x:c r="E463" s="65" t="str">
        <x:v>保留原GPT裁定</x:v>
      </x:c>
      <x:c r="F463" s="65" t="str">
        <x:v>高</x:v>
      </x:c>
      <x:c r="G463" s="65" t="str">
        <x:v>中等题</x:v>
      </x:c>
      <x:c r="H463" s="65" t="str">
        <x:v>中等题</x:v>
      </x:c>
      <x:c r="I463" s="65" t="str">
        <x:v>题干、解析与结构证据支持中等题：step=3-5步，题型=概念判断，状态=双状态，约束=单一约束，推理=多层因果推理。教师、盲评和多次模型证据中未形成足以推翻原裁定的同向结构证据。</x:v>
      </x:c>
      <x:c r="J463" s="65" t="str">
        <x:v>未进入三次错题并集；逐题结构一致性复核</x:v>
      </x:c>
      <x:c r="K463" s="63" t="str">
        <x:v>将一根细金属丝置入柔性塑料中，可以制成用来检测物体形变的器件应变片，其结构如图所示。电源电压不变；R为定值电阻。闭合开关S，当应变片随被检测物体发生拉伸形变时，塑料中的金属丝会被拉长变细，导致电阻变大，则下列说法不正确的是（ ）</x:v>
      </x:c>
      <x:c r="L463" s="63" t="str">
        <x:v>A. 电流表示数变大 B. 电压表示数变大 C. 物体无形变时，电压表示数为0 D. 增大电源电压可以使电表示数在相同形变情况下变化更明显</x:v>
      </x:c>
      <x:c r="M463" s="63" t="str">
        <x:v>AB．由图可知，电路为串联电路，电压表测量应变片两端的电压，电流表测量电路中的电流；闭合开关S，当应变片随被检测物体发生拉伸形变时，塑料中的金属丝会被拉长变细，导致电阻变大，电路的总电阻变大，根据欧姆定律可知电路中电流变小，电流表示数变小；应变片的电阻变大，根据串联电路的分压规律可知，应变片分担的电压变大，电压表示数变大，故A错误，符合题意，B正确，不符合题意；C．物体无形变时，塑料中的金属丝也有电阻，电路中有电流通过，由U=IR可知金属丝两端有电压，电压表的示数不为零，故C错误，符合题意；D．根据串联分压可知，两个电阻分得的电压之比等于电阻之比，由于相同形变情况下阻值之比不变，则电压变化情况不变，因此增大电源电压不可以使电表示数在相同形变情况下变化更明显，故D错误，符合题意。故选ACD。</x:v>
      </x:c>
      <x:c r="N463" s="63" t="str">
        <x:v>https://k12static.xdf.cn/k12/image/externalized/093c201e-97f4-496e-bfef-787e78f7f81f.png</x:v>
      </x:c>
      <x:c r="O463" s="63" t="str">
        <x:v>https://k12static.xdf.cn/k12/image/externalized/dd1482bb-f751-4b44-b16e-183fa9820fc6.png</x:v>
      </x:c>
      <x:c r="P463" s="63" t="str">
        <x:v>3-5步</x:v>
      </x:c>
      <x:c r="Q463" s="63" t="str">
        <x:v>概念判断</x:v>
      </x:c>
      <x:c r="R463" s="63" t="str">
        <x:v>双状态</x:v>
      </x:c>
      <x:c r="S463" s="63" t="str">
        <x:v>单一约束</x:v>
      </x:c>
      <x:c r="T463" s="63" t="str">
        <x:v>无</x:v>
      </x:c>
      <x:c r="U463" s="63" t="str">
        <x:v>无</x:v>
      </x:c>
      <x:c r="V463" s="63" t="str">
        <x:v>多层因果推理</x:v>
      </x:c>
    </x:row>
    <x:row r="464">
      <x:c r="A464" s="64" t="str">
        <x:v>​3058760282414022656</x:v>
      </x:c>
      <x:c r="B464" s="65" t="str">
        <x:v>基础题</x:v>
      </x:c>
      <x:c r="C464" s="65" t="str">
        <x:v>基础题</x:v>
      </x:c>
      <x:c r="D464" s="65" t="str">
        <x:v>基础题</x:v>
      </x:c>
      <x:c r="E464" s="65" t="str">
        <x:v>保留原GPT裁定</x:v>
      </x:c>
      <x:c r="F464" s="65" t="str">
        <x:v>高</x:v>
      </x:c>
      <x:c r="G464" s="65" t="str">
        <x:v>基础题</x:v>
      </x:c>
      <x:c r="H464" s="65" t="str">
        <x:v>送分题</x:v>
      </x:c>
      <x:c r="I464" s="65" t="str">
        <x:v>题干、解析与结构证据支持基础题：step=1-2步，题型=光学声学综合，状态=单状态，约束=无约束，推理=简单因果推理。教师、盲评和多次模型证据中未形成足以推翻原裁定的同向结构证据。</x:v>
      </x:c>
      <x:c r="J464" s="65" t="str">
        <x:v>未进入三次错题并集；逐题结构一致性复核</x:v>
      </x:c>
      <x:c r="K464" s="63" t="str">
        <x:v>请按要求作图：如图，AB为车内的抬头显示器的画面内容，请作出其通过挡风玻璃形成的像。</x:v>
      </x:c>
      <x:c r="L464" s="63" t="str"/>
      <x:c r="M464" s="63" t="str">
        <x:v>平面镜成像时，像和物体关于镜面对称，汽车的挡风玻璃相当于平面镜，做出A、B两点关于镜面的对称点$A'$、$B'$，连接$A'B'$即为A、B通过挡风玻璃成的像，如图所示：</x:v>
      </x:c>
      <x:c r="N464" s="63" t="str">
        <x:v>https://k12static.xdf.cn/k12/image/externalized/e38e579d-e649-4ebc-8d21-753f8661f8f1.png</x:v>
      </x:c>
      <x:c r="O464" s="63" t="str">
        <x:v>https://k12static.xdf.cn/k12/image/externalized/dc271484-47ac-4ead-8192-d5f71f3c845b.png</x:v>
      </x:c>
      <x:c r="P464" s="63" t="str">
        <x:v>1-2步</x:v>
      </x:c>
      <x:c r="Q464" s="63" t="str">
        <x:v>光学声学综合</x:v>
      </x:c>
      <x:c r="R464" s="63" t="str">
        <x:v>单状态</x:v>
      </x:c>
      <x:c r="S464" s="63" t="str">
        <x:v>无约束</x:v>
      </x:c>
      <x:c r="T464" s="63" t="str">
        <x:v>无</x:v>
      </x:c>
      <x:c r="U464" s="63" t="str">
        <x:v>无</x:v>
      </x:c>
      <x:c r="V464" s="63" t="str">
        <x:v>简单因果推理</x:v>
      </x:c>
    </x:row>
    <x:row r="465">
      <x:c r="A465" s="64" t="str">
        <x:v>​3060540734834790400</x:v>
      </x:c>
      <x:c r="B465" s="65" t="str">
        <x:v>中等题</x:v>
      </x:c>
      <x:c r="C465" s="65" t="str">
        <x:v>中等题</x:v>
      </x:c>
      <x:c r="D465" s="65" t="str">
        <x:v>中等题</x:v>
      </x:c>
      <x:c r="E465" s="65" t="str">
        <x:v>逐题复核后保留GPT裁定</x:v>
      </x:c>
      <x:c r="F465" s="65" t="str">
        <x:v>高</x:v>
      </x:c>
      <x:c r="G465" s="65" t="str">
        <x:v>基础题</x:v>
      </x:c>
      <x:c r="H465" s="65" t="str">
        <x:v>中等题</x:v>
      </x:c>
      <x:c r="I465" s="65" t="str">
        <x:v>需要围绕实验方案、误差/评价或改进任务完成常规的3—4个有效决策，或完成一套完整标准实验/共享过程分析。关系仍显性、方法常规，没有决定性隐含转换、复杂边界筛选或多状态强耦合。</x:v>
      </x:c>
      <x:c r="J465" s="65" t="str">
        <x:v>三次运行错题并集逐题复核</x:v>
      </x:c>
      <x:c r="K465" s="63" t="str">
        <x:v>第一次测定声音在水中的传播速度是1827年在日内瓦湖上进行的。如图所示，两只船相距14km，在一只船上的实验员向水里放一口钟，当他敲响钟的时候，船上的火药同时发光，在另一只船上的实验员向水里放一个听音器，他看到火药发光，10s后听到水下的钟声，请你计算。物质名称传播速度υ/（m·s-1）空气340水1500钢铁5200(1)声音在水中的传播速度是多少？ (2)下表是常温下声音在常见物质里的传播速度，对照表格说明计算结果和表中数据不同的原因不可能是 。A．计时误差B．声速与温度有关C．计算不准</x:v>
      </x:c>
      <x:c r="L465" s="63" t="str"/>
      <x:c r="M465" s="63" t="str">
        <x:v>(1)由$v=\dfrac{s}{t}$知道，声音在水中的传播速度$v=\dfrac{s}{t}\text{=}\dfrac{\text{14000m}}{\text{10s}}\text{=1400m/s}$(2)测量时间误差不可避免，声速的大小与介质种类，介质温度有关，故计算结果和表中数据不同的原因不可能是计算不准。故C正确。</x:v>
      </x:c>
      <x:c r="N465" s="63" t="str">
        <x:v>https://k12static.xdf.cn/k12/image/externalized/21e2ef74-b620-4a84-80fc-17794bda6041.png</x:v>
      </x:c>
      <x:c r="O465" s="63" t="str">
        <x:v>https://k12static.xdf.cn/k12/image/externalized/f5bf6a41-fc74-4b51-b9a1-8439d0c155a3.png</x:v>
      </x:c>
      <x:c r="P465" s="63" t="str">
        <x:v>1-2步</x:v>
      </x:c>
      <x:c r="Q465" s="63" t="str">
        <x:v>跨模块综合</x:v>
      </x:c>
      <x:c r="R465" s="63" t="str">
        <x:v>单状态</x:v>
      </x:c>
      <x:c r="S465" s="63" t="str">
        <x:v>无约束</x:v>
      </x:c>
      <x:c r="T465" s="63" t="str">
        <x:v>无</x:v>
      </x:c>
      <x:c r="U465" s="63" t="str">
        <x:v>无</x:v>
      </x:c>
      <x:c r="V465" s="63" t="str">
        <x:v>简单因果推理</x:v>
      </x:c>
    </x:row>
    <x:row r="466">
      <x:c r="A466" s="64" t="str">
        <x:v>​3063138881023565824</x:v>
      </x:c>
      <x:c r="B466" s="65" t="str">
        <x:v>拔高题</x:v>
      </x:c>
      <x:c r="C466" s="65" t="str">
        <x:v>拔高题</x:v>
      </x:c>
      <x:c r="D466" s="65" t="str">
        <x:v>拔高题</x:v>
      </x:c>
      <x:c r="E466" s="65" t="str">
        <x:v>逐题复核后保留GPT裁定</x:v>
      </x:c>
      <x:c r="F466" s="65" t="str">
        <x:v>高</x:v>
      </x:c>
      <x:c r="G466" s="65" t="str">
        <x:v>拔高题</x:v>
      </x:c>
      <x:c r="H466" s="65" t="str">
        <x:v>拔高题</x:v>
      </x:c>
      <x:c r="I466" s="65" t="str">
        <x:v>存在决定性反推/等效/误差/几何转换，或同一装置中的5—6步高密度综合链。 题目证据：自动调整：gpt56_medium_to_hard_dense_force_chain；证据：力学综合；多公式联立；完整任务负担超过常规4步链。最高难选项实际有效物理决策约3步。五维中知识量2-3个关联知识点，过程为匀速上升单状态，数学工具为多公式常规计算，情境为常见生活变式，思维层次为常规应用分析，落在中等档。需要从F-t和v-t图像读取匀速阶段的拉力和速度，计算水泥上升高度，区分有用功、总功、不同类型额外功并逐项计算验证，无决定性隐含转换或全链耦合。</x:v>
      </x:c>
      <x:c r="J466" s="65" t="str">
        <x:v>三次运行错题并集逐题复核</x:v>
      </x:c>
      <x:c r="K466" s="63" t="str">
        <x:v>建筑工地上，建筑工人利用小型的升降机来搬运水泥，如图所示。某次搬运过程中，工人用升降机在6s的时间内，将3袋水泥从地面吊上四楼，每袋水泥的质量为30kg。电动机牵引绳子的拉力F-t及水泥运动的v-t图分别如图乙和丙所示，每个滑轮所受的重力均为30N。g取10N/kg,每层楼层高为3m,下面说法正确的是（ ）</x:v>
      </x:c>
      <x:c r="L466" s="63" t="str">
        <x:v>A. 水泥匀速上升时，拉力F做功的功率为2040W B. 水泥匀速上升过程，滑轮组对水泥做功为8100J C. 滑轮组匀速拉动水泥时的机械效率约为88.2% D. 滑轮组匀速拉动水泥过程克服绳重和摩擦做的额外功为720J</x:v>
      </x:c>
      <x:c r="M466" s="63" t="str">
        <x:v>解：A、由图甲可知，n=3，水泥匀速上升时，由图丙可知，水泥上升的速度为2m/s；由图乙可知，此时的拉力F为430N，则拉力F做功的功率为： P=$\frac{W}{t}$=$\frac{Fs}{t}$=Fv'=Fnv=340N×3×2m/s=2040W，故A正确； B、由图丙可知，水泥匀速上升的时间为t=5s-2s=3s,水泥匀速上升的高度为： h=vt=2m/s×3s=6m,则水泥匀速上升过程，滑轮组对水泥做的功为： W有=3Gh=3mgh=3×30kg×10N/kg×6m=5400J，故B错误； C、滑轮组匀速拉动水泥时拉力做的总功为： W总=Fs=Fnh=340N×3×6m=6120J， 滑轮组匀速拉动水泥时的机械效率为： η=$\frac{W_有}{W_总}$=$\frac{5400J}{6120J}$×100%≈88.2%，故C正确； D、滑轮组匀速拉动水泥过程中克服动滑轮重做的功为： W动=G动h=30N×6m=180J， 滑轮组匀速拉动水泥过程克服绳重和摩擦做的额外功为： W绳+摩=W总-W有-W动=6120J-5400J-180J=540J，故D错误。 故选：AC。</x:v>
      </x:c>
      <x:c r="N466" s="63" t="str">
        <x:v>https://k12static.xdf.cn/k12/image/externalized/413ace45-2cbc-4f4f-afdc-73fa6d75148d.png</x:v>
      </x:c>
      <x:c r="O466" s="63" t="str">
        <x:v>https://k12static.xdf.cn/k12/image/externalized/2a10b74c-8a52-4a3e-94bd-03368fcf6cc1.png</x:v>
      </x:c>
      <x:c r="P466" s="63" t="str">
        <x:v>3-5步</x:v>
      </x:c>
      <x:c r="Q466" s="63" t="str">
        <x:v>力学综合</x:v>
      </x:c>
      <x:c r="R466" s="63" t="str">
        <x:v>单状态</x:v>
      </x:c>
      <x:c r="S466" s="63" t="str">
        <x:v>单一约束</x:v>
      </x:c>
      <x:c r="T466" s="63" t="str">
        <x:v>无</x:v>
      </x:c>
      <x:c r="U466" s="63" t="str">
        <x:v>直接读数</x:v>
      </x:c>
      <x:c r="V466" s="63" t="str">
        <x:v>多层因果推理</x:v>
      </x:c>
    </x:row>
    <x:row r="467">
      <x:c r="A467" s="64" t="str">
        <x:v>​3064575467478654976</x:v>
      </x:c>
      <x:c r="B467" s="65" t="str">
        <x:v>送分题</x:v>
      </x:c>
      <x:c r="C467" s="65" t="str">
        <x:v>送分题</x:v>
      </x:c>
      <x:c r="D467" s="65" t="str">
        <x:v>送分题</x:v>
      </x:c>
      <x:c r="E467" s="65" t="str">
        <x:v>逐题复核后保留GPT裁定</x:v>
      </x:c>
      <x:c r="F467" s="65" t="str">
        <x:v>中</x:v>
      </x:c>
      <x:c r="G467" s="65" t="str">
        <x:v>送分题</x:v>
      </x:c>
      <x:c r="H467" s="65" t="str">
        <x:v>基础题</x:v>
      </x:c>
      <x:c r="I467" s="65" t="str">
        <x:v>只需识别一个熟悉教材模板，没有第二次物理决策。 题目证据：最长连续链有效推理不超过1步，五维锚定知识量为单一摩擦分类概念，过程/对象为每个选项单状态判断，无数学运算，情境为常见生活场景，思维层次为直接识别。所有选项均围绕滑动摩擦的定义，对不同生活情境直接分类判断，每个选项独立调用同一定义规则，构成直接检索束。</x:v>
      </x:c>
      <x:c r="J467" s="65" t="str">
        <x:v>三次运行错题并集逐题复核</x:v>
      </x:c>
      <x:c r="K467" s="63" t="str">
        <x:v>下列属于滑动摩擦的是$(\qquad)$</x:v>
      </x:c>
      <x:c r="L467" s="63" t="str">
        <x:v>A. 行进中的自行车的车轮与地面间的摩擦 B. 静止在斜面上的物体与斜面间的摩擦 C. 擦黑板时，黑板擦受到的摩擦 D. 在地上滚动的圆木棒受到的摩擦 E. 用圆珠笔写字，笔尖的圆珠与纸之间的摩擦 F. 爬杆时，人手掌与杆间的摩擦 G. 小孩滑梯时，身体与滑梯间的摩擦</x:v>
      </x:c>
      <x:c r="M467" s="63" t="str">
        <x:v>解：滑动摩擦的定义：两个物体接触面发生相对滑动时产生的摩擦。 C选项：擦黑板时，黑板擦与黑板表面发生相对滑动，属于滑动摩擦。 G选项：小孩滑梯时，身体沿滑梯表面滑动，属于滑动摩擦。 其他选项分析： A：行进中的自行车车轮滚动，属于滚动摩擦。 B：静止物体与斜面间无相对滑动，属于静摩擦。 D：圆木棒滚动，属于滚动摩擦。 E：圆珠笔尖的圆珠滚动，属于滚动摩擦。 F：爬杆时，手掌与杆间无滑动，属于静摩擦。 综上，正确答案为CG。</x:v>
      </x:c>
      <x:c r="N467" s="63" t="str">
        <x:v>https://k12static.xdf.cn/k12/image/externalized/ee1dd31f-f231-4bec-9eed-9fe73b2a87ad.png</x:v>
      </x:c>
      <x:c r="O467" s="63" t="str">
        <x:v>https://k12static.xdf.cn/k12/image/externalized/e34685d6-4660-4c0d-93fd-692ad63f4239.png</x:v>
      </x:c>
      <x:c r="P467" s="63" t="str">
        <x:v>1-2步</x:v>
      </x:c>
      <x:c r="Q467" s="63" t="str">
        <x:v>概念判断</x:v>
      </x:c>
      <x:c r="R467" s="63" t="str">
        <x:v>单状态</x:v>
      </x:c>
      <x:c r="S467" s="63" t="str">
        <x:v>无约束</x:v>
      </x:c>
      <x:c r="T467" s="63" t="str">
        <x:v>无</x:v>
      </x:c>
      <x:c r="U467" s="63" t="str">
        <x:v>无</x:v>
      </x:c>
      <x:c r="V467" s="63" t="str">
        <x:v>直接套用</x:v>
      </x:c>
    </x:row>
    <x:row r="468">
      <x:c r="A468" s="64" t="str">
        <x:v>​3064610955363155968</x:v>
      </x:c>
      <x:c r="B468" s="65" t="str">
        <x:v>基础题</x:v>
      </x:c>
      <x:c r="C468" s="65" t="str">
        <x:v>基础题</x:v>
      </x:c>
      <x:c r="D468" s="65" t="str">
        <x:v>基础题</x:v>
      </x:c>
      <x:c r="E468" s="65" t="str">
        <x:v>保留原GPT裁定</x:v>
      </x:c>
      <x:c r="F468" s="65" t="str">
        <x:v>中</x:v>
      </x:c>
      <x:c r="G468" s="65" t="str">
        <x:v>基础题</x:v>
      </x:c>
      <x:c r="H468" s="65" t="str">
        <x:v>中等题</x:v>
      </x:c>
      <x:c r="I468" s="65" t="str">
        <x:v>题干、解析与结构证据支持基础题：step=1-2步，题型=概念判断，状态=单状态，约束=无约束，推理=简单因果推理。教师、盲评和多次模型证据中未形成足以推翻原裁定的同向结构证据。</x:v>
      </x:c>
      <x:c r="J468" s="65" t="str">
        <x:v>未进入三次错题并集；逐题结构一致性复核</x:v>
      </x:c>
      <x:c r="K468" s="63" t="str">
        <x:v>体育馆内，同学们正在进行各种体育运动。小明对一些同学的运动情况作了估测，其中正确的是（ ）</x:v>
      </x:c>
      <x:c r="L468" s="63" t="str">
        <x:v>A. 小海将下落的排球垫起时排球对手臂的压力约为1N B. 小明在一分钟跳绳测试时的功率约为50W C. 小强每做一次引体向上克服重力做功1000J D. 双脚并立站在体操垫上的小红对垫子的压强约为1.5×104Pa</x:v>
      </x:c>
      <x:c r="M468" s="63" t="str">
        <x:v>解：A、排球的质量约为0.3kg,其重力G=mg=0.3kg×10N/kg=3N，小海将下落的排球垫起时对排球的作用力大于3N，故A错误； B、中学生的重力约为500N，跳绳高度大约5cm=0.05m,跳一次做的功约为：W=Gh=500N×0.05m=25J， 1min内大约跳120次，跳一次0.5s,跳绳功率约为P=$\frac{W}{t}$=$\frac{25J}{0.5s}$=50W，故B符合实际； C、小强的重力约为500N，每做一次引体向上克服重力做功约为：W=Gh=500N×0.4m=200J，故C错误； D、双脚并立站在体操垫上的小红对垫子的压力F=G=600N，受力面积约为400cm2，压强p=$\frac{F}{S}$=$\frac{600N}{400×1{0}^{-4}{m}^{2}}$=1.5×104Pa,故D正确。 故选：BD。</x:v>
      </x:c>
      <x:c r="N468" s="63" t="str">
        <x:v>https://k12static.xdf.cn/k12/image/externalized/552937aa-ce13-45b8-acf5-5211c2034feb.png</x:v>
      </x:c>
      <x:c r="O468" s="63" t="str">
        <x:v>https://k12static.xdf.cn/k12/image/externalized/85f90931-b2e5-40a2-83de-6b0b71133d5e.png</x:v>
      </x:c>
      <x:c r="P468" s="63" t="str">
        <x:v>1-2步</x:v>
      </x:c>
      <x:c r="Q468" s="63" t="str">
        <x:v>概念判断</x:v>
      </x:c>
      <x:c r="R468" s="63" t="str">
        <x:v>单状态</x:v>
      </x:c>
      <x:c r="S468" s="63" t="str">
        <x:v>无约束</x:v>
      </x:c>
      <x:c r="T468" s="63" t="str">
        <x:v>无</x:v>
      </x:c>
      <x:c r="U468" s="63" t="str">
        <x:v>无</x:v>
      </x:c>
      <x:c r="V468" s="63" t="str">
        <x:v>简单因果推理</x:v>
      </x:c>
    </x:row>
    <x:row r="469">
      <x:c r="A469" s="64" t="str">
        <x:v>​3065782535253766144</x:v>
      </x:c>
      <x:c r="B469" s="65" t="str">
        <x:v>拔高题</x:v>
      </x:c>
      <x:c r="C469" s="65" t="str">
        <x:v>拔高题</x:v>
      </x:c>
      <x:c r="D469" s="65" t="str">
        <x:v>拔高题</x:v>
      </x:c>
      <x:c r="E469" s="65" t="str">
        <x:v>逐题复核后保留GPT裁定</x:v>
      </x:c>
      <x:c r="F469" s="65" t="str">
        <x:v>高</x:v>
      </x:c>
      <x:c r="G469" s="65" t="str">
        <x:v>拔高题</x:v>
      </x:c>
      <x:c r="H469" s="65" t="str">
        <x:v>拔高题</x:v>
      </x:c>
      <x:c r="I469" s="65" t="str">
        <x:v>最高难任务在电路状态、图线/参数与安全约束中包含图线反推、状态转换、误差评价、几何/等效转换、方程联立或参数反求等决定性卡点，整体约5—6个有效决策；尚未形成压轴所需的完整复杂约束网络。</x:v>
      </x:c>
      <x:c r="J469" s="65" t="str">
        <x:v>三次运行错题并集逐题复核</x:v>
      </x:c>
      <x:c r="K469" s="63" t="str">
        <x:v>如图所示电路，电源电压恒为6伏，L1标有“6V 7.2W”，L2标有“6V 3.6W”，忽略温度对灯丝电阻的影响，下列说法正确的是（ ）</x:v>
      </x:c>
      <x:c r="L469" s="63" t="str">
        <x:v>A. 仅闭合S1、S3，L1不亮，L2亮 B. 仅闭合S2、S3，电流表读数为0.6安 C. 仅闭合S1、S2，电路总电阻为15欧 D. 仅闭合S3，电路消耗的总功率为10.8瓦</x:v>
      </x:c>
      <x:c r="M469" s="63" t="str">
        <x:v>解：（1）仅闭合S1、S3时，灯泡L2被短路，电路为L1的简单电路，所以只有灯泡L1亮，L2不亮，故A不正确； （2）仅闭合S2、S3时，电路为L2的简单电路，电流表测电路中的电流， 因L2两端的电压和额定电压相等， 所以，由P=UI可得，电流表的示数： I2=$\frac{{P}_{2}}{{U}_{2}}$=$\frac{3.6W}{6V}$=0.6A，故B正确； （3）仅闭合S1、S2时，两灯泡并联， 由P=$\frac{{U}^{2}}{R}$可得，两灯泡的电阻： R1=$\frac{{{U}_{1}}^{2}}{{P}_{1}}$=$\frac{(6V)^{2}}{7.2W}$=5Ω，R2=$\frac{{{U}_{2}}^{2}}{{P}_{2}}$=$\frac{{(6V)}^{2}}{3.6W}$=10Ω， 因并联电路中总电阻的倒数等于各分电阻倒数之和， 所以，电路中的总电阻： R=$\frac{{R}_{1}{R}_{2}}{{R}_{1}+{R}_{2}}$=$\frac{5Ω×10Ω}{5Ω+10Ω}$=$\frac{10}{3}$Ω，故C不正确； （4）仅闭合S3时，两灯泡串联， 因串联电路中总电阻等于各分电阻之和， 所以，电路消耗的总功率： P=$\frac{{U}^{2}}{{R}_{1}+{R}_{2}}$=$\frac{(6V)^{2}}{5Ω+10Ω}$=2.4W，故D不正确。 故选：B。</x:v>
      </x:c>
      <x:c r="N469" s="63" t="str">
        <x:v>https://k12static.xdf.cn/k12/image/externalized/42d2c1ed-1374-47f3-8dc3-e1ddd6918767.png</x:v>
      </x:c>
      <x:c r="O469" s="63" t="str">
        <x:v>https://k12static.xdf.cn/k12/image/externalized/e3e6e85b-7e1a-4b78-b22e-9e79c9979df4.png</x:v>
      </x:c>
      <x:c r="P469" s="63" t="str">
        <x:v>3-5步</x:v>
      </x:c>
      <x:c r="Q469" s="63" t="str">
        <x:v>电路综合</x:v>
      </x:c>
      <x:c r="R469" s="63" t="str">
        <x:v>多状态</x:v>
      </x:c>
      <x:c r="S469" s="63" t="str">
        <x:v>单一约束</x:v>
      </x:c>
      <x:c r="T469" s="63" t="str">
        <x:v>无</x:v>
      </x:c>
      <x:c r="U469" s="63" t="str">
        <x:v>无</x:v>
      </x:c>
      <x:c r="V469" s="63" t="str">
        <x:v>多层因果推理</x:v>
      </x:c>
    </x:row>
    <x:row r="470">
      <x:c r="A470" s="64" t="str">
        <x:v>​3065971281180602368</x:v>
      </x:c>
      <x:c r="B470" s="65" t="str">
        <x:v>基础题</x:v>
      </x:c>
      <x:c r="C470" s="65" t="str">
        <x:v>基础题</x:v>
      </x:c>
      <x:c r="D470" s="65" t="str">
        <x:v>基础题</x:v>
      </x:c>
      <x:c r="E470" s="65" t="str">
        <x:v>保留原GPT裁定</x:v>
      </x:c>
      <x:c r="F470" s="65" t="str">
        <x:v>中</x:v>
      </x:c>
      <x:c r="G470" s="65" t="str">
        <x:v>送分题</x:v>
      </x:c>
      <x:c r="H470" s="65" t="str">
        <x:v>基础题</x:v>
      </x:c>
      <x:c r="I470" s="65" t="str">
        <x:v>题干、解析与结构证据支持基础题：step=1-2步，题型=概念判断，状态=单状态，约束=无约束，推理=简单因果推理。教师、盲评和多次模型证据中未形成足以推翻原裁定的同向结构证据。</x:v>
      </x:c>
      <x:c r="J470" s="65" t="str">
        <x:v>未进入三次错题并集；逐题结构一致性复核</x:v>
      </x:c>
      <x:c r="K470" s="63" t="str">
        <x:v>用某种织物与气球摩擦，再让气球靠近碎纸屑，如图所示，发现碎纸屑被吸引起来，又有少量纸屑被弹开。这一现象无法说明的是（ ）</x:v>
      </x:c>
      <x:c r="L470" s="63" t="str">
        <x:v>A. 摩擦能使物体带电 B. 带电体能吸引轻小物体 C. 带同种电荷的物体靠近，将相互排斥 D. 相互摩擦的物体带有同种电荷</x:v>
      </x:c>
      <x:c r="M470" s="63" t="str">
        <x:v>解：ABC、用某种织物与气球摩擦，再让气球靠近碎纸屑，发现碎纸屑被吸引起来，说明相互摩擦会让物体带电，带电体能吸引轻小物体；又有少量纸屑被弹开，说明同种电荷相互排斥，故ABC不符合题意； D、该现象不能说明相互摩擦的物体带有同种电荷，故D符合题意。 故选：D。</x:v>
      </x:c>
      <x:c r="N470" s="63" t="str">
        <x:v>https://k12static.xdf.cn/k12/image/externalized/0169152b-3bde-41fa-a7aa-d944919712a5.png</x:v>
      </x:c>
      <x:c r="O470" s="63" t="str">
        <x:v>https://k12static.xdf.cn/k12/image/externalized/ec63b6d4-7816-4795-a512-61039102c61f.png</x:v>
      </x:c>
      <x:c r="P470" s="63" t="str">
        <x:v>1-2步</x:v>
      </x:c>
      <x:c r="Q470" s="63" t="str">
        <x:v>概念判断</x:v>
      </x:c>
      <x:c r="R470" s="63" t="str">
        <x:v>单状态</x:v>
      </x:c>
      <x:c r="S470" s="63" t="str">
        <x:v>无约束</x:v>
      </x:c>
      <x:c r="T470" s="63" t="str">
        <x:v>无</x:v>
      </x:c>
      <x:c r="U470" s="63" t="str">
        <x:v>无</x:v>
      </x:c>
      <x:c r="V470" s="63" t="str">
        <x:v>简单因果推理</x:v>
      </x:c>
    </x:row>
    <x:row r="471">
      <x:c r="A471" s="64" t="str">
        <x:v>​3067322925385347072</x:v>
      </x:c>
      <x:c r="B471" s="65" t="str">
        <x:v>中等题</x:v>
      </x:c>
      <x:c r="C471" s="65" t="str">
        <x:v>中等题</x:v>
      </x:c>
      <x:c r="D471" s="65" t="str">
        <x:v>中等题</x:v>
      </x:c>
      <x:c r="E471" s="65" t="str">
        <x:v>保留原GPT裁定</x:v>
      </x:c>
      <x:c r="F471" s="65" t="str">
        <x:v>高</x:v>
      </x:c>
      <x:c r="G471" s="65" t="str">
        <x:v>拔高题</x:v>
      </x:c>
      <x:c r="H471" s="65" t="str">
        <x:v>中等题</x:v>
      </x:c>
      <x:c r="I471" s="65" t="str">
        <x:v>题干、解析与结构证据支持中等题：step=3-5步，题型=概念判断，状态=单状态，约束=单一约束，推理=多层因果推理。教师、盲评和多次模型证据中未形成足以推翻原裁定的同向结构证据。</x:v>
      </x:c>
      <x:c r="J471" s="65" t="str">
        <x:v>未进入三次错题并集；逐题结构一致性复核</x:v>
      </x:c>
      <x:c r="K471" s="63" t="str">
        <x:v>甲、乙两物体同时从同一地点出发，沿同一条直线运动，它们的s-t图像如图所示。下列说法中（ ）①甲、乙两物体都做匀速直线运动②甲、乙两物体速度之比为1:2③运动15s甲乙两物体可能相距22.5m④甲、乙两物体间的距离一定随运动时间的增加而增大</x:v>
      </x:c>
      <x:c r="L471" s="63" t="str">
        <x:v>A. 只有①③正确 B. 只有①②③正确 C. 只有①④正确 D. 只有①③④正确</x:v>
      </x:c>
      <x:c r="M471" s="63" t="str">
        <x:v>由图可知，甲、乙两物体运动的s-t图像均表现为斜线，所以两物体都做匀速直线运动，则①正确；0~4s内，甲运动的路程为4m，乙运动的路程为2m，所以甲物体的运动速度 $v_{\mathrm{甲}}=\dfrac{s_{\mathrm{甲}}}{t_{\mathrm{甲}}}=\dfrac{4\mathrm{m}}{4\mathrm{s}}=1\mathrm{m}/\mathrm{s}$ 乙物体的运动速度 $v_{\mathrm{乙}}=\dfrac{s_{\mathrm{乙}}}{t_{\mathrm{乙}}}=\dfrac{2\mathrm{m}}{4\mathrm{s}}=0.5\mathrm{m}/\mathrm{s}$ 甲、乙两物体速度之比 $v_{\mathrm{甲}}\colon v_{\mathrm{乙}}=1\mathrm{m}/\mathrm{s}\colon 0.5\mathrm{m}/\mathrm{s}=2\colon 1$ 则②错误；运动15s后，甲的运动路程 $s_{\mathrm{甲}}^{&amp;#39;}=v_{\mathrm{甲}}t_{\mathrm{甲}}^{&amp;#39;}=1\mathrm{m}/\mathrm{s}\times 15\mathrm{s}=15\mathrm{m}$ 乙的运动路程 $s_{\mathrm{乙}}^{&amp;#39;}=v_{\mathrm{乙}}t_{\mathrm{乙}}^{&amp;#39;}=0.5\mathrm{m}/\mathrm{s}\times 15\mathrm{s}=7.5\mathrm{m}$ 若甲、乙同向而行，运动15s甲乙两物体相距 $s_{\mathrm{甲}}^{&amp;#39;}-s_{\mathrm{乙}}^{&amp;#39;}=15\mathrm{m}-7.5\mathrm{m}=7.5\mathrm{m}$ 若甲、乙反向而行，运动15s甲乙两物体相距 $s_{\mathrm{甲}}^{&amp;#39;}+s_{\mathrm{乙}}^{&amp;#39;}=15\mathrm{m}+7.5\mathrm{m}=22.5\mathrm{m}$ 则③正确；因为甲的速度大于乙的速度，由$s=vt$可知，甲、乙两物体无论是同向而行还是反向而行，甲、乙两物体间的距离一定随运动时间的增加而增大，则④正确；综上，①③④正确，故ABC不符合题意，D符合题意。 故选D。</x:v>
      </x:c>
      <x:c r="N471" s="63" t="str">
        <x:v>https://k12static.xdf.cn/k12/image/externalized/5c680223-29ce-428c-adb2-6be021084137.png</x:v>
      </x:c>
      <x:c r="O471" s="63" t="str">
        <x:v>https://k12static.xdf.cn/k12/image/externalized/d6150c18-32a9-47dd-921f-8f4e45e5636f.png</x:v>
      </x:c>
      <x:c r="P471" s="63" t="str">
        <x:v>3-5步</x:v>
      </x:c>
      <x:c r="Q471" s="63" t="str">
        <x:v>概念判断</x:v>
      </x:c>
      <x:c r="R471" s="63" t="str">
        <x:v>单状态</x:v>
      </x:c>
      <x:c r="S471" s="63" t="str">
        <x:v>单一约束</x:v>
      </x:c>
      <x:c r="T471" s="63" t="str">
        <x:v>无</x:v>
      </x:c>
      <x:c r="U471" s="63" t="str">
        <x:v>多组比较归纳</x:v>
      </x:c>
      <x:c r="V471" s="63" t="str">
        <x:v>多层因果推理</x:v>
      </x:c>
    </x:row>
    <x:row r="472">
      <x:c r="A472" s="64" t="str">
        <x:v>​3070438793987293184</x:v>
      </x:c>
      <x:c r="B472" s="65" t="str">
        <x:v>基础题</x:v>
      </x:c>
      <x:c r="C472" s="65" t="str">
        <x:v>基础题</x:v>
      </x:c>
      <x:c r="D472" s="65" t="str">
        <x:v>基础题</x:v>
      </x:c>
      <x:c r="E472" s="65" t="str">
        <x:v>保留原GPT裁定</x:v>
      </x:c>
      <x:c r="F472" s="65" t="str">
        <x:v>高</x:v>
      </x:c>
      <x:c r="G472" s="65" t="str">
        <x:v>基础题</x:v>
      </x:c>
      <x:c r="H472" s="65" t="str">
        <x:v>送分题</x:v>
      </x:c>
      <x:c r="I472" s="65" t="str">
        <x:v>题干、解析与结构证据支持基础题：step=1-2步，题型=概念判断，状态=单状态，约束=无约束，推理=简单因果推理。教师、盲评和多次模型证据中未形成足以推翻原裁定的同向结构证据。</x:v>
      </x:c>
      <x:c r="J472" s="65" t="str">
        <x:v>未进入三次错题并集；逐题结构一致性复核</x:v>
      </x:c>
      <x:c r="K472" s="63" t="str">
        <x:v>下列美景与“潭清疑水浅”中的“水浅”形成原理相同的是（ ）</x:v>
      </x:c>
      <x:c r="L472" s="63" t="str">
        <x:v>A. 波光粼粼的湖面 B. 地面上的树影 C. 透镜下放大的花 D. 倒映在水里的月</x:v>
      </x:c>
      <x:c r="M472" s="63" t="str">
        <x:v>解：“潭清疑水浅”指人看到水底形成的像，像的位置比物体的实际位置要浅，是光的折射现象； A、阳光下波光粼粼的湖面是由于光的镜面反射引起的，故A错误； B、地面上的树影由于光的直线传播在光不能到达的区域形成的影子，故B错误； C、透镜下放大的花属于透镜成像，是由于光的折射形成的现象，故C正确； D、倒映在水里的月属于平面镜成像，是光的反射现象，故D错误。 故选：C。</x:v>
      </x:c>
      <x:c r="N472" s="63" t="str">
        <x:v>https://k12static.xdf.cn/k12/image/externalized/1710008f-9f4b-4416-9c41-a872aea70293.png</x:v>
      </x:c>
      <x:c r="O472" s="63" t="str">
        <x:v>https://k12static.xdf.cn/k12/image/externalized/83571109-be7a-4f06-954f-c902d7474f02.png</x:v>
      </x:c>
      <x:c r="P472" s="63" t="str">
        <x:v>1-2步</x:v>
      </x:c>
      <x:c r="Q472" s="63" t="str">
        <x:v>概念判断</x:v>
      </x:c>
      <x:c r="R472" s="63" t="str">
        <x:v>单状态</x:v>
      </x:c>
      <x:c r="S472" s="63" t="str">
        <x:v>无约束</x:v>
      </x:c>
      <x:c r="T472" s="63" t="str">
        <x:v>无</x:v>
      </x:c>
      <x:c r="U472" s="63" t="str">
        <x:v>无</x:v>
      </x:c>
      <x:c r="V472" s="63" t="str">
        <x:v>简单因果推理</x:v>
      </x:c>
    </x:row>
    <x:row r="473">
      <x:c r="A473" s="64" t="str">
        <x:v>​3071820973888266240</x:v>
      </x:c>
      <x:c r="B473" s="65" t="str">
        <x:v>基础题</x:v>
      </x:c>
      <x:c r="C473" s="65" t="str">
        <x:v>基础题</x:v>
      </x:c>
      <x:c r="D473" s="65" t="str">
        <x:v>基础题</x:v>
      </x:c>
      <x:c r="E473" s="65" t="str">
        <x:v>保留原GPT裁定</x:v>
      </x:c>
      <x:c r="F473" s="65" t="str">
        <x:v>高</x:v>
      </x:c>
      <x:c r="G473" s="65" t="str">
        <x:v>中等题</x:v>
      </x:c>
      <x:c r="H473" s="65" t="str">
        <x:v>基础题</x:v>
      </x:c>
      <x:c r="I473" s="65" t="str">
        <x:v>题干、解析与结构证据支持基础题：step=1-2步，题型=概念判断，状态=单状态，约束=无约束，推理=简单因果推理。教师、盲评和多次模型证据中未形成足以推翻原裁定的同向结构证据。</x:v>
      </x:c>
      <x:c r="J473" s="65" t="str">
        <x:v>未进入三次错题并集；逐题结构一致性复核</x:v>
      </x:c>
      <x:c r="K473" s="63" t="str">
        <x:v>我国的AI技术和机器人技术领先世界，对机器人进行AI强化学习，不但能让机器人完美听懂音乐，而且能够让人形机器人自主地在舞台上翩翩起舞，创造人机共舞的和谐场景，将传统文化与机器人技术整合得恰到好处，下列关于AI和机器人技术说法错误的是（ ）</x:v>
      </x:c>
      <x:c r="L473" s="63" t="str">
        <x:v>A. 机器人能听懂音乐，其实是利用麦克风接收声音，麦克风的工作原理是利用电磁感应将声信号转化为电信号 B. 机器人利用3D激光雷达判断周围距离，避免与同伴发生碰撞，其实是利用超声波工作的 C. 机器人利用深度相机感知周边事物，其实是凸透镜成像的原理 D. 机器人能分辨不同乐器的声音，是因为不同乐器发声的音色不同</x:v>
      </x:c>
      <x:c r="M473" s="63" t="str">
        <x:v>A．机器人能听懂音乐，是利用麦克风，麦克风的工作原理是利用电磁感应将声信号转化为电信号，故A正确，不符合题意；B．机器人利用3D激光雷达判断周围距离，避免与同伴发生碰撞，其实是利用电磁波工作的，故B错误，符合题意；C．机器人利用深度相机感知周边事物，深度相机的镜头是一个凸透镜，利用的是凸透镜成像的原理，故C正确，不符合题意；D．不同发声体的材料和结构不同，机器人能分辨不同乐器的声音，是因为不同乐器发声的音色不同，故D正确，不符合题意。故选B。</x:v>
      </x:c>
      <x:c r="N473" s="63" t="str">
        <x:v>https://k12static.xdf.cn/k12/image/externalized/a0430e6f-c3e6-4e74-81f5-7d4a594256d3.png</x:v>
      </x:c>
      <x:c r="O473" s="63" t="str">
        <x:v>https://k12static.xdf.cn/k12/image/externalized/2a3c0816-74d6-48df-a398-2ff756b27db4.png</x:v>
      </x:c>
      <x:c r="P473" s="63" t="str">
        <x:v>1-2步</x:v>
      </x:c>
      <x:c r="Q473" s="63" t="str">
        <x:v>概念判断</x:v>
      </x:c>
      <x:c r="R473" s="63" t="str">
        <x:v>单状态</x:v>
      </x:c>
      <x:c r="S473" s="63" t="str">
        <x:v>无约束</x:v>
      </x:c>
      <x:c r="T473" s="63" t="str">
        <x:v>无</x:v>
      </x:c>
      <x:c r="U473" s="63" t="str">
        <x:v>无</x:v>
      </x:c>
      <x:c r="V473" s="63" t="str">
        <x:v>简单因果推理</x:v>
      </x:c>
    </x:row>
    <x:row r="474">
      <x:c r="A474" s="64" t="str">
        <x:v>​3074396243698978816</x:v>
      </x:c>
      <x:c r="B474" s="65" t="str">
        <x:v>中等题</x:v>
      </x:c>
      <x:c r="C474" s="65" t="str">
        <x:v>中等题</x:v>
      </x:c>
      <x:c r="D474" s="65" t="str">
        <x:v>中等题</x:v>
      </x:c>
      <x:c r="E474" s="65" t="str">
        <x:v>保留原GPT裁定</x:v>
      </x:c>
      <x:c r="F474" s="65" t="str">
        <x:v>高</x:v>
      </x:c>
      <x:c r="G474" s="65" t="str">
        <x:v>中等题</x:v>
      </x:c>
      <x:c r="H474" s="65" t="str">
        <x:v>拔高题</x:v>
      </x:c>
      <x:c r="I474" s="65" t="str">
        <x:v>题干、解析与结构证据支持中等题：step=3-5步，题型=实验探究，状态=单状态，约束=无约束，推理=多层因果推理。教师、盲评和多次模型证据中未形成足以推翻原裁定的同向结构证据。</x:v>
      </x:c>
      <x:c r="J474" s="65" t="str">
        <x:v>未进入三次错题并集；逐题结构一致性复核</x:v>
      </x:c>
      <x:c r="K474" s="63" t="str">
        <x:v>测量如图所示滑轮组的机械效率，部分实验数据如下表。 实验次数 钩码重G/N 钩码上升高度h/cm 拉力F/N 绳自由端移动距离s/cm 机械效率η 1 1.0 5 15 55.6% 2 1.5 5 0.8 15 3 2.0 5 1.0 15 66.7% 4 2.0 10 1.0 30 66.7% 5 2.0 15 1.0 45 66.7%</x:v>
      </x:c>
      <x:c r="L474" s="63" t="str"/>
      <x:c r="M474" s="63" t="str"/>
      <x:c r="N474" s="63" t="str">
        <x:v>https://k12static.xdf.cn/k12/image/externalized/7ca41914-f028-4d72-9b51-023d11083953.png</x:v>
      </x:c>
      <x:c r="O474" s="63" t="str">
        <x:v>https://k12static.xdf.cn/k12/image/externalized/e9dc618a-a7d0-4265-a1e0-3145cef7cdd1.png</x:v>
      </x:c>
      <x:c r="P474" s="63" t="str">
        <x:v>3-5步</x:v>
      </x:c>
      <x:c r="Q474" s="63" t="str">
        <x:v>实验探究</x:v>
      </x:c>
      <x:c r="R474" s="63" t="str">
        <x:v>单状态</x:v>
      </x:c>
      <x:c r="S474" s="63" t="str">
        <x:v>无约束</x:v>
      </x:c>
      <x:c r="T474" s="63" t="str">
        <x:v>控制变量或故障分析</x:v>
      </x:c>
      <x:c r="U474" s="63" t="str">
        <x:v>多组比较归纳</x:v>
      </x:c>
      <x:c r="V474" s="63" t="str">
        <x:v>多层因果推理</x:v>
      </x:c>
    </x:row>
    <x:row r="475">
      <x:c r="A475" s="64" t="str">
        <x:v>​3074414769281245184</x:v>
      </x:c>
      <x:c r="B475" s="65" t="str">
        <x:v>中等题</x:v>
      </x:c>
      <x:c r="C475" s="65" t="str">
        <x:v>中等题</x:v>
      </x:c>
      <x:c r="D475" s="65" t="str">
        <x:v>中等题</x:v>
      </x:c>
      <x:c r="E475" s="65" t="str">
        <x:v>保留原GPT裁定</x:v>
      </x:c>
      <x:c r="F475" s="65" t="str">
        <x:v>高</x:v>
      </x:c>
      <x:c r="G475" s="65" t="str">
        <x:v>基础题</x:v>
      </x:c>
      <x:c r="H475" s="65" t="str">
        <x:v>中等题</x:v>
      </x:c>
      <x:c r="I475" s="65" t="str">
        <x:v>题干、解析与结构证据支持中等题：step=3-5步，题型=力学综合，状态=双状态，约束=单一约束，推理=多层因果推理。教师、盲评和多次模型证据中未形成足以推翻原裁定的同向结构证据。</x:v>
      </x:c>
      <x:c r="J475" s="65" t="str">
        <x:v>未进入三次错题并集；逐题结构一致性复核</x:v>
      </x:c>
      <x:c r="K475" s="63" t="str">
        <x:v>如图所示，用跨过定滑轮的绳拉着湖中的小船靠岸，若小船受到的恒定拉力F=100N，河岸的高度AB=3m,图示位置时船头到河岸的距离BC=4m,则当船靠岸时，拉力做的功为（ ）</x:v>
      </x:c>
      <x:c r="L475" s="63" t="str">
        <x:v>A. 400J B. 500J C. 300J D. 200J</x:v>
      </x:c>
      <x:c r="M475" s="63" t="str">
        <x:v>解：河岸的高度AB=3m,图示位置时船头到河岸的距离BC=4m,根据数学知识知，图中绳子的长度为AC=$\sqrt{AB^{2}+BC^{2}}=\sqrt{(3m)^{2}+(4m)^{2}}$=5m,当船靠岸时，绳子长为AB，是3m,故绳子被拉的长度为s=5m-3m=2m；做功W=Fs=100N×2m=200J。 故选：D。</x:v>
      </x:c>
      <x:c r="N475" s="63" t="str">
        <x:v>https://k12static.xdf.cn/k12/image/externalized/5d0c1103-3894-4ca6-8489-4a09c70458b4.png</x:v>
      </x:c>
      <x:c r="O475" s="63" t="str">
        <x:v>https://k12static.xdf.cn/k12/image/externalized/1b720f3e-d824-41f5-8e03-1dd42978bbd6.png</x:v>
      </x:c>
      <x:c r="P475" s="63" t="str">
        <x:v>3-5步</x:v>
      </x:c>
      <x:c r="Q475" s="63" t="str">
        <x:v>力学综合</x:v>
      </x:c>
      <x:c r="R475" s="63" t="str">
        <x:v>双状态</x:v>
      </x:c>
      <x:c r="S475" s="63" t="str">
        <x:v>单一约束</x:v>
      </x:c>
      <x:c r="T475" s="63" t="str">
        <x:v>无</x:v>
      </x:c>
      <x:c r="U475" s="63" t="str">
        <x:v>无</x:v>
      </x:c>
      <x:c r="V475" s="63" t="str">
        <x:v>多层因果推理</x:v>
      </x:c>
    </x:row>
    <x:row r="476">
      <x:c r="A476" s="64" t="str">
        <x:v>​3074637928413310976</x:v>
      </x:c>
      <x:c r="B476" s="65" t="str">
        <x:v>中等题</x:v>
      </x:c>
      <x:c r="C476" s="65" t="str">
        <x:v>中等题</x:v>
      </x:c>
      <x:c r="D476" s="65" t="str">
        <x:v>中等题</x:v>
      </x:c>
      <x:c r="E476" s="65" t="str">
        <x:v>保留原GPT裁定</x:v>
      </x:c>
      <x:c r="F476" s="65" t="str">
        <x:v>高</x:v>
      </x:c>
      <x:c r="G476" s="65" t="str">
        <x:v>基础题</x:v>
      </x:c>
      <x:c r="H476" s="65" t="str">
        <x:v>中等题</x:v>
      </x:c>
      <x:c r="I476" s="65" t="str">
        <x:v>题干、解析与结构证据支持中等题：step=3-5步，题型=电路综合，状态=多状态，约束=单一约束，推理=多层因果推理。教师、盲评和多次模型证据中未形成足以推翻原裁定的同向结构证据。</x:v>
      </x:c>
      <x:c r="J476" s="65" t="str">
        <x:v>未进入三次错题并集；逐题结构一致性复核</x:v>
      </x:c>
      <x:c r="K476" s="63" t="str">
        <x:v>如图所示电路，电源电压为3V，灯L1标有&amp;ldquo;6V 6W&amp;rdquo;，灯L2标有&amp;ldquo;3V 3W&amp;rdquo;，下列有关说法正确的是（ ）</x:v>
      </x:c>
      <x:c r="L476" s="63" t="str">
        <x:v>A. S2断开，S1接b，L1可以正常发光 B. S2断开，S1接a，L2实际功率为3W C. S2断开，S1接a，L2更亮 D. S2闭合，S1接b，L2更亮</x:v>
      </x:c>
      <x:c r="M476" s="63" t="str">
        <x:v>A．S2断开，S1接b，电路为只有灯泡${{\text{L}}_{1}}$的简单电路，L1两端的电压为电源电压，为3V，小于灯泡的额定电压，不能正常发光，故A错误； B．S2断开，S1接a，两只灯泡串联，两只灯泡两端的电压肯定都小于3V，所以L2实际功率小于3W，故B错误； C．S2断开，S1接a，两只灯泡串联，通过两只灯泡的电流相等，L1的电阻 R1$=\dfrac{{{U}_{1}}^{2}}{{{P}_{1}}}$=$\dfrac{{{\left( 6\text{V} \right)}^{2}}}{3\text{W}}$=6$\text{ }\Omega$ L2的电阻 R2=$\dfrac{{{U}_{2}}^{2}}{{{P}_{2}}}$=$\dfrac{{{\left( 3\text{V} \right)}^{2}}}{3\text{W}}$=3$\text{ }\Omega$ 根据公式P=I2R可知，L1的实际功率更大，所以更亮，故C错误； D．S2闭合，S1接b时，两只灯泡并联，两端的电压相等，根据公式P=$\dfrac{{{U}^{2}}}{R}$可知，L2的实际功率更大，所以更亮，故D正确。 故选D。</x:v>
      </x:c>
      <x:c r="N476" s="63" t="str">
        <x:v>https://k12static.xdf.cn/k12/image/externalized/d6556736-caa0-4596-964e-e6452d1e64df.png</x:v>
      </x:c>
      <x:c r="O476" s="63" t="str">
        <x:v>https://k12static.xdf.cn/k12/image/externalized/b2f8aa8a-331f-4b81-92bf-7f07922b2746.png</x:v>
      </x:c>
      <x:c r="P476" s="63" t="str">
        <x:v>3-5步</x:v>
      </x:c>
      <x:c r="Q476" s="63" t="str">
        <x:v>电路综合</x:v>
      </x:c>
      <x:c r="R476" s="63" t="str">
        <x:v>多状态</x:v>
      </x:c>
      <x:c r="S476" s="63" t="str">
        <x:v>单一约束</x:v>
      </x:c>
      <x:c r="T476" s="63" t="str">
        <x:v>无</x:v>
      </x:c>
      <x:c r="U476" s="63" t="str">
        <x:v>无</x:v>
      </x:c>
      <x:c r="V476" s="63" t="str">
        <x:v>多层因果推理</x:v>
      </x:c>
    </x:row>
    <x:row r="477">
      <x:c r="A477" s="64" t="str">
        <x:v>​3075309419057172480</x:v>
      </x:c>
      <x:c r="B477" s="65" t="str">
        <x:v>基础题</x:v>
      </x:c>
      <x:c r="C477" s="65" t="str">
        <x:v>基础题</x:v>
      </x:c>
      <x:c r="D477" s="65" t="str">
        <x:v>基础题</x:v>
      </x:c>
      <x:c r="E477" s="65" t="str">
        <x:v>保留原GPT裁定</x:v>
      </x:c>
      <x:c r="F477" s="65" t="str">
        <x:v>高</x:v>
      </x:c>
      <x:c r="G477" s="65" t="str">
        <x:v>送分题</x:v>
      </x:c>
      <x:c r="H477" s="65" t="str">
        <x:v>基础题</x:v>
      </x:c>
      <x:c r="I477" s="65" t="str">
        <x:v>题干、解析与结构证据支持基础题：step=1-2步，题型=概念判断，状态=单状态，约束=无约束，推理=简单因果推理。教师、盲评和多次模型证据中未形成足以推翻原裁定的同向结构证据。</x:v>
      </x:c>
      <x:c r="J477" s="65" t="str">
        <x:v>未进入三次错题并集；逐题结构一致性复核</x:v>
      </x:c>
      <x:c r="K477" s="63" t="str">
        <x:v>太阳是人类能源的宝库。下列说法正确的是（ ）</x:v>
      </x:c>
      <x:c r="L477" s="63" t="str">
        <x:v>A. 能量的转化和转移是有方向性的 B. 太阳能是太阳内部氢原子核发生裂变释放的能量 C. 太阳能是未来的理想能源之一，是二次能源 D. 中国空间站上用到的太阳能电池板是将太阳能转化为电能</x:v>
      </x:c>
      <x:c r="M477" s="63" t="str">
        <x:v>解：A、能量的转化和转移是有方向性、不可逆的，故A正确； B、太阳能是太阳内部氢原子核发生聚变释放的能量，故B错误； C、太阳能是未来的理想能源之一，可以直接从自然界获得，属于一次能源，故C错误； D、中国空间站上用到的太阳能电池板是将太阳能直接转化为电能，故D正确。 故选：AD。</x:v>
      </x:c>
      <x:c r="N477" s="63" t="str">
        <x:v>https://k12static.xdf.cn/k12/image/externalized/093bc65f-beba-4f81-ad61-edec58eb76e4.png</x:v>
      </x:c>
      <x:c r="O477" s="63" t="str">
        <x:v>https://k12static.xdf.cn/k12/image/externalized/911ac5ab-5548-4c8a-acc6-94229854bc58.png</x:v>
      </x:c>
      <x:c r="P477" s="63" t="str">
        <x:v>1-2步</x:v>
      </x:c>
      <x:c r="Q477" s="63" t="str">
        <x:v>概念判断</x:v>
      </x:c>
      <x:c r="R477" s="63" t="str">
        <x:v>单状态</x:v>
      </x:c>
      <x:c r="S477" s="63" t="str">
        <x:v>无约束</x:v>
      </x:c>
      <x:c r="T477" s="63" t="str">
        <x:v>无</x:v>
      </x:c>
      <x:c r="U477" s="63" t="str">
        <x:v>无</x:v>
      </x:c>
      <x:c r="V477" s="63" t="str">
        <x:v>简单因果推理</x:v>
      </x:c>
    </x:row>
    <x:row r="478">
      <x:c r="A478" s="64" t="str">
        <x:v>​3078753256608923648</x:v>
      </x:c>
      <x:c r="B478" s="65" t="str">
        <x:v>基础题</x:v>
      </x:c>
      <x:c r="C478" s="65" t="str">
        <x:v>基础题</x:v>
      </x:c>
      <x:c r="D478" s="65" t="str">
        <x:v>基础题</x:v>
      </x:c>
      <x:c r="E478" s="65" t="str">
        <x:v>逐题复核后保留GPT裁定</x:v>
      </x:c>
      <x:c r="F478" s="65" t="str">
        <x:v>高</x:v>
      </x:c>
      <x:c r="G478" s="65" t="str">
        <x:v>基础题</x:v>
      </x:c>
      <x:c r="H478" s="65" t="str">
        <x:v>基础题</x:v>
      </x:c>
      <x:c r="I478" s="65" t="str">
        <x:v>最高难任务属于受力、浮力/压强与状态变化中的1—2步直接应用、规范操作或简单因果判断。需要理解/应用而非纯识记，但没有共享中间结论、完整连续过程或隐含转换。</x:v>
      </x:c>
      <x:c r="J478" s="65" t="str">
        <x:v>三次运行错题并集逐题复核</x:v>
      </x:c>
      <x:c r="K478" s="63" t="str">
        <x:v>2025年初，《哪吒2》电影票房跃居全球动画票房榜第一名。哪吒的风火轮通过向后喷出高速气体飞行，运用了 原理；哪吒乘地铁需要安检，应用了X射线成像原理，X射线属于 波；轨道旁有安全提示“请在黄线外等候”，其原因可以用流速越大，压强越 来解释。</x:v>
      </x:c>
      <x:c r="L478" s="63" t="str"/>
      <x:c r="M478" s="63" t="str">
        <x:v>解：哪吒的风火轮通过向后喷出高速气体飞行，运用了力的作用是相互的原理，因为力是物体对物体的作用，物体间力的作用是相互的； 哪吒乘地铁需要安检，应用了X射线成像原理，X射线属于电磁波； 轨道旁有安全提示“请在黄线外等候”，其原因可以用流速越大，压强越小来解释。 故答案为：力的作用是相互的；电磁；小。</x:v>
      </x:c>
      <x:c r="N478" s="63" t="str">
        <x:v>https://k12static.xdf.cn/k12/image/externalized/2437aac9-ff85-403f-bcd7-44ad92587de6.png</x:v>
      </x:c>
      <x:c r="O478" s="63" t="str">
        <x:v>https://k12static.xdf.cn/k12/image/externalized/95979ef4-8856-4ac9-a615-64312241e8ec.png</x:v>
      </x:c>
      <x:c r="P478" s="63" t="str">
        <x:v>1-2步</x:v>
      </x:c>
      <x:c r="Q478" s="63" t="str">
        <x:v>概念判断</x:v>
      </x:c>
      <x:c r="R478" s="63" t="str">
        <x:v>单状态</x:v>
      </x:c>
      <x:c r="S478" s="63" t="str">
        <x:v>无约束</x:v>
      </x:c>
      <x:c r="T478" s="63" t="str">
        <x:v>无</x:v>
      </x:c>
      <x:c r="U478" s="63" t="str">
        <x:v>无</x:v>
      </x:c>
      <x:c r="V478" s="63" t="str">
        <x:v>直接套用</x:v>
      </x:c>
    </x:row>
    <x:row r="479">
      <x:c r="A479" s="64" t="str">
        <x:v>​3086302174995648512</x:v>
      </x:c>
      <x:c r="B479" s="65" t="str">
        <x:v>基础题</x:v>
      </x:c>
      <x:c r="C479" s="65" t="str">
        <x:v>基础题</x:v>
      </x:c>
      <x:c r="D479" s="65" t="str">
        <x:v>基础题</x:v>
      </x:c>
      <x:c r="E479" s="65" t="str">
        <x:v>保留原GPT裁定</x:v>
      </x:c>
      <x:c r="F479" s="65" t="str">
        <x:v>高</x:v>
      </x:c>
      <x:c r="G479" s="65" t="str">
        <x:v>基础题</x:v>
      </x:c>
      <x:c r="H479" s="65" t="str">
        <x:v>送分题</x:v>
      </x:c>
      <x:c r="I479" s="65" t="str">
        <x:v>题干、解析与结构证据支持基础题：step=1-2步，题型=概念判断，状态=单状态，约束=无约束，推理=简单因果推理。教师、盲评和多次模型证据中未形成足以推翻原裁定的同向结构证据。</x:v>
      </x:c>
      <x:c r="J479" s="65" t="str">
        <x:v>未进入三次错题并集；逐题结构一致性复核</x:v>
      </x:c>
      <x:c r="K479" s="63" t="str">
        <x:v>继高铁之后，“华龙一号”核电装置成为了我国的另一“国之重器”，已经和多个国家签订了核能发电项目。如图是核电站工作流程图，关于流程中各装置的能量转化，正确的是（ ）</x:v>
      </x:c>
      <x:c r="L479" s="63" t="str">
        <x:v>A. 核反应堆：核能转化为电能 B. 蒸汽轮机：内能转化为机械能 C. 发电机：电能转化为机械能 D. 电驱动器：机械能转化为电能</x:v>
      </x:c>
      <x:c r="M479" s="63" t="str">
        <x:v>解： A．核反应堆是核能转化为水的内能，故A错误； B．蒸汽轮机是利用高温高压的水蒸气推动蒸汽轮机转动，将内能转化为机械能，故B正确； C．发电机是将机械能转化为电能，其工作原理是电磁感应现象，故C错误； D．电驱动器工作时会消耗电能，将电能转化为机械能，故D错误。 故选：B。</x:v>
      </x:c>
      <x:c r="N479" s="63" t="str">
        <x:v>https://k12static.xdf.cn/k12/image/externalized/06bfc4e6-2db5-4a2a-add7-2a7de60142ff.png</x:v>
      </x:c>
      <x:c r="O479" s="63" t="str">
        <x:v>https://k12static.xdf.cn/k12/image/externalized/378ec11e-0d93-4082-8c36-dc5ee8cb5219.png</x:v>
      </x:c>
      <x:c r="P479" s="63" t="str">
        <x:v>1-2步</x:v>
      </x:c>
      <x:c r="Q479" s="63" t="str">
        <x:v>概念判断</x:v>
      </x:c>
      <x:c r="R479" s="63" t="str">
        <x:v>单状态</x:v>
      </x:c>
      <x:c r="S479" s="63" t="str">
        <x:v>无约束</x:v>
      </x:c>
      <x:c r="T479" s="63" t="str">
        <x:v>无</x:v>
      </x:c>
      <x:c r="U479" s="63" t="str">
        <x:v>无</x:v>
      </x:c>
      <x:c r="V479" s="63" t="str">
        <x:v>简单因果推理</x:v>
      </x:c>
    </x:row>
    <x:row r="480">
      <x:c r="A480" s="64" t="str">
        <x:v>​3086337652885561344</x:v>
      </x:c>
      <x:c r="B480" s="65" t="str">
        <x:v>中等题</x:v>
      </x:c>
      <x:c r="C480" s="65" t="str">
        <x:v>中等题</x:v>
      </x:c>
      <x:c r="D480" s="65" t="str">
        <x:v>中等题</x:v>
      </x:c>
      <x:c r="E480" s="65" t="str">
        <x:v>逐题复核后保留GPT裁定</x:v>
      </x:c>
      <x:c r="F480" s="65" t="str">
        <x:v>高</x:v>
      </x:c>
      <x:c r="G480" s="65" t="str">
        <x:v>基础题</x:v>
      </x:c>
      <x:c r="H480" s="65" t="str">
        <x:v>中等题</x:v>
      </x:c>
      <x:c r="I480" s="65" t="str">
        <x:v>存在约3—4步常规连续分析、共享过程或完整标准实验任务，关系仍显性。 题目证据：原标偏低。最长有效链为1-2步、题型为概念判断、推理为简单因果推理；实际任务已超过基础题所允许的直接识别/显性应用范围，裁定为中等题。 复核证据：独立盲评与三次模型中有3/4支持中等题。</x:v>
      </x:c>
      <x:c r="J480" s="65" t="str">
        <x:v>三次运行错题并集逐题复核</x:v>
      </x:c>
      <x:c r="K480" s="63" t="str">
        <x:v>如图甲为可调亮度的台灯，如图乙为其用于调光的电位器结构图，a、b、c是它的三个接线柱，a、c分别与弧形电阻丝的两端相连，b与金属片相连。当转动电灯旋钮时，滑片会在弧形电阻丝上同向滑动，即可调节灯泡亮度，下列分析正确的是（ ）</x:v>
      </x:c>
      <x:c r="L480" s="63" t="str">
        <x:v>A. 若只将b、c接入电路，逆时针转动旋钮时，灯泡变暗 B. 若只将b、c接入电路，顺时针转动旋钮时，灯泡变暗 C. 若只将a、c接入电路，逆时针转动旋钮时，灯泡亮度不变 D. 若只将a、b接入电路，顺时针转动旋钮时，灯泡变暗</x:v>
      </x:c>
      <x:c r="M480" s="63" t="str">
        <x:v>解： AB、若只将b、c接入电路，则滑片右边的电阻丝接入电路；顺时针转动旋钮时，电位器接入电路的电阻变小，电路中电流变大，灯泡变亮；逆时针转动旋钮时，电位器接入电路的电阻变大，电路中电流变小，灯泡变暗，故A正确，B错误； C、若只将a、c接入电路，则电位器的全部电阻丝都接入电路，不能改变电路的电流，所以不能改变灯泡的亮度，故C正确； D、若只将a、b接入电路，则滑片左边的电阻丝接入电路；顺时针转动旋钮时，电位器接入电路的电阻变大，电流变小，灯泡变暗，故D正确。 故选：ACD。</x:v>
      </x:c>
      <x:c r="N480" s="63" t="str">
        <x:v>https://k12static.xdf.cn/k12/image/externalized/2ff78b47-24ec-46ff-bf6c-0d580c6b5fb0.png</x:v>
      </x:c>
      <x:c r="O480" s="63" t="str">
        <x:v>https://k12static.xdf.cn/k12/image/externalized/7e54e42d-0714-45fd-9000-af4bd77554c0.png</x:v>
      </x:c>
      <x:c r="P480" s="63" t="str">
        <x:v>1-2步</x:v>
      </x:c>
      <x:c r="Q480" s="63" t="str">
        <x:v>概念判断</x:v>
      </x:c>
      <x:c r="R480" s="63" t="str">
        <x:v>单状态</x:v>
      </x:c>
      <x:c r="S480" s="63" t="str">
        <x:v>无约束</x:v>
      </x:c>
      <x:c r="T480" s="63" t="str">
        <x:v>无</x:v>
      </x:c>
      <x:c r="U480" s="63" t="str">
        <x:v>无</x:v>
      </x:c>
      <x:c r="V480" s="63" t="str">
        <x:v>简单因果推理</x:v>
      </x:c>
    </x:row>
    <x:row r="481">
      <x:c r="A481" s="64" t="str">
        <x:v>​3086996422300635136</x:v>
      </x:c>
      <x:c r="B481" s="65" t="str">
        <x:v>中等题</x:v>
      </x:c>
      <x:c r="C481" s="65" t="str">
        <x:v>中等题</x:v>
      </x:c>
      <x:c r="D481" s="65" t="str">
        <x:v>中等题</x:v>
      </x:c>
      <x:c r="E481" s="65" t="str">
        <x:v>保留原GPT裁定</x:v>
      </x:c>
      <x:c r="F481" s="65" t="str">
        <x:v>高</x:v>
      </x:c>
      <x:c r="G481" s="65" t="str">
        <x:v>基础题</x:v>
      </x:c>
      <x:c r="H481" s="65" t="str">
        <x:v>中等题</x:v>
      </x:c>
      <x:c r="I481" s="65" t="str">
        <x:v>题干、解析与结构证据支持中等题：step=3-5步，题型=力学综合，状态=单状态，约束=单一约束，推理=多层因果推理。教师、盲评和多次模型证据中未形成足以推翻原裁定的同向结构证据。</x:v>
      </x:c>
      <x:c r="J481" s="65" t="str">
        <x:v>未进入三次错题并集；逐题结构一致性复核</x:v>
      </x:c>
      <x:c r="K481" s="63" t="str">
        <x:v>“月壤砖”是未来可能用在月球上盖房子的建筑材料，比普通的混凝土砖块要坚硬得多，如图所示为科学家们设计的月球屋雏形“月壶尊”。科研人员模拟月壤的成分已经烧制出来了一些月壤砖，其中一种“月壤砖”样品长为100mm,宽为80mm,高为25mm,质量为500g,求：</x:v>
      </x:c>
      <x:c r="L481" s="63" t="str"/>
      <x:c r="M481" s="63" t="str"/>
      <x:c r="N481" s="63" t="str">
        <x:v>https://k12static.xdf.cn/k12/image/externalized/f450d1fe-07b3-4b7d-bcf8-aaa09abd3848.png</x:v>
      </x:c>
      <x:c r="O481" s="63" t="str">
        <x:v>https://k12static.xdf.cn/k12/image/externalized/0256a8b3-1e99-4efa-a18d-1a12899c12b0.png</x:v>
      </x:c>
      <x:c r="P481" s="63" t="str">
        <x:v>3-5步</x:v>
      </x:c>
      <x:c r="Q481" s="63" t="str">
        <x:v>力学综合</x:v>
      </x:c>
      <x:c r="R481" s="63" t="str">
        <x:v>单状态</x:v>
      </x:c>
      <x:c r="S481" s="63" t="str">
        <x:v>单一约束</x:v>
      </x:c>
      <x:c r="T481" s="63" t="str">
        <x:v>无</x:v>
      </x:c>
      <x:c r="U481" s="63" t="str">
        <x:v>无</x:v>
      </x:c>
      <x:c r="V481" s="63" t="str">
        <x:v>多层因果推理</x:v>
      </x:c>
    </x:row>
    <x:row r="482">
      <x:c r="A482" s="64" t="str">
        <x:v>​3094932946343018496</x:v>
      </x:c>
      <x:c r="B482" s="65" t="str">
        <x:v>基础题</x:v>
      </x:c>
      <x:c r="C482" s="65" t="str">
        <x:v>基础题</x:v>
      </x:c>
      <x:c r="D482" s="65" t="str">
        <x:v>基础题</x:v>
      </x:c>
      <x:c r="E482" s="65" t="str">
        <x:v>保留原GPT裁定</x:v>
      </x:c>
      <x:c r="F482" s="65" t="str">
        <x:v>高</x:v>
      </x:c>
      <x:c r="G482" s="65" t="str">
        <x:v>中等题</x:v>
      </x:c>
      <x:c r="H482" s="65" t="str">
        <x:v>基础题</x:v>
      </x:c>
      <x:c r="I482" s="65" t="str">
        <x:v>题干、解析与结构证据支持基础题：step=1-2步，题型=概念判断，状态=单状态，约束=无约束，推理=简单因果推理。教师、盲评和多次模型证据中未形成足以推翻原裁定的同向结构证据。</x:v>
      </x:c>
      <x:c r="J482" s="65" t="str">
        <x:v>未进入三次错题并集；逐题结构一致性复核</x:v>
      </x:c>
      <x:c r="K482" s="63" t="str">
        <x:v>小吃街上出现了一种“冒烟”的冰激凌，只见店员将-196℃的液氮倒入容器中，然后放入液体牛奶和五颜六色爆米花，冰激凌原料瞬间冷冻成型而容器中的液氮发生了肉眼可见的“沸腾”。下列说法正确的是（ ）</x:v>
      </x:c>
      <x:c r="L482" s="63" t="str">
        <x:v>A. 碗里液体“沸腾”是因为液氮沸腾 B. 冰激凌周围的“白气”是液氮汽化成的氮气 C. 液体“沸腾”是因为液氮汽化使容器中的水吸热后沸腾 D. 冰激凌周围的“白气”是空气中的水蒸气液化的现象</x:v>
      </x:c>
      <x:c r="M482" s="63" t="str">
        <x:v>解：氮在常温常压下是气态，所以液氮倒入容器后迅速吸热汽化，导致周围空气中的水蒸气遇冷液化形成“白气”，故BC错误，AD正确。 故选：AD。</x:v>
      </x:c>
      <x:c r="N482" s="63" t="str">
        <x:v>https://k12static.xdf.cn/k12/image/externalized/0a3f36cd-541a-4e52-b34e-ad95eb5ce977.png</x:v>
      </x:c>
      <x:c r="O482" s="63" t="str">
        <x:v>https://k12static.xdf.cn/k12/image/externalized/61fae158-bb3d-47bd-bbcd-7b0dd6b1a3b6.png</x:v>
      </x:c>
      <x:c r="P482" s="63" t="str">
        <x:v>1-2步</x:v>
      </x:c>
      <x:c r="Q482" s="63" t="str">
        <x:v>概念判断</x:v>
      </x:c>
      <x:c r="R482" s="63" t="str">
        <x:v>单状态</x:v>
      </x:c>
      <x:c r="S482" s="63" t="str">
        <x:v>无约束</x:v>
      </x:c>
      <x:c r="T482" s="63" t="str">
        <x:v>无</x:v>
      </x:c>
      <x:c r="U482" s="63" t="str">
        <x:v>无</x:v>
      </x:c>
      <x:c r="V482" s="63" t="str">
        <x:v>简单因果推理</x:v>
      </x:c>
    </x:row>
    <x:row r="483">
      <x:c r="A483" s="64" t="str">
        <x:v>​3095023796192043008</x:v>
      </x:c>
      <x:c r="B483" s="65" t="str">
        <x:v>拔高题</x:v>
      </x:c>
      <x:c r="C483" s="65" t="str">
        <x:v>拔高题</x:v>
      </x:c>
      <x:c r="D483" s="65" t="str">
        <x:v>拔高题</x:v>
      </x:c>
      <x:c r="E483" s="65" t="str">
        <x:v>逐题复核后保留GPT裁定</x:v>
      </x:c>
      <x:c r="F483" s="65" t="str">
        <x:v>高</x:v>
      </x:c>
      <x:c r="G483" s="65" t="str">
        <x:v>拔高题</x:v>
      </x:c>
      <x:c r="H483" s="65" t="str">
        <x:v>拔高题</x:v>
      </x:c>
      <x:c r="I483" s="65" t="str">
        <x:v>存在决定性反推/等效/误差/几何转换，或同一装置中的5—6步高密度综合链。 题目证据：自动调整：gpt56_medium_to_hard_dense_force_chain；证据：力学综合；多公式联立；完整任务负担超过常规4步链。最高难选项实际有效物理决策约3步。五维中知识量为2-3个关联知识点，过程/对象为ab、bc两段双状态，数学工具为多步代数计算，情境为常规滑轮组变式，思维层次为常规分析，整体落在中等档。任务为对四个选项分别完成公式计算和机械效率推导，最长连续链为识别两段摩擦力，分别计算后求和得到克服摩擦力总功，不存在决定性转换或全链耦合。</x:v>
      </x:c>
      <x:c r="J483" s="65" t="str">
        <x:v>三次运行错题并集逐题复核</x:v>
      </x:c>
      <x:c r="K483" s="63" t="str">
        <x:v>如图甲所示装置，小欢用力F向下拉绳子，使物体M在水平地面匀速移动，地面ab、bc段粗糙程度不同。物体M重为400N，动滑轮重为5N，ab=2m,bc=3m。物体M从a点到c点过程中，拉力F与M移动距离的关系如图乙，忽略绳重及摩擦，下列说法正确的是（ ）</x:v>
      </x:c>
      <x:c r="L483" s="63" t="str">
        <x:v>A. 物体M从a点到c点过程中，绳子自由端移动的距离为15m B. 物体M从a点到c点过程中，拉力F做的总功为420J C. 物体M从ab段到bc段，滑轮组的机械效率不变 D. 物体M从a点到c点过程中，克服摩擦力做功为815J</x:v>
      </x:c>
      <x:c r="M483" s="63" t="str">
        <x:v>解：A、由图可知，n=2，物体M从a点到c点过程中，绳子自由端移动的距离为s'=ns=n（sab+sbc）=2×（2m+3m）=10m,故A错误； B、ab=2m,bc=3m,绳子自由端移动的距离分别为： s1=2×2m=4m,s2=2×3m=6m,由图乙知绳子的拉力分别为60N和100N，拉力做的功为： W=W1+W2=F1s1+F2s2=60N×4m+100N×6m=840J，故B错误； C、使物体M在水平地面匀速移动，根据二力平衡，物体受到的滑动摩擦力等于水平面上绳子的拉力的大小，因100N大于60N，故可知bc段物体受到的滑动摩擦力大，滑轮组的机械效率为： η=$\frac{W_有}{W_总}$=$\frac{W_有}{W_有+W_额}$=$\frac{fs}{fs+G_动s}$=$\frac{f}{f+G_动}$=$\frac{1}{1+\frac{G_动}{f}}$； 动滑轮的重力不变，物体从ab段到bc段，滑动摩擦力变大，故滑轮组的机械效率变大，故C错误； D、忽略绳重及摩擦，根据F=$\frac{1}{n}$（f+G动）可知，ab段物体M受到的摩擦力为： f1=nF1-G动=2×60N-5N=115N， 同理，bc段物体M受到的摩擦力为： f2=nF2-G动=2×100N-5N=195N， 则物体M从a点到c点过程中，克服摩擦力做功为： W'=f1sab+f2sbc=115N×2m+195N×3m=815J，故D正确。 故选：D。</x:v>
      </x:c>
      <x:c r="N483" s="63" t="str">
        <x:v>https://k12static.xdf.cn/k12/image/externalized/5e879015-eecf-4862-9e66-08362c2a305e.png</x:v>
      </x:c>
      <x:c r="O483" s="63" t="str">
        <x:v>https://k12static.xdf.cn/k12/image/externalized/193d7035-9529-425e-a82b-bea3506c9b08.png</x:v>
      </x:c>
      <x:c r="P483" s="63" t="str">
        <x:v>3-5步</x:v>
      </x:c>
      <x:c r="Q483" s="63" t="str">
        <x:v>力学综合</x:v>
      </x:c>
      <x:c r="R483" s="63" t="str">
        <x:v>双状态</x:v>
      </x:c>
      <x:c r="S483" s="63" t="str">
        <x:v>单一约束</x:v>
      </x:c>
      <x:c r="T483" s="63" t="str">
        <x:v>无</x:v>
      </x:c>
      <x:c r="U483" s="63" t="str">
        <x:v>直接读数</x:v>
      </x:c>
      <x:c r="V483" s="63" t="str">
        <x:v>多层因果推理</x:v>
      </x:c>
    </x:row>
    <x:row r="484">
      <x:c r="A484" s="64" t="str">
        <x:v>​3097589063767580672</x:v>
      </x:c>
      <x:c r="B484" s="65" t="str">
        <x:v>送分题</x:v>
      </x:c>
      <x:c r="C484" s="65" t="str">
        <x:v>送分题</x:v>
      </x:c>
      <x:c r="D484" s="65" t="str">
        <x:v>送分题</x:v>
      </x:c>
      <x:c r="E484" s="65" t="str">
        <x:v>保留原GPT裁定</x:v>
      </x:c>
      <x:c r="F484" s="65" t="str">
        <x:v>中</x:v>
      </x:c>
      <x:c r="G484" s="65" t="str">
        <x:v>送分题</x:v>
      </x:c>
      <x:c r="H484" s="65" t="str">
        <x:v>基础题</x:v>
      </x:c>
      <x:c r="I484" s="65" t="str">
        <x:v>题干、解析与结构证据支持送分题：step=1-2步，题型=概念判断，状态=单状态，约束=无约束，推理=直接套用。教师、盲评和多次模型证据中未形成足以推翻原裁定的同向结构证据。</x:v>
      </x:c>
      <x:c r="J484" s="65" t="str">
        <x:v>未进入三次错题并集；逐题结构一致性复核</x:v>
      </x:c>
      <x:c r="K484" s="63" t="str">
        <x:v>下列对相关数据的估计，与实际相符的是（ ）</x:v>
      </x:c>
      <x:c r="L484" s="63" t="str">
        <x:v>A. 家用空调的电流大约为5A B. 一块手机电池的电压约为3.7V C. 实验用小灯泡电阻约15Ω D. 家用电吹风的电功率约2000W</x:v>
      </x:c>
      <x:c r="M484" s="63" t="str">
        <x:v>解：A、家用空调正常工作的电流大约是5A，故A符合实际； B、手机电池的电压约为3.7V，故B符合实际； C、实验用小灯泡的电阻不大，约为15Ω，故C符合实际； D、家用电吹风的电功率约1000W，故D不符合实际。 故选：ABC。</x:v>
      </x:c>
      <x:c r="N484" s="63" t="str">
        <x:v>https://k12static.xdf.cn/k12/image/externalized/6c7036c1-1dc7-4731-8118-c5f416bc5688.png</x:v>
      </x:c>
      <x:c r="O484" s="63" t="str">
        <x:v>https://k12static.xdf.cn/k12/image/externalized/6185ba08-9e9d-4b4d-8038-dc0dfbc18b85.png</x:v>
      </x:c>
      <x:c r="P484" s="63" t="str">
        <x:v>1-2步</x:v>
      </x:c>
      <x:c r="Q484" s="63" t="str">
        <x:v>概念判断</x:v>
      </x:c>
      <x:c r="R484" s="63" t="str">
        <x:v>单状态</x:v>
      </x:c>
      <x:c r="S484" s="63" t="str">
        <x:v>无约束</x:v>
      </x:c>
      <x:c r="T484" s="63" t="str">
        <x:v>无</x:v>
      </x:c>
      <x:c r="U484" s="63" t="str">
        <x:v>无</x:v>
      </x:c>
      <x:c r="V484" s="63" t="str">
        <x:v>直接套用</x:v>
      </x:c>
    </x:row>
    <x:row r="485">
      <x:c r="A485" s="64" t="str">
        <x:v>​3097594111110717440</x:v>
      </x:c>
      <x:c r="B485" s="65" t="str">
        <x:v>中等题</x:v>
      </x:c>
      <x:c r="C485" s="65" t="str">
        <x:v>中等题</x:v>
      </x:c>
      <x:c r="D485" s="65" t="str">
        <x:v>中等题</x:v>
      </x:c>
      <x:c r="E485" s="65" t="str">
        <x:v>保留原GPT裁定</x:v>
      </x:c>
      <x:c r="F485" s="65" t="str">
        <x:v>高</x:v>
      </x:c>
      <x:c r="G485" s="65" t="str">
        <x:v>基础题</x:v>
      </x:c>
      <x:c r="H485" s="65" t="str">
        <x:v>中等题</x:v>
      </x:c>
      <x:c r="I485" s="65" t="str">
        <x:v>题干、解析与结构证据支持中等题：step=3-5步，题型=概念判断，状态=单状态，约束=单一约束，推理=多层因果推理。教师、盲评和多次模型证据中未形成足以推翻原裁定的同向结构证据。</x:v>
      </x:c>
      <x:c r="J485" s="65" t="str">
        <x:v>未进入三次错题并集；逐题结构一致性复核</x:v>
      </x:c>
      <x:c r="K485" s="63" t="str">
        <x:v>如图所示的电路中，甲灯泡比乙灯泡亮。则下列描述中正确的是（ ）</x:v>
      </x:c>
      <x:c r="L485" s="63" t="str">
        <x:v>A. I甲＞I乙 B. U甲＞U乙 C. P甲＞P乙 D. R甲＞R乙</x:v>
      </x:c>
      <x:c r="M485" s="63" t="str">
        <x:v>解： CD、因为甲灯泡比乙灯泡亮，所以甲的实际功率大于乙灯的实际功率，即P甲＞P乙，由P=I2R可得：R甲＞R乙，故CD正确。 AB、根据串联分压的特点：$\frac{{U}_{甲}}{{R}_{甲}}$=$\frac{{U}_{乙}}{{R}_{乙}}$，故U甲＞U乙，故B正确。 两灯是串联关系；则I甲=I乙，故A错误。 故选：BCD。</x:v>
      </x:c>
      <x:c r="N485" s="63" t="str">
        <x:v>https://k12static.xdf.cn/k12/image/externalized/e5d4b3ee-e6b6-42e8-be8c-bb6b03540cda.png</x:v>
      </x:c>
      <x:c r="O485" s="63" t="str">
        <x:v>https://k12static.xdf.cn/k12/image/externalized/7ec0951c-505a-46cd-95d7-0400c9d89c5b.png</x:v>
      </x:c>
      <x:c r="P485" s="63" t="str">
        <x:v>3-5步</x:v>
      </x:c>
      <x:c r="Q485" s="63" t="str">
        <x:v>概念判断</x:v>
      </x:c>
      <x:c r="R485" s="63" t="str">
        <x:v>单状态</x:v>
      </x:c>
      <x:c r="S485" s="63" t="str">
        <x:v>单一约束</x:v>
      </x:c>
      <x:c r="T485" s="63" t="str">
        <x:v>无</x:v>
      </x:c>
      <x:c r="U485" s="63" t="str">
        <x:v>无</x:v>
      </x:c>
      <x:c r="V485" s="63" t="str">
        <x:v>多层因果推理</x:v>
      </x:c>
    </x:row>
    <x:row r="486">
      <x:c r="A486" s="64" t="str">
        <x:v>​3100556342840102912</x:v>
      </x:c>
      <x:c r="B486" s="65" t="str">
        <x:v>压轴题</x:v>
      </x:c>
      <x:c r="C486" s="65" t="str">
        <x:v>压轴题</x:v>
      </x:c>
      <x:c r="D486" s="65" t="str">
        <x:v>压轴题</x:v>
      </x:c>
      <x:c r="E486" s="65" t="str">
        <x:v>逐题复核后保留GPT裁定</x:v>
      </x:c>
      <x:c r="F486" s="65" t="str">
        <x:v>高</x:v>
      </x:c>
      <x:c r="G486" s="65" t="str">
        <x:v>压轴题</x:v>
      </x:c>
      <x:c r="H486" s="65" t="str">
        <x:v>压轴题</x:v>
      </x:c>
      <x:c r="I486" s="65" t="str">
        <x:v>题目把电路状态、图线/参数与安全约束组织成多对象、多状态、多约束的共享模型网络，后续任务依赖前述状态/参数，并要求分类、临界/边界、有效解筛选或可行性验证，属于7步以上的完整耦合链。</x:v>
      </x:c>
      <x:c r="J486" s="65" t="str">
        <x:v>三次运行错题并集逐题复核</x:v>
      </x:c>
      <x:c r="K486" s="63" t="str">
        <x:v>如图甲，电源电压恒为16V，灯泡L正常发光时的电压为6V，灯泡L的电流与两端电压的关系如图乙。滑动变阻器，R1上标有&amp;ldquo;50&amp;Omega; 2A&amp;rdquo;，R2为定值电阻，电流表量程为0～3A。当闭合开关S2，断开开关S1、S3时，灯泡L正常发光。求： （1）定值电阻R2的阻值； （2）闭合开关S3，断开开关S1、S2时，当灯泡消耗的功率为1.2W，则滑动变阻器R1连入电路中的电阻为多少？ （3）在确保电路安全的情况下，电路允许消耗的最大功率为多少？</x:v>
      </x:c>
      <x:c r="L486" s="63" t="str"/>
      <x:c r="M486" s="63" t="str">
        <x:v>解：（1）由图乙知，当灯泡两端的电压为6V时，通过灯的电流为0.5A； 根据电路图可知，闭合开关S2，断开开关S1、S3时，灯泡与R2串联，电流表A测量电路电流； 因灯泡正常发光，所以电路中的电流：I＝IL＝0.5A， 因串联电路两端电压等于各部分电压之和，所以定值电阻R2两端电压： U2＝U﹣UL＝16V﹣6V＝10V， 由I＝可得R2的阻值：R2＝＝＝20&amp;Omega;； （2）当闭合开关S3，断开开关S1、S2时，灯泡与变阻器R1串联， 根据图象可知：灯泡两端的电压为3V，通过灯泡的电流为0.4A时，灯泡消耗的功率为1.2W， 根据因串联电路中各处的电流相等，则电路中电流：I&amp;prime;＝IL&amp;prime;＝0.4A， 因串联电路中总电压等于各分电压之和， 所以，滑动变阻器两端的电压： U1＝U﹣UL&amp;prime;＝16V﹣3V＝13V， 由I＝可得滑动变阻器R1连入电路中的电阻： R1＝＝＝32.5&amp;Omega;； （3）由电路图可知，当开关S1、S2、S3均闭合时，R1、R2并联，电流表测量干路电流； 通过R2的电流：I2＝＝＝0.8A， 由于滑动变阻器R1上标有&amp;ldquo;50&amp;Omega; 2A&amp;rdquo;，所以，当通过R1的最大电流：I1大＝2A时， 干路电流：I＝I1大+I2＝2A+0.8A＝2.8A＜3A， 因电流表A的量程为0～3A，所以，干路电流最大为：I最大＝I＝2.8A， 则电路允许消耗的最大功率：P最大＝UI最大＝16V&amp;times;2.8A＝44.8W。 答：（1）定值电阻R2的阻值为20&amp;Omega;； （2）闭合开关S3，断开开关S1、S2时，当灯泡消耗的功率为1.2W，滑动变阻器R1连入电路中的电阻为32.5&amp;Omega;； （3）在确保电路安全的情况下，电路允许消耗的最大功率为44.8W。</x:v>
      </x:c>
      <x:c r="N486" s="63" t="str">
        <x:v>https://k12static.xdf.cn/k12/image/externalized/9a65ee92-a208-46ef-a74f-bc3f54053d6e.png</x:v>
      </x:c>
      <x:c r="O486" s="63" t="str">
        <x:v>https://k12static.xdf.cn/k12/image/externalized/264e208e-2fc8-49fd-a28f-d04ca5d23de8.png</x:v>
      </x:c>
      <x:c r="P486" s="63" t="str">
        <x:v>3-5步</x:v>
      </x:c>
      <x:c r="Q486" s="63" t="str">
        <x:v>电路综合</x:v>
      </x:c>
      <x:c r="R486" s="63" t="str">
        <x:v>单状态</x:v>
      </x:c>
      <x:c r="S486" s="63" t="str">
        <x:v>单一约束</x:v>
      </x:c>
      <x:c r="T486" s="63" t="str">
        <x:v>无</x:v>
      </x:c>
      <x:c r="U486" s="63" t="str">
        <x:v>直接读数</x:v>
      </x:c>
      <x:c r="V486" s="63" t="str">
        <x:v>多层因果推理</x:v>
      </x:c>
    </x:row>
    <x:row r="487">
      <x:c r="A487" s="64" t="str">
        <x:v>​3106679722829447168</x:v>
      </x:c>
      <x:c r="B487" s="65" t="str">
        <x:v>中等题</x:v>
      </x:c>
      <x:c r="C487" s="65" t="str">
        <x:v>中等题</x:v>
      </x:c>
      <x:c r="D487" s="65" t="str">
        <x:v>中等题</x:v>
      </x:c>
      <x:c r="E487" s="65" t="str">
        <x:v>逐题复核后保留GPT裁定</x:v>
      </x:c>
      <x:c r="F487" s="65" t="str">
        <x:v>高</x:v>
      </x:c>
      <x:c r="G487" s="65" t="str">
        <x:v>基础题</x:v>
      </x:c>
      <x:c r="H487" s="65" t="str">
        <x:v>中等题</x:v>
      </x:c>
      <x:c r="I487" s="65" t="str">
        <x:v>存在约3—4步常规连续分析、共享过程或完整标准实验任务，关系仍显性。 题目证据：原标偏低。最长有效链为1-2步、题型为概念判断、涉及多状态、推理为简单因果推理；实际任务已超过基础题所允许的直接识别/显性应用范围，裁定为中等题。 复核证据：独立盲评与三次模型中有3/4支持中等题。</x:v>
      </x:c>
      <x:c r="J487" s="65" t="str">
        <x:v>三次运行错题并集逐题复核</x:v>
      </x:c>
      <x:c r="K487" s="63" t="str">
        <x:v>2024年11月4日，我国神舟十八号载人飞船返回舱进入大气层后，关闭发动机后先加速下降一段距离，再打开降落伞减速下降，在距离地面约1m时反推发动机点火缓冲，在东风着陆场成功着陆，如图所示。关于返回舱降落的过程，下列说法正确的是（ ）</x:v>
      </x:c>
      <x:c r="L487" s="63" t="str">
        <x:v>A. 加速下降阶段，返回舱的机械能变小 B. 减速下降阶段，返回舱的重力势能转化为动能 C. 点火缓冲阶段，返回舱的重力势能不变 D. 点火缓冲阶段，返回舱的动能增加</x:v>
      </x:c>
      <x:c r="M487" s="63" t="str">
        <x:v>解：A、加速下降阶段，返回舱的速度增大，动能增大，高度降低，重力势能减小。由于返回舱与大气层摩擦生热，部分机械能转化为内能，所以机械能变小，故A正确。 B、减速下降阶段，返回舱的速度减小，动能减小，高度降低，重力势能减小，是机械能转化为内能，而不是重力势能转化为动能，故B错误。 C、点火缓冲阶段，返回舱的高度降低，质量不变，重力势能减小，故C错误。 D、点火缓冲阶段，返回舱的速度减小，质量不变，动能减小，故D错误。 故选：A。</x:v>
      </x:c>
      <x:c r="N487" s="63" t="str">
        <x:v>https://k12static.xdf.cn/k12/image/externalized/702995a6-ab22-4b8d-9c77-ae7f8f3d9133.png</x:v>
      </x:c>
      <x:c r="O487" s="63" t="str">
        <x:v>https://k12static.xdf.cn/k12/image/externalized/9d5e765c-22dd-4141-b9fc-fffd1cd34567.png</x:v>
      </x:c>
      <x:c r="P487" s="63" t="str">
        <x:v>1-2步</x:v>
      </x:c>
      <x:c r="Q487" s="63" t="str">
        <x:v>概念判断</x:v>
      </x:c>
      <x:c r="R487" s="63" t="str">
        <x:v>多状态</x:v>
      </x:c>
      <x:c r="S487" s="63" t="str">
        <x:v>无约束</x:v>
      </x:c>
      <x:c r="T487" s="63" t="str">
        <x:v>无</x:v>
      </x:c>
      <x:c r="U487" s="63" t="str">
        <x:v>无</x:v>
      </x:c>
      <x:c r="V487" s="63" t="str">
        <x:v>简单因果推理</x:v>
      </x:c>
    </x:row>
    <x:row r="488">
      <x:c r="A488" s="64" t="str">
        <x:v>​3113648620401074176</x:v>
      </x:c>
      <x:c r="B488" s="65" t="str">
        <x:v>基础题</x:v>
      </x:c>
      <x:c r="C488" s="65" t="str">
        <x:v>基础题</x:v>
      </x:c>
      <x:c r="D488" s="65" t="str">
        <x:v>基础题</x:v>
      </x:c>
      <x:c r="E488" s="65" t="str">
        <x:v>保留原GPT裁定</x:v>
      </x:c>
      <x:c r="F488" s="65" t="str">
        <x:v>高</x:v>
      </x:c>
      <x:c r="G488" s="65" t="str">
        <x:v>基础题</x:v>
      </x:c>
      <x:c r="H488" s="65" t="str">
        <x:v>中等题</x:v>
      </x:c>
      <x:c r="I488" s="65" t="str">
        <x:v>题干、解析与结构证据支持基础题：step=1-2步，题型=概念判断，状态=单状态，约束=无约束，推理=简单因果推理。教师、盲评和多次模型证据中未形成足以推翻原裁定的同向结构证据。</x:v>
      </x:c>
      <x:c r="J488" s="65" t="str">
        <x:v>未进入三次错题并集；逐题结构一致性复核</x:v>
      </x:c>
      <x:c r="K488" s="63" t="str">
        <x:v>《哪吒2》打破票房纪录，成为全球动画电影史上的里程碑。哪吒利用“水导电、冰不导电”与化身为电的对手切磋武艺。下列关于水结冰的描述错误的是（ ）</x:v>
      </x:c>
      <x:c r="L488" s="63" t="str">
        <x:v>A. 水结冰的物态变化是凝固 B. 水结冰的过程需要吸收热量 C. 水结冰的过程中水分子的无规则运动变慢 D. 图像中从A点到B点，内能减少</x:v>
      </x:c>
      <x:c r="M488" s="63" t="str">
        <x:v>AB．水结冰是水由液态变成固态，发生凝固现象，凝固放热，故A正确，不符合题意，B错误，符合题意；C．分子无规则运动的剧烈程度与温度有关，水结冰的过程中，温度不变，水分子的无规则运动不会变慢，故C错误，符合题意；D．图像中从A点到B点，是凝固过程，温度不变，放出热量，内能减少，故D正确，不符合题意。故选BC。</x:v>
      </x:c>
      <x:c r="N488" s="63" t="str">
        <x:v>https://k12static.xdf.cn/k12/image/externalized/df0bbb11-ea89-4999-860c-debab52da0f5.png</x:v>
      </x:c>
      <x:c r="O488" s="63" t="str">
        <x:v>https://k12static.xdf.cn/k12/image/externalized/b0d131d8-f439-4b66-9cdb-b9b76e96ccd8.png</x:v>
      </x:c>
      <x:c r="P488" s="63" t="str">
        <x:v>1-2步</x:v>
      </x:c>
      <x:c r="Q488" s="63" t="str">
        <x:v>概念判断</x:v>
      </x:c>
      <x:c r="R488" s="63" t="str">
        <x:v>单状态</x:v>
      </x:c>
      <x:c r="S488" s="63" t="str">
        <x:v>无约束</x:v>
      </x:c>
      <x:c r="T488" s="63" t="str">
        <x:v>无</x:v>
      </x:c>
      <x:c r="U488" s="63" t="str">
        <x:v>无</x:v>
      </x:c>
      <x:c r="V488" s="63" t="str">
        <x:v>简单因果推理</x:v>
      </x:c>
    </x:row>
    <x:row r="489">
      <x:c r="A489" s="64" t="str">
        <x:v>​3116720459695362048</x:v>
      </x:c>
      <x:c r="B489" s="65" t="str">
        <x:v>基础题</x:v>
      </x:c>
      <x:c r="C489" s="65" t="str">
        <x:v>基础题</x:v>
      </x:c>
      <x:c r="D489" s="65" t="str">
        <x:v>基础题</x:v>
      </x:c>
      <x:c r="E489" s="65" t="str">
        <x:v>保留原GPT裁定</x:v>
      </x:c>
      <x:c r="F489" s="65" t="str">
        <x:v>高</x:v>
      </x:c>
      <x:c r="G489" s="65" t="str">
        <x:v>送分题</x:v>
      </x:c>
      <x:c r="H489" s="65" t="str">
        <x:v>基础题</x:v>
      </x:c>
      <x:c r="I489" s="65" t="str">
        <x:v>题干、解析与结构证据支持基础题：step=1-2步，题型=概念判断，状态=单状态，约束=无约束，推理=简单因果推理。教师、盲评和多次模型证据中未形成足以推翻原裁定的同向结构证据。</x:v>
      </x:c>
      <x:c r="J489" s="65" t="str">
        <x:v>未进入三次错题并集；逐题结构一致性复核</x:v>
      </x:c>
      <x:c r="K489" s="63" t="str">
        <x:v>下列关于电和磁的描述不正确的是（ ）</x:v>
      </x:c>
      <x:c r="L489" s="63" t="str">
        <x:v>A. 图甲：“天算”卫星靠电磁波高速互联 B. 图乙：根据该实验装置的原理制成了电动机 C. 图丙：油罐车后挂有铁链与地面相连，是为了防止静电带来的危害 D. 图丁：用毛皮摩擦过的橡胶棒接触验电器的金属球时，金属箔张开且带负电</x:v>
      </x:c>
      <x:c r="M489" s="63" t="str">
        <x:v>A．图甲中"天算"卫星通过电磁波进行高速数据传输，这是现代通信卫星的常用方式，故A正确，不符合题意；B．图乙展示的是电磁感应实验装置，其原理是法拉第电磁感应定律，根据该原理制成的是发电机而非电动机，故B错误，符合题意；C．图丙中油罐车后挂的铁链可将运输过程中产生的静电导入大地，避免静电积累引发危险，故C正确，不符合题意；D．图丁中用毛皮摩擦过的橡胶棒带负电，接触验电器后会使金属箔带上同种电荷而张开，故D正确，不符合题意。 故选B。</x:v>
      </x:c>
      <x:c r="N489" s="63" t="str">
        <x:v>https://k12static.xdf.cn/k12/image/externalized/6a136894-fdeb-47bf-9dc2-989342daee0a.png</x:v>
      </x:c>
      <x:c r="O489" s="63" t="str">
        <x:v>https://k12static.xdf.cn/k12/image/externalized/58008aaa-3e59-401d-b4da-2765c3032fab.png</x:v>
      </x:c>
      <x:c r="P489" s="63" t="str">
        <x:v>1-2步</x:v>
      </x:c>
      <x:c r="Q489" s="63" t="str">
        <x:v>概念判断</x:v>
      </x:c>
      <x:c r="R489" s="63" t="str">
        <x:v>单状态</x:v>
      </x:c>
      <x:c r="S489" s="63" t="str">
        <x:v>无约束</x:v>
      </x:c>
      <x:c r="T489" s="63" t="str">
        <x:v>无</x:v>
      </x:c>
      <x:c r="U489" s="63" t="str">
        <x:v>无</x:v>
      </x:c>
      <x:c r="V489" s="63" t="str">
        <x:v>简单因果推理</x:v>
      </x:c>
    </x:row>
    <x:row r="490">
      <x:c r="A490" s="64" t="str">
        <x:v>​3122915394017906688</x:v>
      </x:c>
      <x:c r="B490" s="65" t="str">
        <x:v>中等题</x:v>
      </x:c>
      <x:c r="C490" s="65" t="str">
        <x:v>中等题</x:v>
      </x:c>
      <x:c r="D490" s="65" t="str">
        <x:v>中等题</x:v>
      </x:c>
      <x:c r="E490" s="65" t="str">
        <x:v>保留原GPT裁定</x:v>
      </x:c>
      <x:c r="F490" s="65" t="str">
        <x:v>高</x:v>
      </x:c>
      <x:c r="G490" s="65" t="str">
        <x:v>基础题</x:v>
      </x:c>
      <x:c r="H490" s="65" t="str">
        <x:v>中等题</x:v>
      </x:c>
      <x:c r="I490" s="65" t="str">
        <x:v>题干、解析与结构证据支持中等题：step=1-2步，题型=概念判断，状态=单状态，约束=无约束，推理=多层因果推理。教师、盲评和多次模型证据中未形成足以推翻原裁定的同向结构证据。</x:v>
      </x:c>
      <x:c r="J490" s="65" t="str">
        <x:v>未进入三次错题并集；逐题结构一致性复核</x:v>
      </x:c>
      <x:c r="K490" s="63" t="str">
        <x:v>如图所示，手提保温瓶在空中静止不动，下列说法正确的是（ ）</x:v>
      </x:c>
      <x:c r="L490" s="63" t="str">
        <x:v>A. 若要增大甲图瓶子受到的摩擦力．可戴上防滑手套 B. 若要增大甲图瓶子受到的摩擦力，可往瓶加水 C. 若要增大甲图瓶子受到的摩擦力，可增大手对瓶的握力 D. 对比图甲图乙两种不同握瓶方式，甲瓶受到的摩擦力较大</x:v>
      </x:c>
      <x:c r="M490" s="63" t="str">
        <x:v>A．戴上防滑手套是通过增大接触面的粗糙程度来增大最大静摩擦力，但在瓶子静止不动时，瓶子受到的摩擦力是静摩擦力，其大小始终等于瓶子的重力，与接触面的粗糙程度无关。所以戴上防滑手套不能增大瓶子受到的摩擦力，故A错误；B．往瓶中加水，瓶子的重力增大。因为瓶子在空中静止不动，处于平衡状态，在竖直方向上受到的重力和摩擦力是一对平衡力，大小相等。所以瓶子的重力增大时，摩擦力也会随之增大，故B正确。C．在瓶子静止不动时，瓶子受到的摩擦力是静摩擦力，其大小始终等于瓶子的重力，与手对瓶的握力无关。增大手对瓶的握力，只能增大最大静摩擦力，但不能增大此时瓶子受到的静摩擦力，故C错误；D．无论是图甲还是图乙的握瓶方式，瓶子都处于静止状态，在竖直方向上受到的重力和摩擦力是一对平衡力，大小相等。因为瓶子的重力不变，所以两种握法中瓶子受到的摩擦力大小相等，故D错误。故选B。</x:v>
      </x:c>
      <x:c r="N490" s="63" t="str">
        <x:v>https://k12static.xdf.cn/k12/image/externalized/b9072281-ace5-4f4f-92b2-f946189c2a46.png</x:v>
      </x:c>
      <x:c r="O490" s="63" t="str">
        <x:v>https://k12static.xdf.cn/k12/image/externalized/20752409-6732-46ab-9fc5-b23fc5d449e6.png</x:v>
      </x:c>
      <x:c r="P490" s="63" t="str">
        <x:v>1-2步</x:v>
      </x:c>
      <x:c r="Q490" s="63" t="str">
        <x:v>概念判断</x:v>
      </x:c>
      <x:c r="R490" s="63" t="str">
        <x:v>单状态</x:v>
      </x:c>
      <x:c r="S490" s="63" t="str">
        <x:v>无约束</x:v>
      </x:c>
      <x:c r="T490" s="63" t="str">
        <x:v>无</x:v>
      </x:c>
      <x:c r="U490" s="63" t="str">
        <x:v>无</x:v>
      </x:c>
      <x:c r="V490" s="63" t="str">
        <x:v>多层因果推理</x:v>
      </x:c>
    </x:row>
    <x:row r="491">
      <x:c r="A491" s="64" t="str">
        <x:v>​3128366280143347712</x:v>
      </x:c>
      <x:c r="B491" s="65" t="str">
        <x:v>拔高题</x:v>
      </x:c>
      <x:c r="C491" s="65" t="str">
        <x:v>拔高题</x:v>
      </x:c>
      <x:c r="D491" s="65" t="str">
        <x:v>拔高题</x:v>
      </x:c>
      <x:c r="E491" s="65" t="str">
        <x:v>保留原GPT裁定</x:v>
      </x:c>
      <x:c r="F491" s="65" t="str">
        <x:v>中</x:v>
      </x:c>
      <x:c r="G491" s="65" t="str">
        <x:v>拔高题</x:v>
      </x:c>
      <x:c r="H491" s="65" t="str">
        <x:v>压轴题</x:v>
      </x:c>
      <x:c r="I491" s="65" t="str">
        <x:v>题干、解析与结构证据支持拔高题：step=3-5步，题型=跨模块综合，状态=双状态，约束=单一约束，推理=多层因果推理。教师、盲评和多次模型证据中未形成足以推翻原裁定的同向结构证据。</x:v>
      </x:c>
      <x:c r="J491" s="65" t="str">
        <x:v>未进入三次错题并集；逐题结构一致性复核</x:v>
      </x:c>
      <x:c r="K491" s="63" t="str">
        <x:v>降水量是指一段时间内，雨水（或融化后的固体降水）未经蒸发、渗透和流失所积聚起来的水层深度。为了监测降水量，科创小组制作了“翻斗式雨量计”，装置外观是上端开口的圆柱体，如图1甲。内部结构示意图如图1乙。装置核心部件如图1丙，它是用中间隔板分开的两个完全对称的三角形容器，可绕O点处的水平轴转动，从而使两侧容器轮流接水，当一侧容器接满10mL雨水时会发生翻转，将水倒出，随着降雨持续，翻斗左右翻转，过程如图1丁。磁铁与配重通过连杆安装在翻斗上并随翻斗左右摆动，当磁铁经过磁感应开关（两者相互作用力忽略不计）时，磁感应开关通过电流传感器将翻斗翻转信息变成电信号，从而推算降水量。</x:v>
      </x:c>
      <x:c r="L491" s="63" t="str"/>
      <x:c r="M491" s="63" t="str"/>
      <x:c r="N491" s="63" t="str">
        <x:v>https://k12static.xdf.cn/k12/image/externalized/75d6e6bb-40cf-48f0-b7db-c18d9f26ca6c.png</x:v>
      </x:c>
      <x:c r="O491" s="63" t="str">
        <x:v>https://k12static.xdf.cn/k12/image/externalized/f951e029-1ca4-4adf-b2b8-b371cd528389.png</x:v>
      </x:c>
      <x:c r="P491" s="63" t="str">
        <x:v>3-5步</x:v>
      </x:c>
      <x:c r="Q491" s="63" t="str">
        <x:v>跨模块综合</x:v>
      </x:c>
      <x:c r="R491" s="63" t="str">
        <x:v>双状态</x:v>
      </x:c>
      <x:c r="S491" s="63" t="str">
        <x:v>单一约束</x:v>
      </x:c>
      <x:c r="T491" s="63" t="str">
        <x:v>方案设计或误差评价</x:v>
      </x:c>
      <x:c r="U491" s="63" t="str">
        <x:v>多组比较归纳</x:v>
      </x:c>
      <x:c r="V491" s="63" t="str">
        <x:v>多层因果推理</x:v>
      </x:c>
    </x:row>
    <x:row r="492">
      <x:c r="A492" s="64" t="str">
        <x:v>​3134149821527539712</x:v>
      </x:c>
      <x:c r="B492" s="65" t="str">
        <x:v>拔高题</x:v>
      </x:c>
      <x:c r="C492" s="65" t="str">
        <x:v>拔高题</x:v>
      </x:c>
      <x:c r="D492" s="65" t="str">
        <x:v>拔高题</x:v>
      </x:c>
      <x:c r="E492" s="65" t="str">
        <x:v>逐题复核后保留GPT裁定</x:v>
      </x:c>
      <x:c r="F492" s="65" t="str">
        <x:v>中</x:v>
      </x:c>
      <x:c r="G492" s="65" t="str">
        <x:v>拔高题</x:v>
      </x:c>
      <x:c r="H492" s="65" t="str">
        <x:v>压轴题</x:v>
      </x:c>
      <x:c r="I492" s="65" t="str">
        <x:v>存在决定性反推/等效/误差/几何转换，或同一装置中的5—6步高密度综合链。 题目证据：整题四个小问，前两问为基础概念识别，最高难第四问实际有效物理决策共5步：1.根据重力势能减少量和转化效率计算充电获得的电能；2.结合A点初始储能判断蓄电池最终可储存的最大能量；3.计算终止巡检时可用于水平巡检的有效能量；4.根据重力计算水平巡检的阻力；5.利用功的公式计算最大路程。五维锚定：知识量跨电磁学和力学两个模块，包含4个以上关联知识点；过程/对象分为下坡充电和水平巡检两个状态；数学工具为多步单位换算和多公式串联应用；情境为半陌生的巡检机器人实际应用，需要提取有效信息；思维层次为综合应用。整题多问相互独立，最</x:v>
      </x:c>
      <x:c r="J492" s="65" t="str">
        <x:v>三次运行错题并集逐题复核</x:v>
      </x:c>
      <x:c r="K492" s="63" t="str">
        <x:v>巡检机器人可对高压输电线进行巡检，如图，其相关参数见表。机器人的电机可切换为电动机或发电机。水平匀速巡检时，蓄电池减少的储能全部用于电机产生的牵引力做功。当蓄电池储能降至0.1E0时，停止电能输出，巡检终止。下坡巡检时，电机可将重力势能转化为电能并为蓄电池充电，将能量储存起来。质量$m_{0}$54kg最大巡检速度$v_{0}$4$\mathrm{km}\cdot \mathrm{h}^{-1}$蓄电池满电时储能$E_{0}$0.2kW·h电动机最大输出功率$P_{0}$100W</x:v>
      </x:c>
      <x:c r="L492" s="63" t="str"/>
      <x:c r="M492" s="63" t="str"/>
      <x:c r="N492" s="63" t="str">
        <x:v>https://k12static.xdf.cn/k12/image/externalized/f45e5e85-34cc-4621-8e54-fcef987f572d.png</x:v>
      </x:c>
      <x:c r="O492" s="63" t="str">
        <x:v>https://k12static.xdf.cn/k12/image/externalized/7edd7d2b-bf25-49df-9876-7c0cb7d77edf.png</x:v>
      </x:c>
      <x:c r="P492" s="63" t="str">
        <x:v>3-5步</x:v>
      </x:c>
      <x:c r="Q492" s="63" t="str">
        <x:v>跨模块综合</x:v>
      </x:c>
      <x:c r="R492" s="63" t="str">
        <x:v>单状态</x:v>
      </x:c>
      <x:c r="S492" s="63" t="str">
        <x:v>单一约束</x:v>
      </x:c>
      <x:c r="T492" s="63" t="str">
        <x:v>无</x:v>
      </x:c>
      <x:c r="U492" s="63" t="str">
        <x:v>无</x:v>
      </x:c>
      <x:c r="V492" s="63" t="str">
        <x:v>多层因果推理</x:v>
      </x:c>
    </x:row>
    <x:row r="493">
      <x:c r="A493" s="64" t="str">
        <x:v>​3135600633076301824</x:v>
      </x:c>
      <x:c r="B493" s="65" t="str">
        <x:v>中等题</x:v>
      </x:c>
      <x:c r="C493" s="65" t="str">
        <x:v>中等题</x:v>
      </x:c>
      <x:c r="D493" s="65" t="str">
        <x:v>中等题</x:v>
      </x:c>
      <x:c r="E493" s="65" t="str">
        <x:v>保留原GPT裁定</x:v>
      </x:c>
      <x:c r="F493" s="65" t="str">
        <x:v>高</x:v>
      </x:c>
      <x:c r="G493" s="65" t="str">
        <x:v>中等题</x:v>
      </x:c>
      <x:c r="H493" s="65" t="str">
        <x:v>基础题</x:v>
      </x:c>
      <x:c r="I493" s="65" t="str">
        <x:v>题干、解析与结构证据支持中等题：step=3-5步，题型=图像表格分析，状态=双状态，约束=无约束，推理=多层因果推理。教师、盲评和多次模型证据中未形成足以推翻原裁定的同向结构证据。</x:v>
      </x:c>
      <x:c r="J493" s="65" t="str">
        <x:v>未进入三次错题并集；逐题结构一致性复核</x:v>
      </x:c>
      <x:c r="K493" s="63" t="str">
        <x:v>甲、乙两辆车同时从同地向东做直线运动，它们的$s-t$图像如图所示．由图像可知（ ）</x:v>
      </x:c>
      <x:c r="L493" s="63" t="str">
        <x:v>A. 在第$15\mathrm{s}$末时两车的速度相等 B. $10\sim 20\mathrm{s}$时，甲车做匀速直线运动 C. 甲车在前$20\mathrm{s}$内的平均速度是$18\mathrm{km}/\mathrm{h}$ D. $0\sim 10\mathrm{s}$两车都做匀速直线运动，且乙更快</x:v>
      </x:c>
      <x:c r="M493" s="63" t="str">
        <x:v>A．由图可知，在第10~20min内，甲车的运动路程没有发生变化，甲车的运动状态是静止的，所以在15min末甲车的速度为0，而乙车在做匀速直线运动，速度不为0，所以在第15s末时两车的速度不相等，故A不符合题意；B．由图可知，在第10~20min内，甲车的运动路程没有发生变化，甲车的运动状态是静止的，故B不符合题意；C．由图可知，甲车前10min分钟内行驶的路程为100m，第10~20min内的路程为0m，所以前20s内的路程为100m，根据公式$v=\dfrac{s}{t}$可知，甲车在前20S内的平均速度为$v_{\mathrm{甲}}=\dfrac{s_{\mathrm{甲}}}{t_{\mathrm{甲}}}=\dfrac{100\mathrm{m}}{20\mathrm{s}}=5\mathrm{m}/\mathrm{s}=18\mathrm{km}/\mathrm{h}$故C符合题意；D．由图可知，在0~10s内，甲、乙图像都是过原点的直线，所以两车都在匀速直线运动，但在相同时间内，甲行驶的路程大于乙，根据公式可知，甲的速度更快，故D不符合题意。故选C。</x:v>
      </x:c>
      <x:c r="N493" s="63" t="str">
        <x:v>https://k12static.xdf.cn/k12/image/externalized/7e8a580b-3767-47ab-a9b2-84fedcd4e3ad.png</x:v>
      </x:c>
      <x:c r="O493" s="63" t="str">
        <x:v>https://k12static.xdf.cn/k12/image/externalized/d746938f-f3fb-4dc4-b16c-5a5f6b699c10.png</x:v>
      </x:c>
      <x:c r="P493" s="63" t="str">
        <x:v>3-5步</x:v>
      </x:c>
      <x:c r="Q493" s="63" t="str">
        <x:v>图像表格分析</x:v>
      </x:c>
      <x:c r="R493" s="63" t="str">
        <x:v>双状态</x:v>
      </x:c>
      <x:c r="S493" s="63" t="str">
        <x:v>无约束</x:v>
      </x:c>
      <x:c r="T493" s="63" t="str">
        <x:v>无</x:v>
      </x:c>
      <x:c r="U493" s="63" t="str">
        <x:v>多组比较归纳</x:v>
      </x:c>
      <x:c r="V493" s="63" t="str">
        <x:v>多层因果推理</x:v>
      </x:c>
    </x:row>
    <x:row r="494">
      <x:c r="A494" s="64" t="str">
        <x:v>​3136008017787535360</x:v>
      </x:c>
      <x:c r="B494" s="65" t="str">
        <x:v>中等题</x:v>
      </x:c>
      <x:c r="C494" s="65" t="str">
        <x:v>中等题</x:v>
      </x:c>
      <x:c r="D494" s="65" t="str">
        <x:v>中等题</x:v>
      </x:c>
      <x:c r="E494" s="65" t="str">
        <x:v>保留原GPT裁定</x:v>
      </x:c>
      <x:c r="F494" s="65" t="str">
        <x:v>高</x:v>
      </x:c>
      <x:c r="G494" s="65" t="str">
        <x:v>中等题</x:v>
      </x:c>
      <x:c r="H494" s="65" t="str">
        <x:v>拔高题</x:v>
      </x:c>
      <x:c r="I494" s="65" t="str">
        <x:v>题干、解析与结构证据支持中等题：step=3-5步，题型=热学综合，状态=单状态，约束=无约束，推理=多层因果推理。教师、盲评和多次模型证据中未形成足以推翻原裁定的同向结构证据。</x:v>
      </x:c>
      <x:c r="J494" s="65" t="str">
        <x:v>未进入三次错题并集；逐题结构一致性复核</x:v>
      </x:c>
      <x:c r="K494" s="63" t="str">
        <x:v>2025年5月15日，全国最大光伏能源$+\mathrm{LNG}$双燃料汽车运输船，在广州南沙正式命名为“远海口”轮，并交付首航，如图所示。该船采用先进$\mathrm{LNG}$（液化天然气）双燃料主机，日常运行时，使用天然气，燃油作为应急补充。该船还配备峰值输出功率302.8千瓦的分布式太阳能光伏并网系统，为目前同类船舶装载的最大光伏发电系统。</x:v>
      </x:c>
      <x:c r="L494" s="63" t="str"/>
      <x:c r="M494" s="63" t="str"/>
      <x:c r="N494" s="63" t="str">
        <x:v>https://k12static.xdf.cn/k12/image/externalized/e35cc431-e174-4de7-b2df-f235bc071cab.png</x:v>
      </x:c>
      <x:c r="O494" s="63" t="str">
        <x:v>https://k12static.xdf.cn/k12/image/externalized/a9dcfbef-e270-48c3-b1ba-1940225862c0.png</x:v>
      </x:c>
      <x:c r="P494" s="63" t="str">
        <x:v>3-5步</x:v>
      </x:c>
      <x:c r="Q494" s="63" t="str">
        <x:v>热学综合</x:v>
      </x:c>
      <x:c r="R494" s="63" t="str">
        <x:v>单状态</x:v>
      </x:c>
      <x:c r="S494" s="63" t="str">
        <x:v>无约束</x:v>
      </x:c>
      <x:c r="T494" s="63" t="str">
        <x:v>无</x:v>
      </x:c>
      <x:c r="U494" s="63" t="str">
        <x:v>无</x:v>
      </x:c>
      <x:c r="V494" s="63" t="str">
        <x:v>多层因果推理</x:v>
      </x:c>
    </x:row>
    <x:row r="495">
      <x:c r="A495" s="64" t="str">
        <x:v>​3137131568584491008</x:v>
      </x:c>
      <x:c r="B495" s="65" t="str">
        <x:v>拔高题</x:v>
      </x:c>
      <x:c r="C495" s="65" t="str">
        <x:v>拔高题</x:v>
      </x:c>
      <x:c r="D495" s="65" t="str">
        <x:v>拔高题</x:v>
      </x:c>
      <x:c r="E495" s="65" t="str">
        <x:v>逐题复核后保留GPT裁定</x:v>
      </x:c>
      <x:c r="F495" s="65" t="str">
        <x:v>中</x:v>
      </x:c>
      <x:c r="G495" s="65" t="str">
        <x:v>拔高题</x:v>
      </x:c>
      <x:c r="H495" s="65" t="str">
        <x:v>压轴题</x:v>
      </x:c>
      <x:c r="I495" s="65" t="str">
        <x:v>存在决定性反推/等效/误差/几何转换，或同一装置中的5—6步高密度综合链。 题目证据：自动调整：teacher_medium_to_hard_decisive_transform；证据：综合模型；双状态以上；图像反推；多公式连续转换。最高难小问实际有效推理约3步，五维锚定落在基础/中等区间，最终判定为中等题。四个小问相互独立，任务覆盖串联电路欧姆定律应用、图像读数、电压表连接位置推理、量程安全分析和改进方案设计，包含常规分析和方案设计两个不同难度环节。</x:v>
      </x:c>
      <x:c r="J495" s="65" t="str">
        <x:v>三次运行错题并集逐题复核</x:v>
      </x:c>
      <x:c r="K495" s="63" t="str">
        <x:v>科技小组设计了一种测量风速大小的装置，主要结构如图甲所示，从电流表指针的刻度就可以知道风速的大小。电源电压恒为6V，滑动变阻器$R_{1}$的最大阻值为20Ω，$R_{2}=5\Omega$，电流表量程为0~0.6A。“T”型管道的竖直管内装有可上下自由移动的轻质活塞A，A和$R_{1}$的滑片相连，当风速变大时，活塞上方的气压变小，活塞向上移动，$R_{1}$的阻值随风速变化的关系如图乙所示．</x:v>
      </x:c>
      <x:c r="L495" s="63" t="str"/>
      <x:c r="M495" s="63" t="str"/>
      <x:c r="N495" s="63" t="str">
        <x:v>https://k12static.xdf.cn/k12/image/externalized/24c3933e-5b53-4082-8b27-8f8278a979c4.png</x:v>
      </x:c>
      <x:c r="O495" s="63" t="str">
        <x:v>https://k12static.xdf.cn/k12/image/externalized/7124594a-3af7-4715-ae5f-1822baff8458.png</x:v>
      </x:c>
      <x:c r="P495" s="63" t="str">
        <x:v>3-5步</x:v>
      </x:c>
      <x:c r="Q495" s="63" t="str">
        <x:v>电路综合</x:v>
      </x:c>
      <x:c r="R495" s="63" t="str">
        <x:v>单状态</x:v>
      </x:c>
      <x:c r="S495" s="63" t="str">
        <x:v>单一约束</x:v>
      </x:c>
      <x:c r="T495" s="63" t="str">
        <x:v>方案设计或误差评价</x:v>
      </x:c>
      <x:c r="U495" s="63" t="str">
        <x:v>直接读数</x:v>
      </x:c>
      <x:c r="V495" s="63" t="str">
        <x:v>多层因果推理</x:v>
      </x:c>
    </x:row>
    <x:row r="496">
      <x:c r="A496" s="64" t="str">
        <x:v>​3137315823756054528</x:v>
      </x:c>
      <x:c r="B496" s="65" t="str">
        <x:v>中等题</x:v>
      </x:c>
      <x:c r="C496" s="65" t="str">
        <x:v>中等题</x:v>
      </x:c>
      <x:c r="D496" s="65" t="str">
        <x:v>中等题</x:v>
      </x:c>
      <x:c r="E496" s="65" t="str">
        <x:v>保留原GPT裁定</x:v>
      </x:c>
      <x:c r="F496" s="65" t="str">
        <x:v>高</x:v>
      </x:c>
      <x:c r="G496" s="65" t="str">
        <x:v>拔高题</x:v>
      </x:c>
      <x:c r="H496" s="65" t="str">
        <x:v>中等题</x:v>
      </x:c>
      <x:c r="I496" s="65" t="str">
        <x:v>题干、解析与结构证据支持中等题：step=3-5步，题型=跨模块综合，状态=单状态，约束=无约束，推理=多层因果推理。教师、盲评和多次模型证据中未形成足以推翻原裁定的同向结构证据。</x:v>
      </x:c>
      <x:c r="J496" s="65" t="str">
        <x:v>未进入三次错题并集；逐题结构一致性复核</x:v>
      </x:c>
      <x:c r="K496" s="63" t="str">
        <x:v>如图，歼-20战机是我国自主研发的高隐身性、高态势感知、高机动性等能力的隐形第五代制空战斗机，肩负着我国对空、对海的主权维护任务。其机身利用高性能碳纤维复合材料，提高了抗疲劳、耐腐蚀等性能，同时降低了自重。若将一个边长分别为0.5m、0.4m、0.1m的长方体钢制零件用该复合材料零件替换，在体积不变的情况下，质量能减少122kg。已知钢的密度ρₐ=7.9×10³kg/m³，空气中声速为340m/s，求；（1）碳纤维复合材料的优点： ；（只写一点）（2）钢制零件的质量 ；（3）此碳纤维复合材料的密度 ；（4）五代机最显著的特征之一是超音速巡航能力。若某舰载五代机能以1.5马赫（1马赫即1倍声速）的速度巡航飞行20分钟。求其从航母甲板起飞后，保持超音速状态下，最大巡航半径是多少km ?（最大巡航半径指在同一地点作一次往返飞行所能到达最远距离）</x:v>
      </x:c>
      <x:c r="L496" s="63" t="str"/>
      <x:c r="M496" s="63" t="str">
        <x:v>（1）[1]由题意可知，碳纤维复合材料的优点有：抗疲劳、耐腐蚀等。（2）[2]钢零件的体积$V=0.5\times 0.4\times 0.1=0.02\mathrm{m}^{3}$钢制零件的质量$m_{\mathrm{钢}}=\rho _{\mathrm{a}}V=7.9\times 10^{3}\mathrm{kg}/\mathrm{m}^{3}\times 0.02\mathrm{m}^{3}=158\mathrm{kg}$（3）[3]因钢制零件用某种碳纤维复合材料零件替换时，在体积不变的情况下，质量减少了122kg，所以，此碳纤维复合材料零件的质量$m_{\mathrm{碳}}=m_{\mathrm{钢}}-\Delta m=158\mathrm{kg}-122\mathrm{kg}=36\mathrm{kg}$此碳纤维复合材料的密度$\rho =\dfrac{m_{\mathrm{碳}}}{V}=\dfrac{36\mathrm{kg}}{0.02\mathrm{m}^{3}}=1.8\times 10^{3}\mathrm{kg}/\mathrm{m}^{3}$（4）[4]由题知$v_{\mathrm{飞}}=1.5v_{\mathrm{声}}=1.5\times 340\mathrm{m}/\mathrm{s}=510\mathrm{m}/\mathrm{s}$根据速度公式得，飞机飞行的最大距离$s=v_{\mathrm{飞}}t=510\mathrm{m}/\mathrm{s}\times 20\times 60\mathrm{s}=6.12\times 10^{5}\mathrm{m}$因飞机还要返回航母，则飞机的作战半径$r=\dfrac{1}{2}s=\dfrac{1}{2}\times 6.12\times 10^{5}\mathrm{m}=3.06\times 10^{5}\mathrm{m}=306\mathrm{km}$</x:v>
      </x:c>
      <x:c r="N496" s="63" t="str">
        <x:v>https://k12static.xdf.cn/k12/image/externalized/19c305f0-b9ff-40d8-aadf-a2a24b67a993.png</x:v>
      </x:c>
      <x:c r="O496" s="63" t="str">
        <x:v>https://k12static.xdf.cn/k12/image/externalized/4ec61b55-f3d9-4be7-a21a-fb4eb5498107.png</x:v>
      </x:c>
      <x:c r="P496" s="63" t="str">
        <x:v>3-5步</x:v>
      </x:c>
      <x:c r="Q496" s="63" t="str">
        <x:v>跨模块综合</x:v>
      </x:c>
      <x:c r="R496" s="63" t="str">
        <x:v>单状态</x:v>
      </x:c>
      <x:c r="S496" s="63" t="str">
        <x:v>无约束</x:v>
      </x:c>
      <x:c r="T496" s="63" t="str">
        <x:v>无</x:v>
      </x:c>
      <x:c r="U496" s="63" t="str">
        <x:v>无</x:v>
      </x:c>
      <x:c r="V496" s="63" t="str">
        <x:v>多层因果推理</x:v>
      </x:c>
    </x:row>
    <x:row r="497">
      <x:c r="A497" s="64" t="str">
        <x:v>​3137330982791970816</x:v>
      </x:c>
      <x:c r="B497" s="65" t="str">
        <x:v>中等题</x:v>
      </x:c>
      <x:c r="C497" s="65" t="str">
        <x:v>中等题</x:v>
      </x:c>
      <x:c r="D497" s="65" t="str">
        <x:v>中等题</x:v>
      </x:c>
      <x:c r="E497" s="65" t="str">
        <x:v>保留原GPT裁定</x:v>
      </x:c>
      <x:c r="F497" s="65" t="str">
        <x:v>高</x:v>
      </x:c>
      <x:c r="G497" s="65" t="str">
        <x:v>中等题</x:v>
      </x:c>
      <x:c r="H497" s="65" t="str">
        <x:v>拔高题</x:v>
      </x:c>
      <x:c r="I497" s="65" t="str">
        <x:v>题干、解析与结构证据支持中等题：step=3-5步，题型=力学综合，状态=双状态，约束=单一约束，推理=多层因果推理。教师、盲评和多次模型证据中未形成足以推翻原裁定的同向结构证据。</x:v>
      </x:c>
      <x:c r="J497" s="65" t="str">
        <x:v>未进入三次错题并集；逐题结构一致性复核</x:v>
      </x:c>
      <x:c r="K497" s="63" t="str">
        <x:v>水下滑翔机是一种新型的水下机器人。我国自主研发的“海燕-X”水下滑翔机，最大下潜深度达到了10619米，再次打破水下滑翔机潜深记录，如图甲所示，图乙是其部分结构示意图。已知海水密度恒为$\rho _{\mathrm{海水}}=1.03\times 10^{3}\mathrm{kg}/\mathrm{m}^{3}$，g取10N/kg。（1）从物体的浮沉条件分析，水下滑翔机需要上浮时，引擎将油压进外油囊，从而使得排开水的体积 （选填“增大”“减小”或“不变”），受到的浮力 （选填“大于”“小于”或“等于”）重力；（2）滑翔机外壳使用轻型陶瓷禊合耐压壳体，求在1 000 m深处海水对面积为20cm2耐压壳体的压力大小； （3）若滑翔机总重力为721 N，当外油囊无油时，滑翔机排开水的体积为0.05m3。当滑翔机在1 000m深度悬浮时，该滑翔机所受浮力为多少？ 外油囊中油的体积为多少立方米？ （忽略海水压强对油和滑翔机外壳体积的影响）</x:v>
      </x:c>
      <x:c r="L497" s="63" t="str"/>
      <x:c r="M497" s="63" t="str">
        <x:v>（1）[1] [2]水下滑翔机需要上浮时，引擎将油压进外油囊，从而使得排开水的体积增大，使水下滑翔机受到的浮力大于重力，从而上浮。（2）[3]滑翔机潜入海水下1000 m深处受到海水的压强为$p=\rho _{\mathrm{海水}}gh=1.03\times 10^{3}\mathrm{kg}/\mathrm{m}^{3}\times 10\mathrm{N}/\mathrm{kg}\times 1000\mathrm{m}=1.03\times 10^{7}\mathrm{Pa}$耐压壳体面积为S=20cm2=2×10-3m2由$p=\dfrac{F}{S}$可得，海水对耐压壳体的压力为F=pS=1.03×107Pa×2×10-3m2=2.06×104N（3）[4]滑翔机悬浮在1000m处时，受到的浮力等于其重力，大小为F浮=G=721N[5]根据阿基米德原理可知，外油囊中有油时滑翔机排开的水的体积为$V'_{\mathrm{排}}=\dfrac{F_{\mathrm{浮}}}{\rho _{\mathrm{海水}}g}=\dfrac{721\mathrm{N}}{1.03\times 10^{3}\mathrm{kg}/\mathrm{m}^{3}\times 10\mathrm{N}/\mathrm{kg}}=0.07\mathrm{m}^{3}$外油囊中油的体积约为$V=V'_{\mathrm{排}}-V_{\mathrm{排}}=0.07\mathrm{m}^{3}-0.05\mathrm{m}^{3}=0.02\mathrm{m}^{3}$</x:v>
      </x:c>
      <x:c r="N497" s="63" t="str">
        <x:v>https://k12static.xdf.cn/k12/image/externalized/40f5636f-86e3-4772-9401-761986534b49.png</x:v>
      </x:c>
      <x:c r="O497" s="63" t="str">
        <x:v>https://k12static.xdf.cn/k12/image/externalized/c2598558-d38e-4d60-b9d8-ace16799a4f9.png</x:v>
      </x:c>
      <x:c r="P497" s="63" t="str">
        <x:v>3-5步</x:v>
      </x:c>
      <x:c r="Q497" s="63" t="str">
        <x:v>力学综合</x:v>
      </x:c>
      <x:c r="R497" s="63" t="str">
        <x:v>双状态</x:v>
      </x:c>
      <x:c r="S497" s="63" t="str">
        <x:v>单一约束</x:v>
      </x:c>
      <x:c r="T497" s="63" t="str">
        <x:v>无</x:v>
      </x:c>
      <x:c r="U497" s="63" t="str">
        <x:v>无</x:v>
      </x:c>
      <x:c r="V497" s="63" t="str">
        <x:v>多层因果推理</x:v>
      </x:c>
    </x:row>
    <x:row r="498">
      <x:c r="A498" s="64" t="str">
        <x:v>​3138167617392578560</x:v>
      </x:c>
      <x:c r="B498" s="65" t="str">
        <x:v>基础题</x:v>
      </x:c>
      <x:c r="C498" s="65" t="str">
        <x:v>基础题</x:v>
      </x:c>
      <x:c r="D498" s="65" t="str">
        <x:v>基础题</x:v>
      </x:c>
      <x:c r="E498" s="65" t="str">
        <x:v>保留原GPT裁定</x:v>
      </x:c>
      <x:c r="F498" s="65" t="str">
        <x:v>中</x:v>
      </x:c>
      <x:c r="G498" s="65" t="str">
        <x:v>基础题</x:v>
      </x:c>
      <x:c r="H498" s="65" t="str">
        <x:v>中等题</x:v>
      </x:c>
      <x:c r="I498" s="65" t="str">
        <x:v>题干、解析与结构证据支持基础题：step=1-2步，题型=概念判断，状态=单状态，约束=无约束，推理=简单因果推理。教师、盲评和多次模型证据中未形成足以推翻原裁定的同向结构证据。</x:v>
      </x:c>
      <x:c r="J498" s="65" t="str">
        <x:v>未进入三次错题并集；逐题结构一致性复核</x:v>
      </x:c>
      <x:c r="K498" s="63" t="str">
        <x:v>图所示的工具可以提高在沙漠中植树的效率。使用较细的铁棒更容易将树根压入干燥沙子，这是通过 来增大压力的作用效果；竖直向上缓慢提升工具时，拉力越来越小，说明铁棒侧壁受到的摩擦力 （选填“减小”“不变”“增大”）。</x:v>
      </x:c>
      <x:c r="L498" s="63" t="str"/>
      <x:c r="M498" s="63" t="str">
        <x:v>[1]压力的作用效果与压力大小和受力面积大小有关；使用较细的铁棒更容易将树根压入干燥沙子，这是通过减小受力面积的方增大压力的作用效果。[2]竖直向上缓慢提升工具时，工具处于平衡状态；工具在竖直方向受到拉力、重力、摩擦力的作用，重力不变，拉力越来越小，则摩擦力越来越小。</x:v>
      </x:c>
      <x:c r="N498" s="63" t="str">
        <x:v>https://k12static.xdf.cn/k12/image/externalized/f05bd145-607b-4ee0-9073-72eabb5ff9d6.png</x:v>
      </x:c>
      <x:c r="O498" s="63" t="str">
        <x:v>https://k12static.xdf.cn/k12/image/externalized/b3ec7e3c-22ad-4d77-bbc4-24dd5005eea7.png</x:v>
      </x:c>
      <x:c r="P498" s="63" t="str">
        <x:v>1-2步</x:v>
      </x:c>
      <x:c r="Q498" s="63" t="str">
        <x:v>概念判断</x:v>
      </x:c>
      <x:c r="R498" s="63" t="str">
        <x:v>单状态</x:v>
      </x:c>
      <x:c r="S498" s="63" t="str">
        <x:v>无约束</x:v>
      </x:c>
      <x:c r="T498" s="63" t="str">
        <x:v>无</x:v>
      </x:c>
      <x:c r="U498" s="63" t="str">
        <x:v>无</x:v>
      </x:c>
      <x:c r="V498" s="63" t="str">
        <x:v>简单因果推理</x:v>
      </x:c>
    </x:row>
    <x:row r="499">
      <x:c r="A499" s="64" t="str">
        <x:v>​3151847263854931968</x:v>
      </x:c>
      <x:c r="B499" s="65" t="str">
        <x:v>基础题</x:v>
      </x:c>
      <x:c r="C499" s="65" t="str">
        <x:v>基础题</x:v>
      </x:c>
      <x:c r="D499" s="65" t="str">
        <x:v>基础题</x:v>
      </x:c>
      <x:c r="E499" s="65" t="str">
        <x:v>逐题复核后保留GPT裁定</x:v>
      </x:c>
      <x:c r="F499" s="65" t="str">
        <x:v>高</x:v>
      </x:c>
      <x:c r="G499" s="65" t="str">
        <x:v>基础题</x:v>
      </x:c>
      <x:c r="H499" s="65" t="str">
        <x:v>基础题</x:v>
      </x:c>
      <x:c r="I499" s="65" t="str">
        <x:v>最高难任务为1—2步显性应用、规范操作或简单因果，没有连续模型转换。 题目证据：保留原标。最长有效链为1-2步、题型为概念判断、推理为直接套用，与基础题边界一致。 复核证据：教师标签与独立盲评一致；三次模型运行使用相近提示词，仅作为辅助证据，不足以推翻两者一致结论。。</x:v>
      </x:c>
      <x:c r="J499" s="65" t="str">
        <x:v>三次运行错题并集逐题复核</x:v>
      </x:c>
      <x:c r="K499" s="63" t="str">
        <x:v>如图所示，第九届亚洲冬奥会，擅于思考的欣航同学发现用阳光点燃火炬使用的是 （凸透镜/凹透镜），太阳是 （可再生能源/不可再生能源），凸透镜的直径是60 （填写单位）。</x:v>
      </x:c>
      <x:c r="L499" s="63" t="str"/>
      <x:c r="M499" s="63" t="str">
        <x:v>[1]凸透镜对光线有会聚作用，能将平行的太阳光会聚到一点（焦点），使该点温度升高，达到可燃物的着火点，从而点燃火炬。而凹透镜对光线有发散作用，无法实现会聚阳光点火的效果。因此，此处应填 凸透镜。[2]可再生能源是指自然界中可以不断再生、永续利用的能源，太阳的能量来源于其内部的核聚变反应，只要太阳存在，就会持续释放能量，属于可再生能源。因此，此处应填 可再生能源。[3]结合实际情况，用于点燃火炬的凸透镜需要足够大才能有效会聚足够的阳光，60 毫米（mm）过小，60 米（m）过大，60 厘米（cm）是合理的尺寸。因此，此处应填 cm。</x:v>
      </x:c>
      <x:c r="N499" s="63" t="str">
        <x:v>https://k12static.xdf.cn/k12/image/externalized/6b24efb0-aeb4-4206-856c-962e371563df.png</x:v>
      </x:c>
      <x:c r="O499" s="63" t="str">
        <x:v>https://k12static.xdf.cn/k12/image/externalized/3054ff39-4333-4901-ba70-715dcc0da13e.png</x:v>
      </x:c>
      <x:c r="P499" s="63" t="str">
        <x:v>1-2步</x:v>
      </x:c>
      <x:c r="Q499" s="63" t="str">
        <x:v>概念判断</x:v>
      </x:c>
      <x:c r="R499" s="63" t="str">
        <x:v>单状态</x:v>
      </x:c>
      <x:c r="S499" s="63" t="str">
        <x:v>无约束</x:v>
      </x:c>
      <x:c r="T499" s="63" t="str">
        <x:v>无</x:v>
      </x:c>
      <x:c r="U499" s="63" t="str">
        <x:v>无</x:v>
      </x:c>
      <x:c r="V499" s="63" t="str">
        <x:v>直接套用</x:v>
      </x:c>
    </x:row>
    <x:row r="500">
      <x:c r="A500" s="64" t="str">
        <x:v>​3166703143433306112</x:v>
      </x:c>
      <x:c r="B500" s="65" t="str">
        <x:v>中等题</x:v>
      </x:c>
      <x:c r="C500" s="65" t="str">
        <x:v>中等题</x:v>
      </x:c>
      <x:c r="D500" s="65" t="str">
        <x:v>中等题</x:v>
      </x:c>
      <x:c r="E500" s="65" t="str">
        <x:v>保留原GPT裁定</x:v>
      </x:c>
      <x:c r="F500" s="65" t="str">
        <x:v>高</x:v>
      </x:c>
      <x:c r="G500" s="65" t="str">
        <x:v>中等题</x:v>
      </x:c>
      <x:c r="H500" s="65" t="str">
        <x:v>拔高题</x:v>
      </x:c>
      <x:c r="I500" s="65" t="str">
        <x:v>题干、解析与结构证据支持中等题：step=3-5步，题型=概念判断，状态=多状态，约束=单一约束，推理=多层因果推理。教师、盲评和多次模型证据中未形成足以推翻原裁定的同向结构证据。</x:v>
      </x:c>
      <x:c r="J500" s="65" t="str">
        <x:v>未进入三次错题并集；逐题结构一致性复核</x:v>
      </x:c>
      <x:c r="K500" s="63" t="str">
        <x:v>某物体先由液态降温凝固、全部变为固态，到$t_{3}$时刻停止降温；然后加热熔化（物体在相同时间内吸收的热量相等），实验过程中，记录不同时刻的温度，最后绘制出温度随时间变化的图像（如图所示），忽略物态变化过程中的质量变化，已知该物体的质量为m，液态物质的比热容为c，下列说法正确的是（ ）</x:v>
      </x:c>
      <x:c r="L500" s="63" t="str">
        <x:v>A. 在$t_{2}\sim t_{3}$时间段，该物体放出的热量为$cm\left(T_{1}-T_{0}\right)$ B. 在$t_{3}\sim t_{5}$时间段，该物体吸收的热量为$\dfrac{cm\left(T_{2}-T_{1}\right)\left(t_{5}-t_{3}\right)}{t_{6}-t_{5}}$ C. 在$t_{2}\sim t_{4}$时间段，该物质的比热容先变小、后变大 D. 该物体凝固放热中，内能一直减小</x:v>
      </x:c>
      <x:c r="M500" s="63" t="str">
        <x:v>A．在t2∼t3时间段，物质为固体，由于固态的比热容不知道，不能算出该物体放出的热量，故A错误；B．在t5~t6时间段，所用时间为t6-t5时，温度从T1升高到T2，则该物体吸收的热量为Q吸1=cm(T2-T1)用稳定的热源对它加热（物体在相同时间内吸收的热量相等），则单位时间内物体吸收的热量$Q_{\mathrm{吸}2}=\dfrac{cm\left(T_{2}-T_{1}\right)}{t_{6}-t_{5}}$在t3∼t5时间段，该物体吸收的热量为$Q_{\mathrm{吸}3}=\dfrac{cm\left(T_{2}-T_{1}\right)\left(t_{5}-t_{3}\right)}{t_{6}-t_{5}}$故B正确；C．在t2∼t4时间段，物质均处于固态，比热容不变，故C错误；D．该物体凝固放热过程中，温度不变，但通过热传递的方式放出热量，所以内能减小，故D正确。故选BD。</x:v>
      </x:c>
      <x:c r="N500" s="63" t="str">
        <x:v>https://k12static.xdf.cn/k12/image/externalized/fc3aa87c-630c-473b-b982-0fc3abd0ba4d.png</x:v>
      </x:c>
      <x:c r="O500" s="63" t="str">
        <x:v>https://k12static.xdf.cn/k12/image/externalized/bb176a1c-0659-4f15-b24d-ba1667b5dc54.png</x:v>
      </x:c>
      <x:c r="P500" s="63" t="str">
        <x:v>3-5步</x:v>
      </x:c>
      <x:c r="Q500" s="63" t="str">
        <x:v>概念判断</x:v>
      </x:c>
      <x:c r="R500" s="63" t="str">
        <x:v>多状态</x:v>
      </x:c>
      <x:c r="S500" s="63" t="str">
        <x:v>单一约束</x:v>
      </x:c>
      <x:c r="T500" s="63" t="str">
        <x:v>无</x:v>
      </x:c>
      <x:c r="U500" s="63" t="str">
        <x:v>多组比较归纳</x:v>
      </x:c>
      <x:c r="V500" s="63" t="str">
        <x:v>多层因果推理</x:v>
      </x:c>
    </x:row>
    <x:row r="501">
      <x:c r="A501" s="64" t="str">
        <x:v>​3189131794248695808</x:v>
      </x:c>
      <x:c r="B501" s="65" t="str">
        <x:v>拔高题</x:v>
      </x:c>
      <x:c r="C501" s="65" t="str">
        <x:v>拔高题</x:v>
      </x:c>
      <x:c r="D501" s="65" t="str">
        <x:v>拔高题</x:v>
      </x:c>
      <x:c r="E501" s="65" t="str">
        <x:v>保留原GPT裁定</x:v>
      </x:c>
      <x:c r="F501" s="65" t="str">
        <x:v>中</x:v>
      </x:c>
      <x:c r="G501" s="65" t="str">
        <x:v>压轴题</x:v>
      </x:c>
      <x:c r="H501" s="65" t="str">
        <x:v>拔高题</x:v>
      </x:c>
      <x:c r="I501" s="65" t="str">
        <x:v>题干、解析与结构证据支持拔高题：step=3-5步，题型=电路综合，状态=多状态，约束=多约束，推理=多层因果推理。教师、盲评和多次模型证据中未形成足以推翻原裁定的同向结构证据。</x:v>
      </x:c>
      <x:c r="J501" s="65" t="str">
        <x:v>未进入三次错题并集；逐题结构一致性复核</x:v>
      </x:c>
      <x:c r="K501" s="63" t="str">
        <x:v>如图所示，电源电压保持不变，电流表的量程为0～3A，电压表的量程为0～15V，R1=10Ω，滑动变阻器R2的规格为“50Ω 1A”。（1）闭合开关S1，断开开关S2、S3，电流表示数为0.8A，求电源电压；（2）闭合开关S3，断开开关S1、S2，滑动变阻器滑片置于中点位置时，电压表的示数为5V，求R3的阻值；（3）闭合开关S1、S2和S3，在保证各电路元件安全的情况下，求电路的最大电功率及此时滑动变阻器R2连入电路的阻值。</x:v>
      </x:c>
      <x:c r="L501" s="63" t="str"/>
      <x:c r="M501" s="63" t="str">
        <x:v>解:（1）闭合开关S1，断开开关S2、S3时，电路仅R1工作，电路中电流为I1=0.8A，电源电压 $U=I_{1}R_{1}=0.8\mathrm{A}\times 10\Omega =8\mathrm{V}$ （2）闭合开关S3，断开开关S1、S2，滑动变阻器滑片置于中点位置时，电阻R2与R3串联，电压表测R2两端电压，R2=25&amp;Omega;，U2=5V，则 $I_{3}=I_{2}=\dfrac{U_{2}}{R_{2}}=\dfrac{5\mathrm{V}}{25\Omega }=0.2\mathrm{A}$ 所以 $R_{3}=\dfrac{U_{3}}{I_{3}}=\dfrac{U-U_{3}}{I_{3}}=\dfrac{\left(8\mathrm{V}-5\mathrm{V}\right)}{0.2\mathrm{A}}=15\Omega$ （3）闭合开关S1、S2和S3时，R3被短路，电阻R1、R2并联接入电路，当I2&amp;prime;=1A时，干路电流最大 $I=I_{1}+I_{2}&amp;#39;=0.8\mathrm{A}+1\mathrm{A}=1.8\mathrm{A}$ 此时电路的电功率最大 $P=UI=8\mathrm{V}\times 1.8\mathrm{A}=14.4\mathrm{W}$ 滑动变阻器接入的阻值为 $R_{2}=\dfrac{U}{I_{2}&amp;#39;}=\dfrac{8\mathrm{V}}{1\mathrm{A}}=8\Omega$ 答：（1）求电源电压为8V； （2）R3的阻值为15&amp;Omega;； （3）电路的最大电功率为14.4W；此时滑动变阻器R2连入电路的阻值8&amp;Omega;。</x:v>
      </x:c>
      <x:c r="N501" s="63" t="str">
        <x:v>https://k12static.xdf.cn/k12/image/externalized/e9b82f64-ff95-4604-81ee-f6170132d4e4.png</x:v>
      </x:c>
      <x:c r="O501" s="63" t="str">
        <x:v>https://k12static.xdf.cn/k12/image/externalized/b6e492c2-5e69-455f-bba1-0195f09506af.png</x:v>
      </x:c>
      <x:c r="P501" s="63" t="str">
        <x:v>3-5步</x:v>
      </x:c>
      <x:c r="Q501" s="63" t="str">
        <x:v>电路综合</x:v>
      </x:c>
      <x:c r="R501" s="63" t="str">
        <x:v>多状态</x:v>
      </x:c>
      <x:c r="S501" s="63" t="str">
        <x:v>多约束</x:v>
      </x:c>
      <x:c r="T501" s="63" t="str">
        <x:v>无</x:v>
      </x:c>
      <x:c r="U501" s="63" t="str">
        <x:v>无</x:v>
      </x:c>
      <x:c r="V501" s="63" t="str">
        <x:v>多层因果推理</x:v>
      </x:c>
    </x:row>
    <x:row r="502">
      <x:c r="A502" s="64" t="str">
        <x:v>​3191919648930594816</x:v>
      </x:c>
      <x:c r="B502" s="65" t="str">
        <x:v>基础题</x:v>
      </x:c>
      <x:c r="C502" s="65" t="str">
        <x:v>基础题</x:v>
      </x:c>
      <x:c r="D502" s="65" t="str">
        <x:v>基础题</x:v>
      </x:c>
      <x:c r="E502" s="65" t="str">
        <x:v>保留原GPT裁定</x:v>
      </x:c>
      <x:c r="F502" s="65" t="str">
        <x:v>高</x:v>
      </x:c>
      <x:c r="G502" s="65" t="str">
        <x:v>基础题</x:v>
      </x:c>
      <x:c r="H502" s="65" t="str">
        <x:v>送分题</x:v>
      </x:c>
      <x:c r="I502" s="65" t="str">
        <x:v>题干、解析与结构证据支持基础题：step=1-2步，题型=概念判断，状态=单状态，约束=无约束，推理=简单因果推理。教师、盲评和多次模型证据中未形成足以推翻原裁定的同向结构证据。</x:v>
      </x:c>
      <x:c r="J502" s="65" t="str">
        <x:v>未进入三次错题并集；逐题结构一致性复核</x:v>
      </x:c>
      <x:c r="K502" s="63" t="str">
        <x:v>中国传统乐器笙是欧洲手风琴的“技术祖先”,两者都是利用气流使簧片振动发声。 因此，“笙”和“手风琴”具有相似的</x:v>
      </x:c>
      <x:c r="L502" s="63" t="str">
        <x:v>A. 音调 B. 响度 C. 音色 D. 声速</x:v>
      </x:c>
      <x:c r="M502" s="63" t="str">
        <x:v>笙和手风琴均通过气流使簧片振动发声。声音的特性中，音调由频率决定，响度由振幅决定，音色由材料和结构决定，所以音调、响度和音色并不相似，故A、B、C错误；而声速仅与介质有关（如空气的声速公式$v\approx340 \text{m/s}$）。两者发声时，声音在同一介质（空气）中传播，故声速相同。选项D正确。</x:v>
      </x:c>
      <x:c r="N502" s="63" t="str">
        <x:v>https://k12static.xdf.cn/k12/image/externalized/f90eccf4-4a68-4190-9329-be4cfc7d80e1.png</x:v>
      </x:c>
      <x:c r="O502" s="63" t="str">
        <x:v>https://k12static.xdf.cn/k12/image/externalized/28fe880d-2215-49d3-b600-595cc6ada8b6.png</x:v>
      </x:c>
      <x:c r="P502" s="63" t="str">
        <x:v>1-2步</x:v>
      </x:c>
      <x:c r="Q502" s="63" t="str">
        <x:v>概念判断</x:v>
      </x:c>
      <x:c r="R502" s="63" t="str">
        <x:v>单状态</x:v>
      </x:c>
      <x:c r="S502" s="63" t="str">
        <x:v>无约束</x:v>
      </x:c>
      <x:c r="T502" s="63" t="str">
        <x:v>无</x:v>
      </x:c>
      <x:c r="U502" s="63" t="str">
        <x:v>无</x:v>
      </x:c>
      <x:c r="V502" s="63" t="str">
        <x:v>简单因果推理</x:v>
      </x:c>
    </x:row>
    <x:row r="503">
      <x:c r="A503" s="64" t="str">
        <x:v>​3202710148641234944</x:v>
      </x:c>
      <x:c r="B503" s="65" t="str">
        <x:v>中等题</x:v>
      </x:c>
      <x:c r="C503" s="65" t="str">
        <x:v>中等题</x:v>
      </x:c>
      <x:c r="D503" s="65" t="str">
        <x:v>中等题</x:v>
      </x:c>
      <x:c r="E503" s="65" t="str">
        <x:v>保留原GPT裁定</x:v>
      </x:c>
      <x:c r="F503" s="65" t="str">
        <x:v>高</x:v>
      </x:c>
      <x:c r="G503" s="65" t="str">
        <x:v>基础题</x:v>
      </x:c>
      <x:c r="H503" s="65" t="str">
        <x:v>中等题</x:v>
      </x:c>
      <x:c r="I503" s="65" t="str">
        <x:v>题干、解析与结构证据支持中等题：step=3-5步，题型=概念判断，状态=单状态，约束=无约束，推理=多层因果推理。教师、盲评和多次模型证据中未形成足以推翻原裁定的同向结构证据。</x:v>
      </x:c>
      <x:c r="J503" s="65" t="str">
        <x:v>未进入三次错题并集；逐题结构一致性复核</x:v>
      </x:c>
      <x:c r="K503" s="63" t="str">
        <x:v>如图所示，暗盒中的两个灯泡L1和L2连接在同一电路中，闭合开关两灯均发光，下列现象可以判断两灯一定串联的是（ ） "&gt;</x:v>
      </x:c>
      <x:c r="L503" s="63" t="str">
        <x:v>A. L1和L2两端的电压不相同 B. 流过L1和L2的电流相同 C. L1和L2发光的亮度相同 D. 断开开关，L1、L2都不发光</x:v>
      </x:c>
      <x:c r="M503" s="63" t="str">
        <x:v>A．因为并联电路中各支路两端电压相等，所以若L1和L2两端的电压不相同，则两灯可能是串联，不可能并联，故A正确；B．串联电路的电流处处相等，通过L1和L2的电流相同；若两灯并联，且两灯的规格相同时，通过两灯的电流也相等，所以通过两灯的电流相等，两灯可能串联也可能并联，故B错误；C．L1和L2发光的亮度相同，如果两个灯泡规格相同，并联在电路中，两个灯泡两端的电压相等，两个灯泡亮度相同，故C错误；D．若两灯并联，开关在干路上，断开开关，L1、L2都不发光，若两灯串联，断开开关，L1、L2都不发光，所以断开开关，L1、L2都不发光，两灯可能串联也可能并联，故D错误。故选A。</x:v>
      </x:c>
      <x:c r="N503" s="63" t="str">
        <x:v>https://k12static.xdf.cn/k12/image/externalized/69fc37fc-cff2-43cd-bd75-f2c731b2f7f9.png</x:v>
      </x:c>
      <x:c r="O503" s="63" t="str">
        <x:v>https://k12static.xdf.cn/k12/image/externalized/e6708b20-4abe-4f79-91ee-1b63c41ad9b5.png</x:v>
      </x:c>
      <x:c r="P503" s="63" t="str">
        <x:v>3-5步</x:v>
      </x:c>
      <x:c r="Q503" s="63" t="str">
        <x:v>概念判断</x:v>
      </x:c>
      <x:c r="R503" s="63" t="str">
        <x:v>单状态</x:v>
      </x:c>
      <x:c r="S503" s="63" t="str">
        <x:v>无约束</x:v>
      </x:c>
      <x:c r="T503" s="63" t="str">
        <x:v>无</x:v>
      </x:c>
      <x:c r="U503" s="63" t="str">
        <x:v>无</x:v>
      </x:c>
      <x:c r="V503" s="63" t="str">
        <x:v>多层因果推理</x:v>
      </x:c>
    </x:row>
    <x:row r="504">
      <x:c r="A504" s="64" t="str">
        <x:v>​3204807028348055552</x:v>
      </x:c>
      <x:c r="B504" s="65" t="str">
        <x:v>中等题</x:v>
      </x:c>
      <x:c r="C504" s="65" t="str">
        <x:v>中等题</x:v>
      </x:c>
      <x:c r="D504" s="65" t="str">
        <x:v>中等题</x:v>
      </x:c>
      <x:c r="E504" s="65" t="str">
        <x:v>保留原GPT裁定</x:v>
      </x:c>
      <x:c r="F504" s="65" t="str">
        <x:v>高</x:v>
      </x:c>
      <x:c r="G504" s="65" t="str">
        <x:v>中等题</x:v>
      </x:c>
      <x:c r="H504" s="65" t="str">
        <x:v>拔高题</x:v>
      </x:c>
      <x:c r="I504" s="65" t="str">
        <x:v>题干、解析与结构证据支持中等题：step=3-5步，题型=实验探究，状态=单状态，约束=无约束，推理=多层因果推理。教师、盲评和多次模型证据中未形成足以推翻原裁定的同向结构证据。</x:v>
      </x:c>
      <x:c r="J504" s="65" t="str">
        <x:v>未进入三次错题并集；逐题结构一致性复核</x:v>
      </x:c>
      <x:c r="K504" s="63" t="str">
        <x:v>在“测量电阻”的实验中，某同学设计了如图1所示的电路图。(1)在图1中找出连接错误的一根导线，并在导线上画“×”，用笔画线代替导线将实物图连接正确 ；（所画的导线要用实线，不可用虚线，导线不能交叉）(2)按图1所示电路连接器材时，开关要处于 （选填“断开”或“闭合”）状态，滑动变阻器的滑片P应该滑到最 （选填“左端”或“右端”）；(3)闭合开关，将滑片P缓慢向右移动，电压表的示数将 （选填“增大”或“减小”）；(4)某次测量时，电压表的示数为1.5V，电流表的示数如图2所示，为 A，根据欧姆定律求出此时这个电阻R的阻值为 欧姆；(5)以上这种测量电阻的方法叫 ；(6)为减小实验误差，我们应该多次进行正确测量，然后取电阻R的 值；(7)但是小华同学也做了上述实验，测量的数据如下表所示，则小华实验中存在的问题可能是 。实验次数123电压U/V1.52.02.5电流I/A0.300.200.10</x:v>
      </x:c>
      <x:c r="L504" s="63" t="str"/>
      <x:c r="M504" s="63" t="str">
        <x:v>(1)[1]电压表应该与待测电阻并联，如图。(2)[2][3]连接器材时，为保护电路，开关要处于断开状态，滑动变阻器的滑片P应该滑到阻值最大处，即最左端。(3)[4]闭合开关，将滑片P缓慢向右移动，变阻器连入的电阻变小，由分压原理，变阻器的电压变小，故电压表的示数将增大。(4)[5][6]电流表选用小量程，分度值为0.02A，电流为0.3A，电阻为$R=\dfrac{U}{I}=\dfrac{1.5\mathrm{V}}{0.3\mathrm{A}}=5\Omega$(5)[7]根据$R=\dfrac{U}{I}$测量电阻的方法叫伏安法。(6)[8]为减小实验误差，多次进行正确测量，取电阻R的平均值作为结果。(7)[9]由表格可知，当电路的电流变小时，电压表示数反而增大了，由串联电路电压的规律，变阻器的电压变大，所以电压表并联在滑动变阻器两端了。</x:v>
      </x:c>
      <x:c r="N504" s="63" t="str">
        <x:v>https://k12static.xdf.cn/k12/image/externalized/bf9e45b9-7ba0-487d-8eff-7f975640ec8d.png</x:v>
      </x:c>
      <x:c r="O504" s="63" t="str">
        <x:v>https://k12static.xdf.cn/k12/image/externalized/05ed9511-a16d-4a88-8a25-3e4c847a37a0.png</x:v>
      </x:c>
      <x:c r="P504" s="63" t="str">
        <x:v>3-5步</x:v>
      </x:c>
      <x:c r="Q504" s="63" t="str">
        <x:v>实验探究</x:v>
      </x:c>
      <x:c r="R504" s="63" t="str">
        <x:v>单状态</x:v>
      </x:c>
      <x:c r="S504" s="63" t="str">
        <x:v>无约束</x:v>
      </x:c>
      <x:c r="T504" s="63" t="str">
        <x:v>控制变量或故障分析</x:v>
      </x:c>
      <x:c r="U504" s="63" t="str">
        <x:v>多组比较归纳</x:v>
      </x:c>
      <x:c r="V504" s="63" t="str">
        <x:v>多层因果推理</x:v>
      </x:c>
    </x:row>
    <x:row r="505">
      <x:c r="A505" s="64" t="str">
        <x:v>​3228435405652975616</x:v>
      </x:c>
      <x:c r="B505" s="65" t="str">
        <x:v>中等题</x:v>
      </x:c>
      <x:c r="C505" s="65" t="str">
        <x:v>中等题</x:v>
      </x:c>
      <x:c r="D505" s="65" t="str">
        <x:v>中等题</x:v>
      </x:c>
      <x:c r="E505" s="65" t="str">
        <x:v>保留原GPT裁定</x:v>
      </x:c>
      <x:c r="F505" s="65" t="str">
        <x:v>高</x:v>
      </x:c>
      <x:c r="G505" s="65" t="str">
        <x:v>中等题</x:v>
      </x:c>
      <x:c r="H505" s="65" t="str">
        <x:v>中等题</x:v>
      </x:c>
      <x:c r="I505" s="65" t="str">
        <x:v>题干、解析与结构证据支持中等题：step=3-5步，题型=概念判断，状态=双状态，约束=单一约束，推理=多层因果推理。教师、盲评和多次模型证据中未形成足以推翻原裁定的同向结构证据。</x:v>
      </x:c>
      <x:c r="J505" s="65" t="str">
        <x:v>未进入三次错题并集；逐题结构一致性复核</x:v>
      </x:c>
      <x:c r="K505" s="63" t="str">
        <x:v>图所示，一物体放在水平面上，当受到水平力 $F_{1}=7\ {\rm N}$ 和 $F_{2}=3\ {\rm N}$ 作用时，物体处于静止状态．如果将 $F_{1}$ 撤去，此时物体所受合力为$(\qquad)$ " style="width: 20%; margin-top: 5px;" /&gt;</x:v>
      </x:c>
      <x:c r="L505" s="63" t="str">
        <x:v>A. $0\ {\rm N}$ B. $3\ {\rm N}$ C. $7\ {\rm N}$ D. $4\ {\rm N}$</x:v>
      </x:c>
      <x:c r="M505" s="63" t="str">
        <x:v>本题考查对物体进行受力分析． 因为物体在水平力 $F_{1}=7\ {\rm N}$ 和 $F_{2}=3\ {\rm N}$ 的作用时，物体静止，所以物体受平衡力作用，则摩擦力 $f=F_{1}-F_{2}=7\ {\rm N}-3\ {\rm N}=4\ {\rm N}$ 小于最大静摩擦力；如果将 $F_{1}$ 撤去，物体受到 $3\ {\rm N}$ 水平向左的力，水平向右受到的摩擦力 $f^{\prime}=3\ {\rm N}</x:v>
      </x:c>
      <x:c r="N505" s="63" t="str">
        <x:v>https://k12static.xdf.cn/k12/image/externalized/bbc9eca5-d49a-4af8-9596-45fe8fceae6f.png</x:v>
      </x:c>
      <x:c r="O505" s="63" t="str">
        <x:v>https://k12static.xdf.cn/k12/image/externalized/a769ee74-fa8d-4eab-8af8-e8a406264893.png</x:v>
      </x:c>
      <x:c r="P505" s="63" t="str">
        <x:v>3-5步</x:v>
      </x:c>
      <x:c r="Q505" s="63" t="str">
        <x:v>概念判断</x:v>
      </x:c>
      <x:c r="R505" s="63" t="str">
        <x:v>双状态</x:v>
      </x:c>
      <x:c r="S505" s="63" t="str">
        <x:v>单一约束</x:v>
      </x:c>
      <x:c r="T505" s="63" t="str">
        <x:v>无</x:v>
      </x:c>
      <x:c r="U505" s="63" t="str">
        <x:v>无</x:v>
      </x:c>
      <x:c r="V505" s="63" t="str">
        <x:v>多层因果推理</x:v>
      </x:c>
    </x:row>
    <x:row r="506">
      <x:c r="A506" s="64" t="str">
        <x:v>​3264667328821395456</x:v>
      </x:c>
      <x:c r="B506" s="65" t="str">
        <x:v>中等题</x:v>
      </x:c>
      <x:c r="C506" s="65" t="str">
        <x:v>中等题</x:v>
      </x:c>
      <x:c r="D506" s="65" t="str">
        <x:v>中等题</x:v>
      </x:c>
      <x:c r="E506" s="65" t="str">
        <x:v>保留原GPT裁定</x:v>
      </x:c>
      <x:c r="F506" s="65" t="str">
        <x:v>中</x:v>
      </x:c>
      <x:c r="G506" s="65" t="str">
        <x:v>中等题</x:v>
      </x:c>
      <x:c r="H506" s="65" t="str">
        <x:v>基础题</x:v>
      </x:c>
      <x:c r="I506" s="65" t="str">
        <x:v>题干、解析与结构证据支持中等题：step=1-2步，题型=概念判断，状态=单状态，约束=无约束，推理=简单因果推理。教师、盲评和多次模型证据中未形成足以推翻原裁定的同向结构证据。</x:v>
      </x:c>
      <x:c r="J506" s="65" t="str">
        <x:v>未进入三次错题并集；逐题结构一致性复核</x:v>
      </x:c>
      <x:c r="K506" s="63" t="str">
        <x:v>《天工开物》中记载“凡河滨有制铜车者，堰陂障流，绕于车下，激轮使转，挽水入简，一倾于笕（引水的竹、木管子）内，流入亩中。”其描述的是筒车（如图甲所示）这样一种以流水为动力来取水的机械，模型如图乙。若筒车转速度不变且从取水处至倒水处（水未流出时），则在此过程中，关于取水筒内的水，下列说法正确的是（ ）</x:v>
      </x:c>
      <x:c r="L506" s="63" t="str">
        <x:v>A. 动能转化为重力势能 B. 在倒水处重力势能最大 C. 从取水处至倒水处动能不变 D. 机械能一直在增大</x:v>
      </x:c>
      <x:c r="M506" s="63" t="str">
        <x:v>A．从取水处至倒水处的过程中，消耗水流的动能，得到筒车的动能和取水桶内水的重力势能，因此水流的动能转化为筒车的动能和取水桶内水的重力势能，故A错误；B．在倒水处，取水筒内的水质量不变，高度最大，所以重力势能最大，故B正确；C．取水筒内的水，从取水处到倒水处，速度和质量不变，动能不变，故C正确；D．取水筒内的水，从取水处到倒水处，动能不变，重力势能增大，总的机械能一直增大，故D正确。故选BCD。</x:v>
      </x:c>
      <x:c r="N506" s="63" t="str">
        <x:v>https://k12static.xdf.cn/k12/image/externalized/919f2ee3-dd43-4f3f-a2f7-ac8aeb1bb332.png</x:v>
      </x:c>
      <x:c r="O506" s="63" t="str">
        <x:v>https://k12static.xdf.cn/k12/image/externalized/71de2c36-0d70-4518-94a9-4ae78caf9b80.png</x:v>
      </x:c>
      <x:c r="P506" s="63" t="str">
        <x:v>1-2步</x:v>
      </x:c>
      <x:c r="Q506" s="63" t="str">
        <x:v>概念判断</x:v>
      </x:c>
      <x:c r="R506" s="63" t="str">
        <x:v>单状态</x:v>
      </x:c>
      <x:c r="S506" s="63" t="str">
        <x:v>无约束</x:v>
      </x:c>
      <x:c r="T506" s="63" t="str">
        <x:v>无</x:v>
      </x:c>
      <x:c r="U506" s="63" t="str">
        <x:v>无</x:v>
      </x:c>
      <x:c r="V506" s="63" t="str">
        <x:v>简单因果推理</x:v>
      </x:c>
    </x:row>
    <x:row r="507">
      <x:c r="A507" s="64" t="str">
        <x:v>​3291073367126155264</x:v>
      </x:c>
      <x:c r="B507" s="65" t="str">
        <x:v>拔高题</x:v>
      </x:c>
      <x:c r="C507" s="65" t="str">
        <x:v>拔高题</x:v>
      </x:c>
      <x:c r="D507" s="65" t="str">
        <x:v>拔高题</x:v>
      </x:c>
      <x:c r="E507" s="65" t="str">
        <x:v>保留原GPT裁定</x:v>
      </x:c>
      <x:c r="F507" s="65" t="str">
        <x:v>高</x:v>
      </x:c>
      <x:c r="G507" s="65" t="str">
        <x:v>拔高题</x:v>
      </x:c>
      <x:c r="H507" s="65" t="str">
        <x:v>压轴题</x:v>
      </x:c>
      <x:c r="I507" s="65" t="str">
        <x:v>题干、解析与结构证据支持拔高题：step=3-5步，题型=电路综合，状态=双状态，约束=多约束，推理=逆向推理或临界分析。教师、盲评和多次模型证据中未形成足以推翻原裁定的同向结构证据。</x:v>
      </x:c>
      <x:c r="J507" s="65" t="str">
        <x:v>未进入三次错题并集；逐题结构一致性复核</x:v>
      </x:c>
      <x:c r="K507" s="63" t="str">
        <x:v>如图所示，电源电压保持6V不变，R1=5Ω，R3=10Ω，滑动变阻器R2标有“15Ω 0.5A”字样，电压表的量程为0~3V。</x:v>
      </x:c>
      <x:c r="L507" s="63" t="str"/>
      <x:c r="M507" s="63" t="str"/>
      <x:c r="N507" s="63" t="str">
        <x:v>https://k12static.xdf.cn/k12/image/externalized/3eb5a4d2-6a76-4065-8f26-7246404101b9.png</x:v>
      </x:c>
      <x:c r="O507" s="63" t="str">
        <x:v>https://k12static.xdf.cn/k12/image/externalized/343a19aa-aabb-4f43-a0bc-21601ebd4fcf.png</x:v>
      </x:c>
      <x:c r="P507" s="63" t="str">
        <x:v>3-5步</x:v>
      </x:c>
      <x:c r="Q507" s="63" t="str">
        <x:v>电路综合</x:v>
      </x:c>
      <x:c r="R507" s="63" t="str">
        <x:v>双状态</x:v>
      </x:c>
      <x:c r="S507" s="63" t="str">
        <x:v>多约束</x:v>
      </x:c>
      <x:c r="T507" s="63" t="str">
        <x:v>无</x:v>
      </x:c>
      <x:c r="U507" s="63" t="str">
        <x:v>无</x:v>
      </x:c>
      <x:c r="V507" s="63" t="str">
        <x:v>逆向推理或临界分析</x:v>
      </x:c>
    </x:row>
    <x:row r="508">
      <x:c r="A508" s="64" t="str">
        <x:v>​3309503087582752768</x:v>
      </x:c>
      <x:c r="B508" s="65" t="str">
        <x:v>送分题</x:v>
      </x:c>
      <x:c r="C508" s="65" t="str">
        <x:v>送分题</x:v>
      </x:c>
      <x:c r="D508" s="65" t="str">
        <x:v>送分题</x:v>
      </x:c>
      <x:c r="E508" s="65" t="str">
        <x:v>保留原GPT裁定</x:v>
      </x:c>
      <x:c r="F508" s="65" t="str">
        <x:v>高</x:v>
      </x:c>
      <x:c r="G508" s="65" t="str">
        <x:v>送分题</x:v>
      </x:c>
      <x:c r="H508" s="65" t="str">
        <x:v>基础题</x:v>
      </x:c>
      <x:c r="I508" s="65" t="str">
        <x:v>题干、解析与结构证据支持送分题：step=1-2步，题型=概念判断，状态=单状态，约束=无约束，推理=直接套用。教师、盲评和多次模型证据中未形成足以推翻原裁定的同向结构证据。</x:v>
      </x:c>
      <x:c r="J508" s="65" t="str">
        <x:v>未进入三次错题并集；逐题结构一致性复核</x:v>
      </x:c>
      <x:c r="K508" s="63" t="str">
        <x:v>在图1所示的E、F、P、Q四点中，与图中A点磁场方向不一致的是（ ）</x:v>
      </x:c>
      <x:c r="L508" s="63" t="str">
        <x:v>A. E点 B. F点 C. P点 D. Q点</x:v>
      </x:c>
      <x:c r="M508" s="63" t="str">
        <x:v>解：磁体周围的磁感线是从磁体的N极出来，回到磁体的S极的；E、F的方向是水平向右的，Q的方向是斜向下指向S极，P点与A点是相同的，都水平向左。 故选：ABD。</x:v>
      </x:c>
      <x:c r="N508" s="63" t="str">
        <x:v>https://k12static.xdf.cn/k12/image/externalized/8e27d33f-323c-422d-9f82-6f57080a31cd.png</x:v>
      </x:c>
      <x:c r="O508" s="63" t="str">
        <x:v>https://k12static.xdf.cn/k12/image/externalized/9d3443d0-3644-4d6f-ac44-5c1ac609bfa5.png</x:v>
      </x:c>
      <x:c r="P508" s="63" t="str">
        <x:v>1-2步</x:v>
      </x:c>
      <x:c r="Q508" s="63" t="str">
        <x:v>概念判断</x:v>
      </x:c>
      <x:c r="R508" s="63" t="str">
        <x:v>单状态</x:v>
      </x:c>
      <x:c r="S508" s="63" t="str">
        <x:v>无约束</x:v>
      </x:c>
      <x:c r="T508" s="63" t="str">
        <x:v>无</x:v>
      </x:c>
      <x:c r="U508" s="63" t="str">
        <x:v>无</x:v>
      </x:c>
      <x:c r="V508" s="63" t="str">
        <x:v>直接套用</x:v>
      </x:c>
    </x:row>
    <x:row r="509">
      <x:c r="A509" s="64" t="str">
        <x:v>​3328782068189347840</x:v>
      </x:c>
      <x:c r="B509" s="65" t="str">
        <x:v>拔高题</x:v>
      </x:c>
      <x:c r="C509" s="65" t="str">
        <x:v>拔高题</x:v>
      </x:c>
      <x:c r="D509" s="65" t="str">
        <x:v>拔高题</x:v>
      </x:c>
      <x:c r="E509" s="65" t="str">
        <x:v>保留原GPT裁定</x:v>
      </x:c>
      <x:c r="F509" s="65" t="str">
        <x:v>高</x:v>
      </x:c>
      <x:c r="G509" s="65" t="str">
        <x:v>压轴题</x:v>
      </x:c>
      <x:c r="H509" s="65" t="str">
        <x:v>拔高题</x:v>
      </x:c>
      <x:c r="I509" s="65" t="str">
        <x:v>题干、解析与结构证据支持拔高题：step=3-5步，题型=电路综合，状态=双状态，约束=多约束，推理=逆向推理或临界分析。教师、盲评和多次模型证据中未形成足以推翻原裁定的同向结构证据。</x:v>
      </x:c>
      <x:c r="J509" s="65" t="str">
        <x:v>未进入三次错题并集；逐题结构一致性复核</x:v>
      </x:c>
      <x:c r="K509" s="63" t="str">
        <x:v>如图所示的电路，电源电压恒为$4.5\,\mathrm{V}$，灯泡$\mathrm{L}$标有“$2.5\,\mathrm{V}\,1.25\,\mathrm{W}$”字样（灯丝电阻不变），滑动变阻器$R_{\mathrm{x}}$标有“$20\Omega 1\,\mathrm{A}$”字样，电流表量程为$0\sim 0.6\,\mathrm{A}$，电压表量程为$0\sim 3\,\mathrm{V}$。闭合开关$\mathrm{S}$，在不损坏电路元件的前提下，移动滑动变阻器的滑片$\mathrm{P}$，则（ ）</x:v>
      </x:c>
      <x:c r="L509" s="63" t="str">
        <x:v>A. 滑动变阻器接入电路的阻值范围是$2.5\Omega \sim 20\Omega$ B. 电流表示数的变化范围是$0.18\,\mathrm{A}\sim 0.5\,\mathrm{A}$ C. 电压表示数的变化范围是$1.5\,\mathrm{V}\sim 3\,\mathrm{V}$ D. 电路总功率的变化范围是$1.35\,\mathrm{W}\sim 2.25\,\mathrm{W}$</x:v>
      </x:c>
      <x:c r="M509" s="63" t="str">
        <x:v>AB．由图知道，小灯泡与滑动变阻器串联，电流表测量电路中的电流，电压表测量滑动变阻器两端的电压，由于灯泡$\mathrm{L}$标有“$2.5\,\mathrm{V}\,1.25\,\mathrm{W}$”字样，由$P=UI$知道，灯泡的额定电流$I_{\mathrm{L}}=\dfrac{P_{\mathrm{L}}}{U_{\mathrm{L}}}=\dfrac{1.25\mathrm{W}}{2.5\mathrm{V}}=0.5\mathrm{A}$灯泡的电阻$R_{L}=\dfrac{U_{L\mathrm{额}}^{2}}{P_{L}_{\mathrm{额}}}=\dfrac{\left(2.5\mathrm{V}\right)^{2}}{1.25\mathrm{W}}=5\Omega$因串联电路中各处的电流相等，且电流表的量程为0～0.6A，所以，电路中的最大电流为$I_{\mathrm{大}}=0.5\mathrm{A}$此时滑动变阻器接入电路中的电阻最小，电路中的总电阻$R=\dfrac{U}{I_{\mathrm{大}}}=\dfrac{4.5\mathrm{V}}{0.5\mathrm{A}}=9\Omega$因串联电路中总电阻等于各分电阻之和，所以，滑动变阻器接入电路中的最小阻值$R_{x\mathrm{小}}=R-R_{L}=9\Omega -5\Omega =4\Omega$当电压表的示数为3V时，电路中的电流最小，滑动变阻器接入电路中的电阻最大，灯泡的功率最小，此时灯泡两端的电压$U_{L}=U-U_{\mathrm{滑}}=4.5\mathrm{V}-3\mathrm{V}=1.5\mathrm{V}$因串联电路中各处的电流相等，所以，电路中的最小电流$I_{\mathrm{小}}=\dfrac{U_{L}}{R_{L}}=\dfrac{1.5\mathrm{V}}{5\Omega }=0.3\mathrm{A}$滑动变阻器接入电路中的最大阻值$R_{\mathrm{大}}=\dfrac{U_{\mathrm{滑}}}{I_{\mathrm{小}}}=\dfrac{3\mathrm{V}}{0.3\mathrm{A}}=10\Omega$所以，滑动变阻器允许的调节范围是4Ω～10Ω，电流表的变化范围是$0.3\,\mathrm{A}\sim 0.5\,\mathrm{A}$，故AB错误；C．滑动变阻器接入电路中的电阻最小时，电压表的示数$U_{\mathrm{滑小}}=R_{x\mathrm{小}}I_{\mathrm{大}}=4\Omega \times 0.5\mathrm{A}=2\mathrm{V}$则电压表示数的变化范围是$2\,\mathrm{V}\sim 3\,\mathrm{V}$，故C错误；D．由$P=UI$知道，电路最小总功率$P_{\mathrm{小}}=UI_{\mathrm{小}}=4.5\mathrm{V}\times 0.3\mathrm{A}=1.35\mathrm{W}$电路最大总功率$P_{\mathrm{大}}=UI_{\mathrm{大}}=4.5\mathrm{V}\times 0.5\mathrm{A}=2.25\mathrm{W}$即电路总功率的变化范围是$1.35\,\mathrm{W}\sim 2.25\,\mathrm{W}$，故D正确。故选D。</x:v>
      </x:c>
      <x:c r="N509" s="63" t="str">
        <x:v>https://k12static.xdf.cn/k12/image/externalized/6b360d1a-ddc7-4e72-90fe-c42c9d8860ba.png</x:v>
      </x:c>
      <x:c r="O509" s="63" t="str">
        <x:v>https://k12static.xdf.cn/k12/image/externalized/d4509ce4-2c59-4d99-acb3-9622568c5cc1.png</x:v>
      </x:c>
      <x:c r="P509" s="63" t="str">
        <x:v>3-5步</x:v>
      </x:c>
      <x:c r="Q509" s="63" t="str">
        <x:v>电路综合</x:v>
      </x:c>
      <x:c r="R509" s="63" t="str">
        <x:v>双状态</x:v>
      </x:c>
      <x:c r="S509" s="63" t="str">
        <x:v>多约束</x:v>
      </x:c>
      <x:c r="T509" s="63" t="str">
        <x:v>无</x:v>
      </x:c>
      <x:c r="U509" s="63" t="str">
        <x:v>无</x:v>
      </x:c>
      <x:c r="V509" s="63" t="str">
        <x:v>逆向推理或临界分析</x:v>
      </x:c>
    </x:row>
    <x:row r="510">
      <x:c r="A510" s="64" t="str">
        <x:v>​3349161504567513088</x:v>
      </x:c>
      <x:c r="B510" s="65" t="str">
        <x:v>基础题</x:v>
      </x:c>
      <x:c r="C510" s="65" t="str">
        <x:v>基础题</x:v>
      </x:c>
      <x:c r="D510" s="65" t="str">
        <x:v>基础题</x:v>
      </x:c>
      <x:c r="E510" s="65" t="str">
        <x:v>保留原GPT裁定</x:v>
      </x:c>
      <x:c r="F510" s="65" t="str">
        <x:v>高</x:v>
      </x:c>
      <x:c r="G510" s="65" t="str">
        <x:v>基础题</x:v>
      </x:c>
      <x:c r="H510" s="65" t="str">
        <x:v>中等题</x:v>
      </x:c>
      <x:c r="I510" s="65" t="str">
        <x:v>题干、解析与结构证据支持基础题：step=1-2步，题型=概念判断，状态=单状态，约束=无约束，推理=简单因果推理。教师、盲评和多次模型证据中未形成足以推翻原裁定的同向结构证据。</x:v>
      </x:c>
      <x:c r="J510" s="65" t="str">
        <x:v>未进入三次错题并集；逐题结构一致性复核</x:v>
      </x:c>
      <x:c r="K510" s="63" t="str">
        <x:v>[航天科技模型——按阶段]</x:v>
      </x:c>
      <x:c r="L510" s="63" t="str"/>
      <x:c r="M510" s="63" t="str"/>
      <x:c r="N510" s="63" t="str">
        <x:v>https://k12static.xdf.cn/k12/image/externalized/c93a1a6d-281f-4416-aca9-958d2cdb5b8c.png</x:v>
      </x:c>
      <x:c r="O510" s="63" t="str">
        <x:v>https://k12static.xdf.cn/k12/image/externalized/18e4370c-4b76-4378-a997-4f85521d81df.png</x:v>
      </x:c>
      <x:c r="P510" s="63" t="str">
        <x:v>1-2步</x:v>
      </x:c>
      <x:c r="Q510" s="63" t="str">
        <x:v>概念判断</x:v>
      </x:c>
      <x:c r="R510" s="63" t="str">
        <x:v>单状态</x:v>
      </x:c>
      <x:c r="S510" s="63" t="str">
        <x:v>无约束</x:v>
      </x:c>
      <x:c r="T510" s="63" t="str">
        <x:v>无</x:v>
      </x:c>
      <x:c r="U510" s="63" t="str">
        <x:v>无</x:v>
      </x:c>
      <x:c r="V510" s="63" t="str">
        <x:v>简单因果推理</x:v>
      </x:c>
    </x:row>
    <x:row r="511">
      <x:c r="A511" s="64" t="str">
        <x:v>​3379184570853330944</x:v>
      </x:c>
      <x:c r="B511" s="65" t="str">
        <x:v>基础题</x:v>
      </x:c>
      <x:c r="C511" s="65" t="str">
        <x:v>基础题</x:v>
      </x:c>
      <x:c r="D511" s="65" t="str">
        <x:v>基础题</x:v>
      </x:c>
      <x:c r="E511" s="65" t="str">
        <x:v>保留原GPT裁定</x:v>
      </x:c>
      <x:c r="F511" s="65" t="str">
        <x:v>高</x:v>
      </x:c>
      <x:c r="G511" s="65" t="str">
        <x:v>基础题</x:v>
      </x:c>
      <x:c r="H511" s="65" t="str">
        <x:v>中等题</x:v>
      </x:c>
      <x:c r="I511" s="65" t="str">
        <x:v>题干、解析与结构证据支持基础题：step=1-2步，题型=概念判断，状态=单状态，约束=无约束，推理=简单因果推理。教师、盲评和多次模型证据中未形成足以推翻原裁定的同向结构证据。</x:v>
      </x:c>
      <x:c r="J511" s="65" t="str">
        <x:v>未进入三次错题并集；逐题结构一致性复核</x:v>
      </x:c>
      <x:c r="K511" s="63" t="str">
        <x:v>科学家发现：在弹性限度内，弹簧的伸长量Δx与所受拉力F成正比。用公式表示为：$k=\dfrac{F}{\Delta x}$（比值k表示弹簧的劲度系数）。 （1）由公式可知：比值k的单位是 ； （2）图中所示的甲、乙两把弹簧测力计外形相同、标值不同。其中：弹簧k值较大的是 测力计，物体重约3N，用 弹簧测力计测量它所受重力大小会更精确；</x:v>
      </x:c>
      <x:c r="L511" s="63" t="str"/>
      <x:c r="M511" s="63" t="str">
        <x:v>（1）[1]力的国际单位是：N，长度的国际单位是：m，由公式$k=\dfrac{F}{\Delta x}$可知，k的单位应由力的单位和长度单位相除而成，为N/m。 （2）[2]甲、乙两把弹簧测力计外形相同，即两个弹簧测力计的最大伸长量相同，根据$k=\dfrac{F}{\Delta x}$可知，在弹簧的伸长量Δx相同的情况下，F越大，k越大，弹簧k值较大的是乙测力计。 [3]如图甲、乙所示的两个弹簧测力计，甲的量程为0~5N，分度值为0.2N；乙的量程为0~10N，分度值为0.4N，要测量一个重约3N的物体，应选用甲弹簧测力计测量结果更精确。</x:v>
      </x:c>
      <x:c r="N511" s="63" t="str">
        <x:v>https://k12static.xdf.cn/k12/image/externalized/03aaf969-88a7-47db-8ea6-4468c559c554.png</x:v>
      </x:c>
      <x:c r="O511" s="63" t="str">
        <x:v>https://k12static.xdf.cn/k12/image/externalized/5c96c1f9-74b4-4369-8ad4-a6abb9805dae.png</x:v>
      </x:c>
      <x:c r="P511" s="63" t="str">
        <x:v>1-2步</x:v>
      </x:c>
      <x:c r="Q511" s="63" t="str">
        <x:v>概念判断</x:v>
      </x:c>
      <x:c r="R511" s="63" t="str">
        <x:v>单状态</x:v>
      </x:c>
      <x:c r="S511" s="63" t="str">
        <x:v>无约束</x:v>
      </x:c>
      <x:c r="T511" s="63" t="str">
        <x:v>无</x:v>
      </x:c>
      <x:c r="U511" s="63" t="str">
        <x:v>无</x:v>
      </x:c>
      <x:c r="V511" s="63" t="str">
        <x:v>简单因果推理</x:v>
      </x:c>
    </x:row>
    <x:row r="512">
      <x:c r="A512" s="64" t="str">
        <x:v>​3380648866639097856</x:v>
      </x:c>
      <x:c r="B512" s="65" t="str">
        <x:v>基础题</x:v>
      </x:c>
      <x:c r="C512" s="65" t="str">
        <x:v>基础题</x:v>
      </x:c>
      <x:c r="D512" s="65" t="str">
        <x:v>基础题</x:v>
      </x:c>
      <x:c r="E512" s="65" t="str">
        <x:v>逐题复核后保留GPT裁定</x:v>
      </x:c>
      <x:c r="F512" s="65" t="str">
        <x:v>高</x:v>
      </x:c>
      <x:c r="G512" s="65" t="str">
        <x:v>基础题</x:v>
      </x:c>
      <x:c r="H512" s="65" t="str">
        <x:v>基础题</x:v>
      </x:c>
      <x:c r="I512" s="65" t="str">
        <x:v>最高难任务属于教材概念与常规物理关系中的1—2步直接应用、规范操作或简单因果判断。需要理解/应用而非纯识记，但没有共享中间结论、完整连续过程或隐含转换。</x:v>
      </x:c>
      <x:c r="J512" s="65" t="str">
        <x:v>三次运行错题并集逐题复核</x:v>
      </x:c>
      <x:c r="K512" s="63" t="str">
        <x:v>2024年3月25日，我国探月工程四期“鹊桥二号”中继星在距月面约440km处开始实施多次近月“刹车”制动后，顺利进入环月轨道飞行，后续将与月面航天器提供地月间中继通信。“鹊桥二号”制动时，通过沿与运动方向 （选填“相同”或“相反”）的方向喷射高温气体，对卫星施加制动力，这说明力可以改变物体的 。“鹊桥二号”中继星利用 （选填“超声波”或“电磁波”）传递航天器与地球之间的信息。</x:v>
      </x:c>
      <x:c r="L512" s="63" t="str"/>
      <x:c r="M512" s="63" t="str">
        <x:v>解：“鹊桥二号”制动时，需要沿与运动方向相同的方向喷射高温气体，因物体间力的作用是相互的，则高温气体反过来对卫星施加制动力； 对卫星施加制动力，这说明力可以改变物体的运动状态； “鹊桥二号”中继星利用电磁波传递航天器与地球之间的信息。 故答案为：相同；运动状态；电磁波。</x:v>
      </x:c>
      <x:c r="N512" s="63" t="str">
        <x:v>https://k12static.xdf.cn/k12/image/externalized/4cbe0f18-bc4e-40dd-8da3-a1641962a7fd.png</x:v>
      </x:c>
      <x:c r="O512" s="63" t="str">
        <x:v>https://k12static.xdf.cn/k12/image/externalized/826fe0fc-b93b-4414-8c4c-aff2065b5153.png</x:v>
      </x:c>
      <x:c r="P512" s="63" t="str">
        <x:v>1-2步</x:v>
      </x:c>
      <x:c r="Q512" s="63" t="str">
        <x:v>概念判断</x:v>
      </x:c>
      <x:c r="R512" s="63" t="str">
        <x:v>单状态</x:v>
      </x:c>
      <x:c r="S512" s="63" t="str">
        <x:v>无约束</x:v>
      </x:c>
      <x:c r="T512" s="63" t="str">
        <x:v>无</x:v>
      </x:c>
      <x:c r="U512" s="63" t="str">
        <x:v>无</x:v>
      </x:c>
      <x:c r="V512" s="63" t="str">
        <x:v>直接套用</x:v>
      </x:c>
    </x:row>
    <x:row r="513">
      <x:c r="A513" s="64" t="str">
        <x:v>​3392010509767172096</x:v>
      </x:c>
      <x:c r="B513" s="65" t="str">
        <x:v>拔高题</x:v>
      </x:c>
      <x:c r="C513" s="65" t="str">
        <x:v>拔高题</x:v>
      </x:c>
      <x:c r="D513" s="65" t="str">
        <x:v>拔高题</x:v>
      </x:c>
      <x:c r="E513" s="65" t="str">
        <x:v>逐题复核后保留GPT裁定</x:v>
      </x:c>
      <x:c r="F513" s="65" t="str">
        <x:v>高</x:v>
      </x:c>
      <x:c r="G513" s="65" t="str">
        <x:v>拔高题</x:v>
      </x:c>
      <x:c r="H513" s="65" t="str">
        <x:v>拔高题</x:v>
      </x:c>
      <x:c r="I513" s="65" t="str">
        <x:v>最高难任务在标准实验流程、读数与数据归纳中包含图线反推、状态转换、误差评价、几何/等效转换、方程联立或参数反求等决定性卡点，整体约5—6个有效决策；尚未形成压轴所需的完整复杂约束网络。</x:v>
      </x:c>
      <x:c r="J513" s="65" t="str">
        <x:v>三次运行错题并集逐题复核</x:v>
      </x:c>
      <x:c r="K513" s="63" t="str">
        <x:v>在探究“冰的熔化特点”的实验中，分别在烧杯和试管中放入适量的碎冰，并各放了一支温度计如图甲，实验过程中根据两个温度计的示数随时间变化分别作出ABCD和AEFG两个图像如图乙，下列说法正确的是（ ）</x:v>
      </x:c>
      <x:c r="L513" s="63" t="str">
        <x:v>A. 图乙中实线是试管内碎冰温度随时间变化的图像 B. 试管内的碎冰熔化过程经历了9min C. 图乙中第6min末烧杯和试管中的碎冰都处于固液共存态 D. 图乙中加热到第4min末烧杯内的碎冰处于固态</x:v>
      </x:c>
      <x:c r="M513" s="63" t="str">
        <x:v>A．烧杯内的冰直接吸收烧杯传递的热量，温度上升较快，熔化的较快，图乙中实线是烧杯内碎冰温度随时间变化的图像，故A错误；B．如图，烧杯中的冰从第4min开始熔化，第10min结束，烧杯中的冰熔化时温度保持0℃不变，试管中的冰温度第5min末上升到0℃时，不能从烧杯中吸收热量，不能熔化，只有当烧杯内的冰熔化完后温度上升时，试管内的冰才开始熔化，因此试管内的冰从第10min开始熔化，14min熔化结束，试管内的碎冰熔化过程经历了4min，故B错误；C．由B中的分析可知，图乙中第6min末烧杯中的碎冰处于固液共存态，试管内的冰还未开始熔化，处于固态，故C错误；D．图乙中加热到第4min末时，冰的温度刚好达到熔点温度，还未开始熔化，烧杯内的碎冰处于固态，故D正确。故选D。</x:v>
      </x:c>
      <x:c r="N513" s="63" t="str">
        <x:v>https://k12static.xdf.cn/k12/image/externalized/226a6734-7e68-41b3-84ca-030fb4bc48d6.png</x:v>
      </x:c>
      <x:c r="O513" s="63" t="str">
        <x:v>https://k12static.xdf.cn/k12/image/externalized/317adf43-4232-40ec-9500-9341c1154ef9.png</x:v>
      </x:c>
      <x:c r="P513" s="63" t="str">
        <x:v>3-5步</x:v>
      </x:c>
      <x:c r="Q513" s="63" t="str">
        <x:v>概念判断</x:v>
      </x:c>
      <x:c r="R513" s="63" t="str">
        <x:v>双状态</x:v>
      </x:c>
      <x:c r="S513" s="63" t="str">
        <x:v>无约束</x:v>
      </x:c>
      <x:c r="T513" s="63" t="str">
        <x:v>控制变量或故障分析</x:v>
      </x:c>
      <x:c r="U513" s="63" t="str">
        <x:v>多组比较归纳</x:v>
      </x:c>
      <x:c r="V513" s="63" t="str">
        <x:v>多层因果推理</x:v>
      </x:c>
    </x:row>
    <x:row r="514">
      <x:c r="A514" s="64" t="str">
        <x:v>​3392010666321489920</x:v>
      </x:c>
      <x:c r="B514" s="65" t="str">
        <x:v>拔高题</x:v>
      </x:c>
      <x:c r="C514" s="65" t="str">
        <x:v>拔高题</x:v>
      </x:c>
      <x:c r="D514" s="65" t="str">
        <x:v>拔高题</x:v>
      </x:c>
      <x:c r="E514" s="65" t="str">
        <x:v>逐题复核后保留GPT裁定</x:v>
      </x:c>
      <x:c r="F514" s="65" t="str">
        <x:v>高</x:v>
      </x:c>
      <x:c r="G514" s="65" t="str">
        <x:v>拔高题</x:v>
      </x:c>
      <x:c r="H514" s="65" t="str">
        <x:v>拔高题</x:v>
      </x:c>
      <x:c r="I514" s="65" t="str">
        <x:v>最高难任务在标准实验流程、读数与数据归纳中包含图线反推、状态转换、误差评价、几何/等效转换、方程联立或参数反求等决定性卡点，整体约5—6个有效决策；尚未形成压轴所需的完整复杂约束网络。</x:v>
      </x:c>
      <x:c r="J514" s="65" t="str">
        <x:v>三次运行错题并集逐题复核</x:v>
      </x:c>
      <x:c r="K514" s="63" t="str">
        <x:v>如图甲是小明用水浴法探究海波熔化特点的实验装置，根据温度计A和B的示数，绘制了海波和热水的温度随时间变化的图像，则（ ）</x:v>
      </x:c>
      <x:c r="L514" s="63" t="str">
        <x:v>A. 海波的沸点为48℃ B. 海波的熔化时间为10min C. 第12min末海波的状态可能是液态 D. 海波在5~12min吸收热量，温度不变</x:v>
      </x:c>
      <x:c r="M514" s="63" t="str">
        <x:v>A．海波的熔点为48℃，沸点高于48℃，故A不符合题意； B．由乙图可知，10min后水的温度跟海波的温度相同都是48℃，无法判断熔化是否结束，故无法判断海波的熔化时间，故B不符合题意；C．第12min末海波的状态可能熔化结束，可能是液态，故C符合题意； D．10~12min水的温度跟海波的温度相同都是48℃，海波不能吸收热量，故D不符合题意。故选C。</x:v>
      </x:c>
      <x:c r="N514" s="63" t="str">
        <x:v>https://k12static.xdf.cn/k12/image/externalized/0c2f9174-42b2-4f65-b82f-0c993a9eec42.png</x:v>
      </x:c>
      <x:c r="O514" s="63" t="str">
        <x:v>https://k12static.xdf.cn/k12/image/externalized/caf9a804-dcf8-4bc0-84c0-b5be27bd3303.png</x:v>
      </x:c>
      <x:c r="P514" s="63" t="str">
        <x:v>3-5步</x:v>
      </x:c>
      <x:c r="Q514" s="63" t="str">
        <x:v>概念判断</x:v>
      </x:c>
      <x:c r="R514" s="63" t="str">
        <x:v>双状态</x:v>
      </x:c>
      <x:c r="S514" s="63" t="str">
        <x:v>无约束</x:v>
      </x:c>
      <x:c r="T514" s="63" t="str">
        <x:v>控制变量或故障分析</x:v>
      </x:c>
      <x:c r="U514" s="63" t="str">
        <x:v>多组比较归纳</x:v>
      </x:c>
      <x:c r="V514" s="63" t="str">
        <x:v>多层因果推理</x:v>
      </x:c>
    </x:row>
    <x:row r="515">
      <x:c r="A515" s="64" t="str">
        <x:v>​3419868411753152512</x:v>
      </x:c>
      <x:c r="B515" s="65" t="str">
        <x:v>拔高题</x:v>
      </x:c>
      <x:c r="C515" s="65" t="str">
        <x:v>拔高题</x:v>
      </x:c>
      <x:c r="D515" s="65" t="str">
        <x:v>拔高题</x:v>
      </x:c>
      <x:c r="E515" s="65" t="str">
        <x:v>逐题复核后保留GPT裁定</x:v>
      </x:c>
      <x:c r="F515" s="65" t="str">
        <x:v>高</x:v>
      </x:c>
      <x:c r="G515" s="65" t="str">
        <x:v>拔高题</x:v>
      </x:c>
      <x:c r="H515" s="65" t="str">
        <x:v>拔高题</x:v>
      </x:c>
      <x:c r="I515" s="65" t="str">
        <x:v>最高难任务在力学模型、运动/受力与能量关系中包含图线反推、状态转换、误差评价、几何/等效转换、方程联立或参数反求等决定性卡点，整体约5—6个有效决策；尚未形成压轴所需的完整复杂约束网络。</x:v>
      </x:c>
      <x:c r="J515" s="65" t="str">
        <x:v>三次运行错题并集逐题复核</x:v>
      </x:c>
      <x:c r="K515" s="63" t="str">
        <x:v>如图中，一段弹簧固定在水平桌面上（如图甲所示），将一个小球放在弹簧上使其处于静止状态（如图乙所示）、用竖直向下的力$F$压小球至如图丙的位置，然后撤去力$F$，小球向上运动到A点后下落（如图丁所示）、不计空气阻力的影响。则从撤去力$F$到小球运动到A点的过程中，下列说法中正确的是（ ）</x:v>
      </x:c>
      <x:c r="L515" s="63" t="str">
        <x:v>A. 小球先加速运动，后减速运动 B. 小球在A点速度为零，受力平衡 C. 小球离开弹簧时的速度最大 D. 小球离开弹簧前受到的合力先增大后减小</x:v>
      </x:c>
      <x:c r="M515" s="63" t="str">
        <x:v>A．小球从丙位置释放后向上运动，初始时弹簧弹力大于小球重力，合力向上，小球做加速运动。随着小球向上运动，弹簧压缩量减小，弹力随之减小。当弹力减小到等于重力时，小球合力为零，速度达到最大。小球继续向上运动，弹力小于重力，合力向下，与运动方向相反，小球开始做减速运动。小球离开弹簧后，只受重力作用，继续向上做减速运动。因此，从撤去力F到小球运动至A点的整个过程中，小球是先加速后减速，故A正确；B．小球运动到最高点A时，瞬时速度为零。此时小球只受到竖直向下的重力作用，所受合力不为零，因此不是受力平衡状态，故B错误；C．小球速度最大的位置是弹力等于重力的位置，此时合力为零，加速度为零。而小球离开弹簧时，弹力为零，小球只受重力作用，已经处于减速阶段，所以离开弹簧时的速度不是最大的，故C错误；D．小球离开弹簧前，所受合力$F_{\mathrm{合}}$等于弹力$F_{\mathrm{弹}}$与重力G的差。刚开始时，$F_{\mathrm{弹}}&gt; G$，$F_{\mathrm{合}}=F_{\mathrm{弹}}-G$，方向向上；随着小球上升，$F_{\mathrm{弹}}$减小，$F_{\mathrm{合}}$减小。当$F_{\mathrm{弹}}=G$时，$F_{\mathrm{合}}=0$。小球继续上升，$F_{\mathrm{弹}}，$F_{\mathrm{合}}=G-F_{\mathrm{弹}}$，方向向下；随着$F_{\mathrm{弹}}$继续减小，$F_{\mathrm{合}}$反向增大。所以，小球离开弹簧前受到的合力是先减小后增大，故D错误。故选A。</x:v>
      </x:c>
      <x:c r="N515" s="63" t="str">
        <x:v>https://k12static.xdf.cn/k12/image/externalized/8346037b-e647-40ff-bc8c-c9a276caf006.png</x:v>
      </x:c>
      <x:c r="O515" s="63" t="str">
        <x:v>https://k12static.xdf.cn/k12/image/externalized/5b5606f2-1d39-4ffe-93c4-e2fc7eb4de7c.png</x:v>
      </x:c>
      <x:c r="P515" s="63" t="str">
        <x:v>3-5步</x:v>
      </x:c>
      <x:c r="Q515" s="63" t="str">
        <x:v>概念判断</x:v>
      </x:c>
      <x:c r="R515" s="63" t="str">
        <x:v>连续变化或临界状态</x:v>
      </x:c>
      <x:c r="S515" s="63" t="str">
        <x:v>单一约束</x:v>
      </x:c>
      <x:c r="T515" s="63" t="str">
        <x:v>无</x:v>
      </x:c>
      <x:c r="U515" s="63" t="str">
        <x:v>无</x:v>
      </x:c>
      <x:c r="V515" s="63" t="str">
        <x:v>多层因果推理</x:v>
      </x:c>
    </x:row>
    <x:row r="516">
      <x:c r="A516" s="64" t="str">
        <x:v>​3506676049990713344</x:v>
      </x:c>
      <x:c r="B516" s="65" t="str">
        <x:v>中等题</x:v>
      </x:c>
      <x:c r="C516" s="65" t="str">
        <x:v>中等题</x:v>
      </x:c>
      <x:c r="D516" s="65" t="str">
        <x:v>中等题</x:v>
      </x:c>
      <x:c r="E516" s="65" t="str">
        <x:v>保留原GPT裁定</x:v>
      </x:c>
      <x:c r="F516" s="65" t="str">
        <x:v>高</x:v>
      </x:c>
      <x:c r="G516" s="65" t="str">
        <x:v>中等题</x:v>
      </x:c>
      <x:c r="H516" s="65" t="str">
        <x:v>拔高题</x:v>
      </x:c>
      <x:c r="I516" s="65" t="str">
        <x:v>题干、解析与结构证据支持中等题：step=3-5步，题型=概念判断，状态=双状态，约束=单一约束，推理=多层因果推理。教师、盲评和多次模型证据中未形成足以推翻原裁定的同向结构证据。</x:v>
      </x:c>
      <x:c r="J516" s="65" t="str">
        <x:v>未进入三次错题并集；逐题结构一致性复核</x:v>
      </x:c>
      <x:c r="K516" s="63" t="str">
        <x:v>如图所示，小明洗碗时发现，向漂浮在水面上的碗中加水，碗浸入水的深度越来越大，当水量增加到一定程度时，碗浸没水中，直至沉底。假如碗里水的质量是缓慢均匀增加的，则下列关于碗受到的浮力随时间变化规律的图像可能是（ ）</x:v>
      </x:c>
      <x:c r="L516" s="63" t="str"/>
      <x:c r="M516" s="63" t="str">
        <x:v>解：向漂浮在水面上的碗中加水，碗浸入水的深度增大，其排开水的体积增大，由F浮=ρ水gV排可得，碗受到的浮力逐渐变大，且碗在浸没之前，始终处于漂浮状态，则F浮=G碗+G加水，因碗里水的质量是缓慢均匀增加的，则开始一段时间内浮力是均匀增大的； 碗浸没在水中后，其排开水的体积突然变小（仅等于碗自身的体积），由F浮=ρ水gV排可得，所受浮力突然变小，且碗在下沉过程中（浸没）其排开水的体积不变，则碗受到的浮力不变；最初碗受到的浮力F浮=G碗，而碗浸没后处于下沉状态，由浮沉条件可知F浮′＜G碗，所以碗受到的浮力先均匀增大，然后突然减小，最后不变，且最后受到的浮力小于最初受到的浮力（t=0时刻），故只有D图符合题意。 故选：D。</x:v>
      </x:c>
      <x:c r="N516" s="63" t="str">
        <x:v>https://k12static.xdf.cn/k12/image/externalized/efe40092-a25c-4fcb-8b5c-f2a87ace408c.png</x:v>
      </x:c>
      <x:c r="O516" s="63" t="str">
        <x:v>https://k12static.xdf.cn/k12/image/externalized/cdf90cb0-ea00-4606-b602-77a1a8190d04.png</x:v>
      </x:c>
      <x:c r="P516" s="63" t="str">
        <x:v>3-5步</x:v>
      </x:c>
      <x:c r="Q516" s="63" t="str">
        <x:v>概念判断</x:v>
      </x:c>
      <x:c r="R516" s="63" t="str">
        <x:v>双状态</x:v>
      </x:c>
      <x:c r="S516" s="63" t="str">
        <x:v>单一约束</x:v>
      </x:c>
      <x:c r="T516" s="63" t="str">
        <x:v>无</x:v>
      </x:c>
      <x:c r="U516" s="63" t="str">
        <x:v>多组比较归纳</x:v>
      </x:c>
      <x:c r="V516" s="63" t="str">
        <x:v>多层因果推理</x:v>
      </x:c>
    </x:row>
    <x:row r="517">
      <x:c r="A517" s="64" t="str">
        <x:v>​3512540400955781120</x:v>
      </x:c>
      <x:c r="B517" s="65" t="str">
        <x:v>基础题</x:v>
      </x:c>
      <x:c r="C517" s="65" t="str">
        <x:v>基础题</x:v>
      </x:c>
      <x:c r="D517" s="65" t="str">
        <x:v>基础题</x:v>
      </x:c>
      <x:c r="E517" s="65" t="str">
        <x:v>逐题复核后保留GPT裁定</x:v>
      </x:c>
      <x:c r="F517" s="65" t="str">
        <x:v>高</x:v>
      </x:c>
      <x:c r="G517" s="65" t="str">
        <x:v>基础题</x:v>
      </x:c>
      <x:c r="H517" s="65" t="str">
        <x:v>基础题</x:v>
      </x:c>
      <x:c r="I517" s="65" t="str">
        <x:v>最高难任务为1—2步显性应用、规范操作或简单因果，没有连续模型转换。 题目证据：四个选项分别调用不同知识点，每个选项都是直接检索教材结论，最长有效推理链仅1步。五维中知识量虽然覆盖多个知识点，但每个知识点都是单一直接识别，无过程拆解、无公式运算、无情境理解负担，思维层次属于识记再现。</x:v>
      </x:c>
      <x:c r="J517" s="65" t="str">
        <x:v>三次运行错题并集逐题复核</x:v>
      </x:c>
      <x:c r="K517" s="63" t="str">
        <x:v>近年来，我国在科技领域取得了许多辉煌的成就。下列说法正确的是（ ）</x:v>
      </x:c>
      <x:c r="L517" s="63" t="str">
        <x:v>A. “华龙一号”核电站利用氢原子核聚变时释放大量能量来发电 B. “魔方Ⅲ”超级计算机的芯片是采用超导体材料 C. “福建舰”航母动力系统把机械能转化为化学能 D. “天宫一号”利用太阳能发电时遵循能量守恒定律</x:v>
      </x:c>
      <x:c r="M517" s="63" t="str">
        <x:v>A．人类获取核能的方式有：核聚变和核裂变，“华龙一号”核电站利用可控的铀核裂变时释放大量能量发电的，故A错误；B．半导体的导电性能在导体和绝缘体之间，半导体材料如硅是制造“魔方Ⅲ”超级计算机芯片的核心材料，故B错误；C．“福建舰”航母动力系统采用的是常规动力——大功率蒸汽轮机，工作时把燃料燃烧释放的内能转化为机械能，故C错误；D．自然界中任何形式的能量转化都遵循能量守恒定律，故“天宫一号”利用太阳能发电时遵循能量守恒定律，故D正确。故选D。</x:v>
      </x:c>
      <x:c r="N517" s="63" t="str">
        <x:v>https://k12static.xdf.cn/k12/image/externalized/83abaf75-8240-4692-bbb6-5c7e4c03154e.png</x:v>
      </x:c>
      <x:c r="O517" s="63" t="str">
        <x:v>https://k12static.xdf.cn/k12/image/externalized/e0153093-3c35-4fce-8fba-79b3e6358308.png</x:v>
      </x:c>
      <x:c r="P517" s="63" t="str">
        <x:v>1-2步</x:v>
      </x:c>
      <x:c r="Q517" s="63" t="str">
        <x:v>概念判断</x:v>
      </x:c>
      <x:c r="R517" s="63" t="str">
        <x:v>单状态</x:v>
      </x:c>
      <x:c r="S517" s="63" t="str">
        <x:v>无约束</x:v>
      </x:c>
      <x:c r="T517" s="63" t="str">
        <x:v>无</x:v>
      </x:c>
      <x:c r="U517" s="63" t="str">
        <x:v>无</x:v>
      </x:c>
      <x:c r="V517" s="63" t="str">
        <x:v>直接套用</x:v>
      </x:c>
    </x:row>
    <x:row r="518">
      <x:c r="A518" s="64" t="str">
        <x:v>​3522789460171612160</x:v>
      </x:c>
      <x:c r="B518" s="65" t="str">
        <x:v>基础题</x:v>
      </x:c>
      <x:c r="C518" s="65" t="str">
        <x:v>基础题</x:v>
      </x:c>
      <x:c r="D518" s="65" t="str">
        <x:v>基础题</x:v>
      </x:c>
      <x:c r="E518" s="65" t="str">
        <x:v>保留原GPT裁定</x:v>
      </x:c>
      <x:c r="F518" s="65" t="str">
        <x:v>高</x:v>
      </x:c>
      <x:c r="G518" s="65" t="str">
        <x:v>送分题</x:v>
      </x:c>
      <x:c r="H518" s="65" t="str">
        <x:v>基础题</x:v>
      </x:c>
      <x:c r="I518" s="65" t="str">
        <x:v>题干、解析与结构证据支持基础题：step=1-2步，题型=概念判断，状态=单状态，约束=无约束，推理=简单因果推理。教师、盲评和多次模型证据中未形成足以推翻原裁定的同向结构证据。</x:v>
      </x:c>
      <x:c r="J518" s="65" t="str">
        <x:v>未进入三次错题并集；逐题结构一致性复核</x:v>
      </x:c>
      <x:c r="K518" s="63" t="str">
        <x:v>下面是某同学的“物理学习笔记”中的摘录，不正确的是（ ）</x:v>
      </x:c>
      <x:c r="L518" s="63" t="str">
        <x:v>A. 电能和核能属于可再生能源 B. 电压是电路中形成电流的原因 C. 燃料的热值与燃料的燃烧程度无关 D. 家庭电路中电流过大的原因可能是同时使用了过多的大功率用电器</x:v>
      </x:c>
      <x:c r="M518" s="63" t="str">
        <x:v>A．电能是二次能源，需要消耗一次能源转化得到；核能依赖铀等核燃料，属于不可再生能源。故A错误，符合题意；B．电压是使电路中自由电荷定向移动形成电流的原因，故B正确，不符合题意；C．热值是燃料本身的特性，只与燃料种类有关，与燃烧程度、质量等无关，故C正确，不符合题意；D．家庭电路中电流过大的原因有两个：一是短路，二是同时使用了过多大功率用电器，电路总功率过大，故D正确，不符合题意；故选A。</x:v>
      </x:c>
      <x:c r="N518" s="63" t="str">
        <x:v>https://k12static.xdf.cn/k12/image/externalized/76abca3b-d7b1-4a6f-819d-a9a728a73078.png</x:v>
      </x:c>
      <x:c r="O518" s="63" t="str">
        <x:v>https://k12static.xdf.cn/k12/image/externalized/19971b9c-4fa4-4021-9b71-0facbcf3048e.png</x:v>
      </x:c>
      <x:c r="P518" s="63" t="str">
        <x:v>1-2步</x:v>
      </x:c>
      <x:c r="Q518" s="63" t="str">
        <x:v>概念判断</x:v>
      </x:c>
      <x:c r="R518" s="63" t="str">
        <x:v>单状态</x:v>
      </x:c>
      <x:c r="S518" s="63" t="str">
        <x:v>无约束</x:v>
      </x:c>
      <x:c r="T518" s="63" t="str">
        <x:v>无</x:v>
      </x:c>
      <x:c r="U518" s="63" t="str">
        <x:v>无</x:v>
      </x:c>
      <x:c r="V518" s="63" t="str">
        <x:v>简单因果推理</x:v>
      </x:c>
    </x:row>
    <x:row r="519">
      <x:c r="A519" s="64" t="str">
        <x:v>​3553150149832237056</x:v>
      </x:c>
      <x:c r="B519" s="65" t="str">
        <x:v>中等题</x:v>
      </x:c>
      <x:c r="C519" s="65" t="str">
        <x:v>中等题</x:v>
      </x:c>
      <x:c r="D519" s="65" t="str">
        <x:v>中等题</x:v>
      </x:c>
      <x:c r="E519" s="65" t="str">
        <x:v>保留原GPT裁定</x:v>
      </x:c>
      <x:c r="F519" s="65" t="str">
        <x:v>高</x:v>
      </x:c>
      <x:c r="G519" s="65" t="str">
        <x:v>基础题</x:v>
      </x:c>
      <x:c r="H519" s="65" t="str">
        <x:v>中等题</x:v>
      </x:c>
      <x:c r="I519" s="65" t="str">
        <x:v>题干、解析与结构证据支持中等题：step=3-5步，题型=跨模块综合，状态=单状态，约束=无约束，推理=多层因果推理。教师、盲评和多次模型证据中未形成足以推翻原裁定的同向结构证据。</x:v>
      </x:c>
      <x:c r="J519" s="65" t="str">
        <x:v>未进入三次错题并集；逐题结构一致性复核</x:v>
      </x:c>
      <x:c r="K519" s="63" t="str">
        <x:v>空气能热水器的工作原理简化为如图所示。工作物质在蒸发器中吸收空气的热迅速汽化，通过消耗少量电能驱动的压缩机将其压缩成高温高压的气体，在冷凝器内液化放出热量，并对冷水加热，使水温升高，达到制热水的目的。下表是某型号空气能热水器的部分参数，其中65L/h表示此热水器当进水温度为15℃，出水温度为55℃时，每小时可出热水65L。某学校用该热水器一天平均正常工作1小时。请回答下列问题：额定制热水量65L/h额定电压/频率220V/50Hz额定输入功率800W水箱型号100L</x:v>
      </x:c>
      <x:c r="L519" s="63" t="str"/>
      <x:c r="M519" s="63" t="str"/>
      <x:c r="N519" s="63" t="str">
        <x:v>https://k12static.xdf.cn/k12/image/externalized/a0281259-990a-4214-854f-233738dd6c28.png</x:v>
      </x:c>
      <x:c r="O519" s="63" t="str">
        <x:v>https://k12static.xdf.cn/k12/image/externalized/eb10423b-ad97-4e15-af8a-7f6f9ba8666d.png</x:v>
      </x:c>
      <x:c r="P519" s="63" t="str">
        <x:v>3-5步</x:v>
      </x:c>
      <x:c r="Q519" s="63" t="str">
        <x:v>跨模块综合</x:v>
      </x:c>
      <x:c r="R519" s="63" t="str">
        <x:v>单状态</x:v>
      </x:c>
      <x:c r="S519" s="63" t="str">
        <x:v>无约束</x:v>
      </x:c>
      <x:c r="T519" s="63" t="str">
        <x:v>无</x:v>
      </x:c>
      <x:c r="U519" s="63" t="str">
        <x:v>无</x:v>
      </x:c>
      <x:c r="V519" s="63" t="str">
        <x:v>多层因果推理</x:v>
      </x:c>
    </x:row>
    <x:row r="520">
      <x:c r="A520" s="64" t="str">
        <x:v>​3556155667432656896</x:v>
      </x:c>
      <x:c r="B520" s="65" t="str">
        <x:v>压轴题</x:v>
      </x:c>
      <x:c r="C520" s="65" t="str">
        <x:v>压轴题</x:v>
      </x:c>
      <x:c r="D520" s="65" t="str">
        <x:v>压轴题</x:v>
      </x:c>
      <x:c r="E520" s="65" t="str">
        <x:v>保留原GPT裁定</x:v>
      </x:c>
      <x:c r="F520" s="65" t="str">
        <x:v>高</x:v>
      </x:c>
      <x:c r="G520" s="65" t="str">
        <x:v>压轴题</x:v>
      </x:c>
      <x:c r="H520" s="65" t="str">
        <x:v>压轴题</x:v>
      </x:c>
      <x:c r="I520" s="65" t="str">
        <x:v>题干、解析与结构证据支持压轴题：step=6-8步，题型=跨模块综合，状态=双状态，约束=多约束，推理=逆向推理或临界分析。教师、盲评和多次模型证据中未形成足以推翻原裁定的同向结构证据。</x:v>
      </x:c>
      <x:c r="J520" s="65" t="str">
        <x:v>未进入三次错题并集；逐题结构一致性复核</x:v>
      </x:c>
      <x:c r="K520" s="63" t="str">
        <x:v>小明设计了一个压力报警模拟装置。如图甲所示，$OBA$为水平杠杆，$OA$长为$1\,\mathrm{m}$，$O$为支点，$OB\colon AB=1\colon 9$，水平踏板、压杆和杠杆的质量忽略不计。控制电路中电源电压$U_{1}=6\,\mathrm{V}$，$R_{0}$为保护电阻，电磁铁线圈电阻不计，压力传感器$R$固定放置，踏板空载时通过$R$的电流恰好为$150\,\mathrm{mA}$，$R$的阻值随压力$F$变化关系如图乙所示。当电磁铁线圈中的电流$I&gt; 100\mathrm{~ mA}$时，衔铁被吸下，金属板下方触点与$a$、$b$接触，绿灯亮，照相机$R_{3}$拍照；当电磁铁线圈中的电流$I\leq 100\mathrm{~ mA}$时，金属板上方触点与$c$接触，报警器$R_{2}$响起，照相机$R_{3}$拍照。求：</x:v>
      </x:c>
      <x:c r="L520" s="63" t="str"/>
      <x:c r="M520" s="63" t="str"/>
      <x:c r="N520" s="63" t="str">
        <x:v>https://k12static.xdf.cn/k12/image/externalized/d3aaba0f-f51a-46f6-a83e-f35c987753f4.png</x:v>
      </x:c>
      <x:c r="O520" s="63" t="str">
        <x:v>https://k12static.xdf.cn/k12/image/externalized/374ef111-64f2-4504-adc7-f24e4415deaf.png</x:v>
      </x:c>
      <x:c r="P520" s="63" t="str">
        <x:v>6-8步</x:v>
      </x:c>
      <x:c r="Q520" s="63" t="str">
        <x:v>跨模块综合</x:v>
      </x:c>
      <x:c r="R520" s="63" t="str">
        <x:v>双状态</x:v>
      </x:c>
      <x:c r="S520" s="63" t="str">
        <x:v>多约束</x:v>
      </x:c>
      <x:c r="T520" s="63" t="str">
        <x:v>无</x:v>
      </x:c>
      <x:c r="U520" s="63" t="str">
        <x:v>图像反推或外推</x:v>
      </x:c>
      <x:c r="V520" s="63" t="str">
        <x:v>逆向推理或临界分析</x:v>
      </x:c>
    </x:row>
    <x:row r="521">
      <x:c r="A521" s="64" t="str">
        <x:v>​3560066508573966336</x:v>
      </x:c>
      <x:c r="B521" s="65" t="str">
        <x:v>拔高题</x:v>
      </x:c>
      <x:c r="C521" s="65" t="str">
        <x:v>拔高题</x:v>
      </x:c>
      <x:c r="D521" s="65" t="str">
        <x:v>拔高题</x:v>
      </x:c>
      <x:c r="E521" s="65" t="str">
        <x:v>保留原GPT裁定</x:v>
      </x:c>
      <x:c r="F521" s="65" t="str">
        <x:v>中</x:v>
      </x:c>
      <x:c r="G521" s="65" t="str">
        <x:v>中等题</x:v>
      </x:c>
      <x:c r="H521" s="65" t="str">
        <x:v>压轴题</x:v>
      </x:c>
      <x:c r="I521" s="65" t="str">
        <x:v>题干、解析与结构证据支持拔高题：step=3-5步，题型=跨模块综合，状态=双状态，约束=单一约束，推理=多层因果推理。教师、盲评和多次模型证据中未形成足以推翻原裁定的同向结构证据。</x:v>
      </x:c>
      <x:c r="J521" s="65" t="str">
        <x:v>未进入三次错题并集；逐题结构一致性复核</x:v>
      </x:c>
      <x:c r="K521" s="63" t="str">
        <x:v>新能源汽车近年来发展迅猛，某款国产新能源汽车深受消费者青睐，相比其他新能源汽车，它具有续航里程长、充电速度快的优点，妞妞家也购买了一辆，同时安装了充电桩把交流电转换为直流电给车充电，充电桩铭牌上的部分参数如下表所示。在2024年春季，妞妞的妈妈驾驶该车在平直公路上以100km/h的速度匀速直线行驶了10km,所受的阻力恒为2700N。（不计电磁铁线圈的阻值，g取10N/kg）</x:v>
      </x:c>
      <x:c r="L521" s="63" t="str"/>
      <x:c r="M521" s="63" t="str"/>
      <x:c r="N521" s="63" t="str">
        <x:v>https://k12static.xdf.cn/k12/image/externalized/cbb8fa50-087b-420a-b176-7fac164bf918.png</x:v>
      </x:c>
      <x:c r="O521" s="63" t="str">
        <x:v>https://k12static.xdf.cn/k12/image/externalized/de2545eb-d6db-42bc-b1c3-ef7fb9f1ae29.png</x:v>
      </x:c>
      <x:c r="P521" s="63" t="str">
        <x:v>3-5步</x:v>
      </x:c>
      <x:c r="Q521" s="63" t="str">
        <x:v>跨模块综合</x:v>
      </x:c>
      <x:c r="R521" s="63" t="str">
        <x:v>双状态</x:v>
      </x:c>
      <x:c r="S521" s="63" t="str">
        <x:v>单一约束</x:v>
      </x:c>
      <x:c r="T521" s="63" t="str">
        <x:v>无</x:v>
      </x:c>
      <x:c r="U521" s="63" t="str">
        <x:v>直接读数</x:v>
      </x:c>
      <x:c r="V521" s="63" t="str">
        <x:v>多层因果推理</x:v>
      </x:c>
    </x:row>
    <x:row r="522">
      <x:c r="A522" s="64" t="str">
        <x:v>​3587676408395444224</x:v>
      </x:c>
      <x:c r="B522" s="65" t="str">
        <x:v>拔高题</x:v>
      </x:c>
      <x:c r="C522" s="65" t="str">
        <x:v>拔高题</x:v>
      </x:c>
      <x:c r="D522" s="65" t="str">
        <x:v>拔高题</x:v>
      </x:c>
      <x:c r="E522" s="65" t="str">
        <x:v>逐题复核后保留GPT裁定</x:v>
      </x:c>
      <x:c r="F522" s="65" t="str">
        <x:v>高</x:v>
      </x:c>
      <x:c r="G522" s="65" t="str">
        <x:v>拔高题</x:v>
      </x:c>
      <x:c r="H522" s="65" t="str">
        <x:v>拔高题</x:v>
      </x:c>
      <x:c r="I522" s="65" t="str">
        <x:v>最高难任务在实验方案、误差/评价或改进任务中包含图线反推、状态转换、误差评价、几何/等效转换、方程联立或参数反求等决定性卡点，整体约5—6个有效决策；尚未形成压轴所需的完整复杂约束网络。</x:v>
      </x:c>
      <x:c r="J522" s="65" t="str">
        <x:v>三次运行错题并集逐题复核</x:v>
      </x:c>
      <x:c r="K522" s="63" t="str">
        <x:v>小明在探究“电流与电阻的关系”时，实验器材有∶三节新的干电池（总电压为4.5V）、电流表、电压表、滑动变阻器（标有“20Ω 2A”字样）、定值电阻5个5Ω、10Ω、15Ω、 20Ω、50Ω，开关一个，导线若干。</x:v>
      </x:c>
      <x:c r="L522" s="63" t="str"/>
      <x:c r="M522" s="63" t="str"/>
      <x:c r="N522" s="63" t="str">
        <x:v>https://k12static.xdf.cn/k12/image/externalized/e7be2d3d-a072-4e9c-98b7-59655099d148.png</x:v>
      </x:c>
      <x:c r="O522" s="63" t="str">
        <x:v>https://k12static.xdf.cn/k12/image/externalized/18355303-b128-4b55-9024-d5ee9a90e43f.png</x:v>
      </x:c>
      <x:c r="P522" s="63" t="str">
        <x:v>3-5步</x:v>
      </x:c>
      <x:c r="Q522" s="63" t="str">
        <x:v>实验探究</x:v>
      </x:c>
      <x:c r="R522" s="63" t="str">
        <x:v>双状态</x:v>
      </x:c>
      <x:c r="S522" s="63" t="str">
        <x:v>多约束</x:v>
      </x:c>
      <x:c r="T522" s="63" t="str">
        <x:v>控制变量或故障分析</x:v>
      </x:c>
      <x:c r="U522" s="63" t="str">
        <x:v>多组比较归纳</x:v>
      </x:c>
      <x:c r="V522" s="63" t="str">
        <x:v>多层因果推理</x:v>
      </x:c>
    </x:row>
    <x:row r="523">
      <x:c r="A523" s="64" t="str">
        <x:v>​3592356938405941248</x:v>
      </x:c>
      <x:c r="B523" s="65" t="str">
        <x:v>压轴题</x:v>
      </x:c>
      <x:c r="C523" s="65" t="str">
        <x:v>压轴题</x:v>
      </x:c>
      <x:c r="D523" s="65" t="str">
        <x:v>压轴题</x:v>
      </x:c>
      <x:c r="E523" s="65" t="str">
        <x:v>保留原GPT裁定</x:v>
      </x:c>
      <x:c r="F523" s="65" t="str">
        <x:v>高</x:v>
      </x:c>
      <x:c r="G523" s="65" t="str">
        <x:v>压轴题</x:v>
      </x:c>
      <x:c r="H523" s="65" t="str">
        <x:v>压轴题</x:v>
      </x:c>
      <x:c r="I523" s="65" t="str">
        <x:v>题干、解析与结构证据支持压轴题：step=6-8步，题型=跨模块综合，状态=双状态，约束=多约束，推理=逆向推理或临界分析。教师、盲评和多次模型证据中未形成足以推翻原裁定的同向结构证据。</x:v>
      </x:c>
      <x:c r="J523" s="65" t="str">
        <x:v>未进入三次错题并集；逐题结构一致性复核</x:v>
      </x:c>
      <x:c r="K523" s="63" t="str">
        <x:v>图甲是小明为家中客厅设计的“自动开合窗帘”电路，主要部件有：电磁继电器(线圈电阻不计，当电流$I\geqslant 20\mathrm{mA}$时，衔铁被吸下；当电流$I\geqslant 65\mathrm{mA}$时，线圈会烧坏)、光敏电阻$R_1$(其阻值随光照强度的变化图像如图乙)、电阻箱$R_2$、低压电源$U=6\mathrm{V}$，两个延时开关(可设置接通时间，到达设定时间后立即断开)、两个直流电源$a$和$b$(图中未画出)、直流电动机(电流从$c$流入$d$流出时，电动机顺时针转；电流从$d$流入$c$流出时，电动机逆时针转)、定滑轮等，电动机与定滑轮间距离为$4\mathrm{m}$，两者传动时皮带速度为$40\mathrm{cm/s}$。每扇窗帘一端固定在固定杆上，一端系在皮带上。 为实现当客厅外光照超过$2000\mathrm{lx}$时，两扇窗帘从窗户中间自动打开；光照低于$2000\mathrm{lx}$时，窗帘自动闭合的功能要求：</x:v>
      </x:c>
      <x:c r="L523" s="63" t="str"/>
      <x:c r="M523" s="63" t="str"/>
      <x:c r="N523" s="63" t="str">
        <x:v>https://k12static.xdf.cn/k12/image/externalized/3b86b69d-cbe7-4fea-8ef6-754067576ddf.png</x:v>
      </x:c>
      <x:c r="O523" s="63" t="str">
        <x:v>https://k12static.xdf.cn/k12/image/externalized/dd219e34-0347-4a86-b845-abe568d0127e.png</x:v>
      </x:c>
      <x:c r="P523" s="63" t="str">
        <x:v>6-8步</x:v>
      </x:c>
      <x:c r="Q523" s="63" t="str">
        <x:v>跨模块综合</x:v>
      </x:c>
      <x:c r="R523" s="63" t="str">
        <x:v>双状态</x:v>
      </x:c>
      <x:c r="S523" s="63" t="str">
        <x:v>多约束</x:v>
      </x:c>
      <x:c r="T523" s="63" t="str">
        <x:v>方案设计或误差评价</x:v>
      </x:c>
      <x:c r="U523" s="63" t="str">
        <x:v>直接读数</x:v>
      </x:c>
      <x:c r="V523" s="63" t="str">
        <x:v>逆向推理或临界分析</x:v>
      </x:c>
    </x:row>
    <x:row r="524">
      <x:c r="A524" s="64" t="str">
        <x:v>​3618095221788950528</x:v>
      </x:c>
      <x:c r="B524" s="65" t="str">
        <x:v>中等题</x:v>
      </x:c>
      <x:c r="C524" s="65" t="str">
        <x:v>中等题</x:v>
      </x:c>
      <x:c r="D524" s="65" t="str">
        <x:v>中等题</x:v>
      </x:c>
      <x:c r="E524" s="65" t="str">
        <x:v>保留原GPT裁定</x:v>
      </x:c>
      <x:c r="F524" s="65" t="str">
        <x:v>高</x:v>
      </x:c>
      <x:c r="G524" s="65" t="str">
        <x:v>中等题</x:v>
      </x:c>
      <x:c r="H524" s="65" t="str">
        <x:v>拔高题</x:v>
      </x:c>
      <x:c r="I524" s="65" t="str">
        <x:v>题干、解析与结构证据支持中等题：step=3-5步，题型=实验探究，状态=单状态，约束=单一约束，推理=多层因果推理。教师、盲评和多次模型证据中未形成足以推翻原裁定的同向结构证据。</x:v>
      </x:c>
      <x:c r="J524" s="65" t="str">
        <x:v>未进入三次错题并集；逐题结构一致性复核</x:v>
      </x:c>
      <x:c r="K524" s="63" t="str">
        <x:v>用电流表和电压表测量电阻的实验</x:v>
      </x:c>
      <x:c r="L524" s="63" t="str"/>
      <x:c r="M524" s="63" t="str"/>
      <x:c r="N524" s="63" t="str">
        <x:v>https://k12static.xdf.cn/k12/image/externalized/734ef190-e962-4771-8194-585cfc3e002a.png</x:v>
      </x:c>
      <x:c r="O524" s="63" t="str">
        <x:v>https://k12static.xdf.cn/k12/image/externalized/0cd9f43d-fbc6-4a61-bfc9-2c12de628bc9.png</x:v>
      </x:c>
      <x:c r="P524" s="63" t="str">
        <x:v>3-5步</x:v>
      </x:c>
      <x:c r="Q524" s="63" t="str">
        <x:v>实验探究</x:v>
      </x:c>
      <x:c r="R524" s="63" t="str">
        <x:v>单状态</x:v>
      </x:c>
      <x:c r="S524" s="63" t="str">
        <x:v>单一约束</x:v>
      </x:c>
      <x:c r="T524" s="63" t="str">
        <x:v>控制变量或故障分析</x:v>
      </x:c>
      <x:c r="U524" s="63" t="str">
        <x:v>直接读数</x:v>
      </x:c>
      <x:c r="V524" s="63" t="str">
        <x:v>多层因果推理</x:v>
      </x:c>
    </x:row>
    <x:row r="525">
      <x:c r="A525" s="64" t="str">
        <x:v>​3625473100589350912</x:v>
      </x:c>
      <x:c r="B525" s="65" t="str">
        <x:v>压轴题</x:v>
      </x:c>
      <x:c r="C525" s="65" t="str">
        <x:v>压轴题</x:v>
      </x:c>
      <x:c r="D525" s="65" t="str">
        <x:v>压轴题</x:v>
      </x:c>
      <x:c r="E525" s="65" t="str">
        <x:v>逐题复核后保留GPT裁定</x:v>
      </x:c>
      <x:c r="F525" s="65" t="str">
        <x:v>高</x:v>
      </x:c>
      <x:c r="G525" s="65" t="str">
        <x:v>压轴题</x:v>
      </x:c>
      <x:c r="H525" s="65" t="str">
        <x:v>压轴题</x:v>
      </x:c>
      <x:c r="I525" s="65" t="str">
        <x:v>题目把电路状态、图线/参数与安全约束组织成多对象、多状态、多约束的共享模型网络，后续任务依赖前述状态/参数，并要求分类、临界/边界、有效解筛选或可行性验证，属于7步以上的完整耦合链。</x:v>
      </x:c>
      <x:c r="J525" s="65" t="str">
        <x:v>三次运行错题并集逐题复核</x:v>
      </x:c>
      <x:c r="K525" s="63" t="str">
        <x:v>如图甲所示电路中，电源电压不变，$R_{1}=20\Omega$，滑动变阻器$R_{2}$的最大电阻为100Ω，电流表使用的量程为0~0.6A。小灯泡L的额定电压为3.8V，其电流随电压的变化规律如乙图所示。当只闭合$\mathrm{S}_{2}$时，电流表的示数为0.25A。求：</x:v>
      </x:c>
      <x:c r="L525" s="63" t="str"/>
      <x:c r="M525" s="63" t="str"/>
      <x:c r="N525" s="63" t="str">
        <x:v>https://k12static.xdf.cn/k12/image/externalized/6470831c-d5bf-43b6-8ee1-860f039efb90.png</x:v>
      </x:c>
      <x:c r="O525" s="63" t="str">
        <x:v>https://k12static.xdf.cn/k12/image/externalized/5c5478f2-a380-4de7-bb36-bf792c9f10d4.png</x:v>
      </x:c>
      <x:c r="P525" s="63" t="str">
        <x:v>3-5步</x:v>
      </x:c>
      <x:c r="Q525" s="63" t="str">
        <x:v>电路综合</x:v>
      </x:c>
      <x:c r="R525" s="63" t="str">
        <x:v>多状态</x:v>
      </x:c>
      <x:c r="S525" s="63" t="str">
        <x:v>单一约束</x:v>
      </x:c>
      <x:c r="T525" s="63" t="str">
        <x:v>无</x:v>
      </x:c>
      <x:c r="U525" s="63" t="str">
        <x:v>直接读数</x:v>
      </x:c>
      <x:c r="V525" s="63" t="str">
        <x:v>多层因果推理</x:v>
      </x:c>
    </x:row>
    <x:row r="526">
      <x:c r="A526" s="64" t="str">
        <x:v>​3640433037471981568</x:v>
      </x:c>
      <x:c r="B526" s="65" t="str">
        <x:v>拔高题</x:v>
      </x:c>
      <x:c r="C526" s="65" t="str">
        <x:v>拔高题</x:v>
      </x:c>
      <x:c r="D526" s="65" t="str">
        <x:v>拔高题</x:v>
      </x:c>
      <x:c r="E526" s="65" t="str">
        <x:v>保留原GPT裁定</x:v>
      </x:c>
      <x:c r="F526" s="65" t="str">
        <x:v>中</x:v>
      </x:c>
      <x:c r="G526" s="65" t="str">
        <x:v>拔高题</x:v>
      </x:c>
      <x:c r="H526" s="65" t="str">
        <x:v>压轴题</x:v>
      </x:c>
      <x:c r="I526" s="65" t="str">
        <x:v>题干、解析与结构证据支持拔高题：step=6-8步，题型=跨模块综合，状态=双状态，约束=单一约束，推理=多层因果推理。教师、盲评和多次模型证据中未形成足以推翻原裁定的同向结构证据。</x:v>
      </x:c>
      <x:c r="J526" s="65" t="str">
        <x:v>未进入三次错题并集；逐题结构一致性复核</x:v>
      </x:c>
      <x:c r="K526" s="63" t="str">
        <x:v>如图甲所示是电子秤的简化原理图，电源电压恒为12V，$R_{0}=20\Omega$，压力传感器的阻值$R_{x}$与所受压力F变化关系图像如图乙所示。将底面积为$400\mathrm{cm}^{2}$，自重为10N且足够高的圆柱形薄壁容器放在托盘上，加入7.5cm深的水，然后用细绳拉着底面积为$200\mathrm{cm}^{2}$，重为60N，密度为$1.5\times 10^{3}\,\mathrm{kg}/\mathrm{m}^{3}$的柱状物体缓慢放入水中，如图丙所示。忽略物体吸水，忽略细绳形变，忽略托盘和压杆的质量。水的密度为$1.0\times 10^{3}\,\mathrm{kg}/\mathrm{m}^{3}$，g取10N/kg。闭合开关S，求：</x:v>
      </x:c>
      <x:c r="L526" s="63" t="str"/>
      <x:c r="M526" s="63" t="str"/>
      <x:c r="N526" s="63" t="str">
        <x:v>https://k12static.xdf.cn/k12/image/externalized/0c751884-5d17-49f5-acee-2c14bfaf6b04.png</x:v>
      </x:c>
      <x:c r="O526" s="63" t="str">
        <x:v>https://k12static.xdf.cn/k12/image/externalized/287ee477-b648-41e8-ab06-73edfdeacb1e.png</x:v>
      </x:c>
      <x:c r="P526" s="63" t="str">
        <x:v>6-8步</x:v>
      </x:c>
      <x:c r="Q526" s="63" t="str">
        <x:v>跨模块综合</x:v>
      </x:c>
      <x:c r="R526" s="63" t="str">
        <x:v>双状态</x:v>
      </x:c>
      <x:c r="S526" s="63" t="str">
        <x:v>单一约束</x:v>
      </x:c>
      <x:c r="T526" s="63" t="str">
        <x:v>无</x:v>
      </x:c>
      <x:c r="U526" s="63" t="str">
        <x:v>直接读数</x:v>
      </x:c>
      <x:c r="V526" s="63" t="str">
        <x:v>多层因果推理</x:v>
      </x:c>
    </x:row>
    <x:row r="527">
      <x:c r="A527" s="64" t="str">
        <x:v>​3640433886569734144</x:v>
      </x:c>
      <x:c r="B527" s="65" t="str">
        <x:v>中等题</x:v>
      </x:c>
      <x:c r="C527" s="65" t="str">
        <x:v>中等题</x:v>
      </x:c>
      <x:c r="D527" s="65" t="str">
        <x:v>中等题</x:v>
      </x:c>
      <x:c r="E527" s="65" t="str">
        <x:v>保留原GPT裁定</x:v>
      </x:c>
      <x:c r="F527" s="65" t="str">
        <x:v>高</x:v>
      </x:c>
      <x:c r="G527" s="65" t="str">
        <x:v>中等题</x:v>
      </x:c>
      <x:c r="H527" s="65" t="str">
        <x:v>拔高题</x:v>
      </x:c>
      <x:c r="I527" s="65" t="str">
        <x:v>题干、解析与结构证据支持中等题：step=3-5步，题型=电路综合，状态=双状态，约束=单一约束，推理=多层因果推理。教师、盲评和多次模型证据中未形成足以推翻原裁定的同向结构证据。</x:v>
      </x:c>
      <x:c r="J527" s="65" t="str">
        <x:v>未进入三次错题并集；逐题结构一致性复核</x:v>
      </x:c>
      <x:c r="K527" s="63" t="str">
        <x:v>随着人工智能和机器人的发展，无人工厂越来越多。图甲是某无人工厂冬季采用的智能温控系统原理图，控温电路电压为220V，R1、R2、R3均为定值电阻，R1=66Ω，R3=44Ω，保温挡的功率为440W；控制电路电压U=6V，热敏电阻R4的阻值随温度变化如图乙。当温度等于10℃时，衔铁会被电磁铁吸下，当温度等于20℃时衔铁被弹回，电磁铁电阻不计；开关S1和S2均闭合。求：</x:v>
      </x:c>
      <x:c r="L527" s="63" t="str"/>
      <x:c r="M527" s="63" t="str"/>
      <x:c r="N527" s="63" t="str">
        <x:v>https://k12static.xdf.cn/k12/image/externalized/e8cc5b98-b2ad-4840-a9a3-05fc8d6ddd11.png</x:v>
      </x:c>
      <x:c r="O527" s="63" t="str">
        <x:v>https://k12static.xdf.cn/k12/image/externalized/2bfc1b8d-3079-4d0b-9e5d-333e1e80318f.png</x:v>
      </x:c>
      <x:c r="P527" s="63" t="str">
        <x:v>3-5步</x:v>
      </x:c>
      <x:c r="Q527" s="63" t="str">
        <x:v>电路综合</x:v>
      </x:c>
      <x:c r="R527" s="63" t="str">
        <x:v>双状态</x:v>
      </x:c>
      <x:c r="S527" s="63" t="str">
        <x:v>单一约束</x:v>
      </x:c>
      <x:c r="T527" s="63" t="str">
        <x:v>无</x:v>
      </x:c>
      <x:c r="U527" s="63" t="str">
        <x:v>直接读数</x:v>
      </x:c>
      <x:c r="V527" s="63" t="str">
        <x:v>多层因果推理</x:v>
      </x:c>
    </x:row>
    <x:row r="528">
      <x:c r="A528" s="64" t="str">
        <x:v>​3640436751460556800</x:v>
      </x:c>
      <x:c r="B528" s="65" t="str">
        <x:v>中等题</x:v>
      </x:c>
      <x:c r="C528" s="65" t="str">
        <x:v>中等题</x:v>
      </x:c>
      <x:c r="D528" s="65" t="str">
        <x:v>中等题</x:v>
      </x:c>
      <x:c r="E528" s="65" t="str">
        <x:v>保留原GPT裁定</x:v>
      </x:c>
      <x:c r="F528" s="65" t="str">
        <x:v>高</x:v>
      </x:c>
      <x:c r="G528" s="65" t="str">
        <x:v>中等题</x:v>
      </x:c>
      <x:c r="H528" s="65" t="str">
        <x:v>拔高题</x:v>
      </x:c>
      <x:c r="I528" s="65" t="str">
        <x:v>题干、解析与结构证据支持中等题：step=3-5步，题型=实验探究，状态=单状态，约束=无约束，推理=多层因果推理。教师、盲评和多次模型证据中未形成足以推翻原裁定的同向结构证据。</x:v>
      </x:c>
      <x:c r="J528" s="65" t="str">
        <x:v>未进入三次错题并集；逐题结构一致性复核</x:v>
      </x:c>
      <x:c r="K528" s="63" t="str">
        <x:v>在学习了“金属导体电阻的影响因素”后，小红想进一步了解“液态导体电阻的影响因素”。小红设计了如图甲所示的实验，$\mathrm{P}$为水平柱状玻璃管，右端电极固定，左端电极自由移动可改变管内液体的长度$L$，管上端开有小孔可注入液体，下端有一阀门$\mathrm{K}$可放出液体。</x:v>
      </x:c>
      <x:c r="L528" s="63" t="str"/>
      <x:c r="M528" s="63" t="str"/>
      <x:c r="N528" s="63" t="str">
        <x:v>https://k12static.xdf.cn/k12/image/externalized/e465a0b9-dd7d-4973-aa32-4d8b7d7baa64.png</x:v>
      </x:c>
      <x:c r="O528" s="63" t="str">
        <x:v>https://k12static.xdf.cn/k12/image/externalized/cee00a02-abc8-4b7d-9782-bfb876f6cb99.png</x:v>
      </x:c>
      <x:c r="P528" s="63" t="str">
        <x:v>3-5步</x:v>
      </x:c>
      <x:c r="Q528" s="63" t="str">
        <x:v>实验探究</x:v>
      </x:c>
      <x:c r="R528" s="63" t="str">
        <x:v>单状态</x:v>
      </x:c>
      <x:c r="S528" s="63" t="str">
        <x:v>无约束</x:v>
      </x:c>
      <x:c r="T528" s="63" t="str">
        <x:v>控制变量或故障分析</x:v>
      </x:c>
      <x:c r="U528" s="63" t="str">
        <x:v>多组比较归纳</x:v>
      </x:c>
      <x:c r="V528" s="63" t="str">
        <x:v>多层因果推理</x:v>
      </x:c>
    </x:row>
    <x:row r="529">
      <x:c r="A529" s="64" t="str">
        <x:v>​3641582786057150464</x:v>
      </x:c>
      <x:c r="B529" s="65" t="str">
        <x:v>压轴题</x:v>
      </x:c>
      <x:c r="C529" s="65" t="str">
        <x:v>压轴题</x:v>
      </x:c>
      <x:c r="D529" s="65" t="str">
        <x:v>压轴题</x:v>
      </x:c>
      <x:c r="E529" s="65" t="str">
        <x:v>逐题复核后保留GPT裁定</x:v>
      </x:c>
      <x:c r="F529" s="65" t="str">
        <x:v>高</x:v>
      </x:c>
      <x:c r="G529" s="65" t="str">
        <x:v>压轴题</x:v>
      </x:c>
      <x:c r="H529" s="65" t="str">
        <x:v>压轴题</x:v>
      </x:c>
      <x:c r="I529" s="65" t="str">
        <x:v>多对象、多状态和多约束形成共享模型网络，并含临界、分类、边界或有效解筛选。 题目证据：自动调整：teacher_hard_to_final_joint_structure；证据：多状态或临界状态；多约束；4个及以上知识点；真实跨模块综合；多问层层递进。题目为四小问层层递进，后问依赖物理分析逻辑和前问的方法思路，最长连续链约6个有效物理决策：1.对阀门M受力，得到拉力等于水的压力；2.对浮子N受力，得到浮力等于重力加拉力；3.结合浸入深度的几何关系，联立方程求解刚好拉开时的水深；4.根据水深计算电阻丝接入电阻；5.结合串联电路规律计算电压表示数；6.分析电路安全和浮子浸没故障，推导电压表示数关系式并确</x:v>
      </x:c>
      <x:c r="J529" s="65" t="str">
        <x:v>三次运行错题并集逐题复核</x:v>
      </x:c>
      <x:c r="K529" s="63" t="str">
        <x:v>科创小组设计了一款节能自动排水箱，如图所示。水箱深度为40 cm；M是面积为$20\mathrm{cm}^{2}$的放水阀门；N是底面积为$100\mathrm{cm}^{2}$，高为15 cm，重为4 N的浮子；M与N用长为20 cm的细绳相连。当水箱里水面达到一定高度时，M在细绳拉力的作用下被拉开，开始排水。为实现节能，在进水管口添加由电压控制的电磁阀从而控制进水管的开启和关闭（图中未画出）。浮子O可带动金属滑片P随水面变化始终沿竖直方向上下运动。L是长为35 cm，阻值为$35\Omega$的一段阻值均匀的电阻丝，一端与水箱上边齐平，滑片P与L接触良好。电源电压为6 V，$R=25\Omega$，电压表测量范围为0-3 V。（细绳、放水阀门体积和质量均忽略不计。$\rho _{\mathrm{水}}=1.0\times 10^{3}\,\mathrm{kg}/\mathrm{m}^{3}$，g取$10\,\mathrm{N}/\mathrm{kg}$）</x:v>
      </x:c>
      <x:c r="L529" s="63" t="str"/>
      <x:c r="M529" s="63" t="str"/>
      <x:c r="N529" s="63" t="str">
        <x:v>https://k12static.xdf.cn/k12/image/externalized/631338fe-2b1f-46d6-b521-f50e44882e60.png</x:v>
      </x:c>
      <x:c r="O529" s="63" t="str">
        <x:v>https://k12static.xdf.cn/k12/image/externalized/bada3aca-8143-4e07-90e6-8ed437d99703.png</x:v>
      </x:c>
      <x:c r="P529" s="63" t="str">
        <x:v>6-8步</x:v>
      </x:c>
      <x:c r="Q529" s="63" t="str">
        <x:v>跨模块综合</x:v>
      </x:c>
      <x:c r="R529" s="63" t="str">
        <x:v>多状态</x:v>
      </x:c>
      <x:c r="S529" s="63" t="str">
        <x:v>多约束</x:v>
      </x:c>
      <x:c r="T529" s="63" t="str">
        <x:v>无</x:v>
      </x:c>
      <x:c r="U529" s="63" t="str">
        <x:v>无</x:v>
      </x:c>
      <x:c r="V529" s="63" t="str">
        <x:v>逆向推理或临界分析</x:v>
      </x:c>
    </x:row>
    <x:row r="530">
      <x:c r="A530" s="64" t="str">
        <x:v>​3643524993439789056</x:v>
      </x:c>
      <x:c r="B530" s="65" t="str">
        <x:v>中等题</x:v>
      </x:c>
      <x:c r="C530" s="65" t="str">
        <x:v>中等题</x:v>
      </x:c>
      <x:c r="D530" s="65" t="str">
        <x:v>中等题</x:v>
      </x:c>
      <x:c r="E530" s="65" t="str">
        <x:v>保留原GPT裁定</x:v>
      </x:c>
      <x:c r="F530" s="65" t="str">
        <x:v>高</x:v>
      </x:c>
      <x:c r="G530" s="65" t="str">
        <x:v>中等题</x:v>
      </x:c>
      <x:c r="H530" s="65" t="str">
        <x:v>拔高题</x:v>
      </x:c>
      <x:c r="I530" s="65" t="str">
        <x:v>题干、解析与结构证据支持中等题：step=3-5步，题型=跨模块综合，状态=单状态，约束=单一约束，推理=多层因果推理。教师、盲评和多次模型证据中未形成足以推翻原裁定的同向结构证据。</x:v>
      </x:c>
      <x:c r="J530" s="65" t="str">
        <x:v>未进入三次错题并集；逐题结构一致性复核</x:v>
      </x:c>
      <x:c r="K530" s="63" t="str">
        <x:v>实践小组学习制作简易杆秤后，结合电子秤原理改装了一个简易体重计，其电路图如图甲所示，电源电压为$9\mathrm{V}$，电流表测量范围为$0\sim 0.6\,\mathrm{A}$，$R_{0}$为阻值$15~ \Omega$的定值电阻，$R$为压敏电阻，$M$为秤盘，$O$为轻质杠杆的支点，$AO:OB=2:1$，秤盘重力不计。回答下列问题：</x:v>
      </x:c>
      <x:c r="L530" s="63" t="str"/>
      <x:c r="M530" s="63" t="str"/>
      <x:c r="N530" s="63" t="str">
        <x:v>https://k12static.xdf.cn/k12/image/externalized/906a2ecd-525c-4d8b-b05e-db182084d90e.png</x:v>
      </x:c>
      <x:c r="O530" s="63" t="str">
        <x:v>https://k12static.xdf.cn/k12/image/externalized/386e025b-16eb-4df9-a0b1-ec0fe19d9338.png</x:v>
      </x:c>
      <x:c r="P530" s="63" t="str">
        <x:v>3-5步</x:v>
      </x:c>
      <x:c r="Q530" s="63" t="str">
        <x:v>跨模块综合</x:v>
      </x:c>
      <x:c r="R530" s="63" t="str">
        <x:v>单状态</x:v>
      </x:c>
      <x:c r="S530" s="63" t="str">
        <x:v>单一约束</x:v>
      </x:c>
      <x:c r="T530" s="63" t="str">
        <x:v>无</x:v>
      </x:c>
      <x:c r="U530" s="63" t="str">
        <x:v>直接读数</x:v>
      </x:c>
      <x:c r="V530" s="63" t="str">
        <x:v>多层因果推理</x:v>
      </x:c>
    </x:row>
    <x:row r="531">
      <x:c r="A531" s="64" t="str">
        <x:v>​3644165029752250368</x:v>
      </x:c>
      <x:c r="B531" s="65" t="str">
        <x:v>拔高题</x:v>
      </x:c>
      <x:c r="C531" s="65" t="str">
        <x:v>拔高题</x:v>
      </x:c>
      <x:c r="D531" s="65" t="str">
        <x:v>拔高题</x:v>
      </x:c>
      <x:c r="E531" s="65" t="str">
        <x:v>逐题复核后保留GPT裁定</x:v>
      </x:c>
      <x:c r="F531" s="65" t="str">
        <x:v>中</x:v>
      </x:c>
      <x:c r="G531" s="65" t="str">
        <x:v>中等题</x:v>
      </x:c>
      <x:c r="H531" s="65" t="str">
        <x:v>拔高题</x:v>
      </x:c>
      <x:c r="I531" s="65" t="str">
        <x:v>存在决定性反推/等效/误差/几何转换，或同一装置中的5—6步高密度综合链。 题目证据：原标偏低。最长有效链为3-5步、题型为实验探究、涉及双状态、含单一约束、实验要求达到“控制变量或故障分析”、图表要求达到“多组比较归纳”、推理为多层因果推理；实际任务已超过中等题所允许的直接识别/显性应用范围，裁定为拔高题。 复核证据：各独立判断分裂，先取五方中位档；完整标准实验按中等处理；存在决定性反推/等效/临界结构。</x:v>
      </x:c>
      <x:c r="J531" s="65" t="str">
        <x:v>三次运行错题并集逐题复核</x:v>
      </x:c>
      <x:c r="K531" s="63" t="str">
        <x:v>小渝和同学们用图甲所示电路探究“电流与电压的关系”，定值电阻R1有10Ω、20Ω、40Ω、50Ω可选，滑动变阻器R2的规格为“20Ω 1A”。</x:v>
      </x:c>
      <x:c r="L531" s="63" t="str"/>
      <x:c r="M531" s="63" t="str"/>
      <x:c r="N531" s="63" t="str">
        <x:v>https://k12static.xdf.cn/k12/image/externalized/a7cde34b-2dd7-4a20-b393-c83d4302228e.png</x:v>
      </x:c>
      <x:c r="O531" s="63" t="str">
        <x:v>https://k12static.xdf.cn/k12/image/externalized/42aa4e85-37f9-4e58-accc-eb4f45859879.png</x:v>
      </x:c>
      <x:c r="P531" s="63" t="str">
        <x:v>3-5步</x:v>
      </x:c>
      <x:c r="Q531" s="63" t="str">
        <x:v>实验探究</x:v>
      </x:c>
      <x:c r="R531" s="63" t="str">
        <x:v>双状态</x:v>
      </x:c>
      <x:c r="S531" s="63" t="str">
        <x:v>单一约束</x:v>
      </x:c>
      <x:c r="T531" s="63" t="str">
        <x:v>控制变量或故障分析</x:v>
      </x:c>
      <x:c r="U531" s="63" t="str">
        <x:v>多组比较归纳</x:v>
      </x:c>
      <x:c r="V531" s="63" t="str">
        <x:v>多层因果推理</x:v>
      </x:c>
    </x:row>
    <x:row r="532">
      <x:c r="A532" s="64" t="str">
        <x:v>​3644805214625095680</x:v>
      </x:c>
      <x:c r="B532" s="65" t="str">
        <x:v>拔高题</x:v>
      </x:c>
      <x:c r="C532" s="65" t="str">
        <x:v>拔高题</x:v>
      </x:c>
      <x:c r="D532" s="65" t="str">
        <x:v>拔高题</x:v>
      </x:c>
      <x:c r="E532" s="65" t="str">
        <x:v>逐题复核后保留GPT裁定</x:v>
      </x:c>
      <x:c r="F532" s="65" t="str">
        <x:v>高</x:v>
      </x:c>
      <x:c r="G532" s="65" t="str">
        <x:v>拔高题</x:v>
      </x:c>
      <x:c r="H532" s="65" t="str">
        <x:v>拔高题</x:v>
      </x:c>
      <x:c r="I532" s="65" t="str">
        <x:v>最高难任务在电路状态、图线/参数与安全约束中包含图线反推、状态转换、误差评价、几何/等效转换、方程联立或参数反求等决定性卡点，整体约5—6个有效决策；尚未形成压轴所需的完整复杂约束网络。</x:v>
      </x:c>
      <x:c r="J532" s="65" t="str">
        <x:v>三次运行错题并集逐题复核</x:v>
      </x:c>
      <x:c r="K532" s="63" t="str">
        <x:v>在图甲所示的电路中，$R_{0}$为定值电阻，R为滑动变阻器，电源电压不变。只闭合开关S和$\mathrm{S}_{1}$，将滑动变阻器的滑片P从a端移动到b端的过程中，电流表示数I与电压表示数U的变化关系如图乙所示。闭合开关S、$\mathrm{S}_{1}$和$\mathrm{S}_{2}$，将滑动变阻器的滑片P移到b端时小灯泡正常发光，此时电流表的示数为0.8 A。求：</x:v>
      </x:c>
      <x:c r="L532" s="63" t="str"/>
      <x:c r="M532" s="63" t="str"/>
      <x:c r="N532" s="63" t="str">
        <x:v>https://k12static.xdf.cn/k12/image/externalized/53440c31-db8d-4426-a74c-0355c3e373f3.png</x:v>
      </x:c>
      <x:c r="O532" s="63" t="str">
        <x:v>https://k12static.xdf.cn/k12/image/externalized/a369bd22-0e54-4c2c-b079-e28c87bc589e.png</x:v>
      </x:c>
      <x:c r="P532" s="63" t="str">
        <x:v>3-5步</x:v>
      </x:c>
      <x:c r="Q532" s="63" t="str">
        <x:v>电路综合</x:v>
      </x:c>
      <x:c r="R532" s="63" t="str">
        <x:v>双状态</x:v>
      </x:c>
      <x:c r="S532" s="63" t="str">
        <x:v>单一约束</x:v>
      </x:c>
      <x:c r="T532" s="63" t="str">
        <x:v>无</x:v>
      </x:c>
      <x:c r="U532" s="63" t="str">
        <x:v>直接读数</x:v>
      </x:c>
      <x:c r="V532" s="63" t="str">
        <x:v>多层因果推理</x:v>
      </x:c>
    </x:row>
    <x:row r="533">
      <x:c r="A533" s="64" t="str">
        <x:v>​3648778644477009920</x:v>
      </x:c>
      <x:c r="B533" s="65" t="str">
        <x:v>中等题</x:v>
      </x:c>
      <x:c r="C533" s="65" t="str">
        <x:v>中等题</x:v>
      </x:c>
      <x:c r="D533" s="65" t="str">
        <x:v>中等题</x:v>
      </x:c>
      <x:c r="E533" s="65" t="str">
        <x:v>保留原GPT裁定</x:v>
      </x:c>
      <x:c r="F533" s="65" t="str">
        <x:v>高</x:v>
      </x:c>
      <x:c r="G533" s="65" t="str">
        <x:v>拔高题</x:v>
      </x:c>
      <x:c r="H533" s="65" t="str">
        <x:v>中等题</x:v>
      </x:c>
      <x:c r="I533" s="65" t="str">
        <x:v>题干、解析与结构证据支持中等题：step=3-5步，题型=概念判断，状态=单状态，约束=单一约束，推理=多层因果推理。教师、盲评和多次模型证据中未形成足以推翻原裁定的同向结构证据。</x:v>
      </x:c>
      <x:c r="J533" s="65" t="str">
        <x:v>未进入三次错题并集；逐题结构一致性复核</x:v>
      </x:c>
      <x:c r="K533" s="63" t="str">
        <x:v>手机为人类生活带来便利，但长时间低头看手机，容易引起颈部肌肉劳损。人的头颈部可视为一个杠杆，如图所示，A为头颅的重心，低头时，头颅在自身重力G的作用下可以绕颈部支点O转动，颈部肌肉会产生拉力F，B为拉力的作用点，拉力F的方向始终与OB垂直。下列关于头颈部杠杆的说法正确的是（ ）</x:v>
      </x:c>
      <x:c r="L533" s="63" t="str">
        <x:v>A. 头颅重力的力臂为OA B. 头颈部杠杆始终是省力杠杆 C. 当头颅为竖直状态时，颈部肌肉的拉力最大 D. 头低的角度$\theta$越大，颈部肌肉的拉力越大</x:v>
      </x:c>
      <x:c r="M533" s="63" t="str">
        <x:v>A．力臂是支点到力的作用线的垂直距离，重力的力臂是O到重力G作用线的垂线段，不是OA，故A错误；B．动力F始终与OB垂直，因此动力臂大小恒等于OB，当杠杆的动力臂OB小于重力的阻力臂$L_{G}=OA\cdot \sin \theta$时，属于费力杠杆，故B错误；C．根据杠杆平衡条件$F\cdot L_{F}=G\cdot L_{G}$（$L_{F}=OB$，大小不变，头颅重力G不变），阻力臂$L_{G}=OA\cdot \sin \theta$；当头颅竖直时，$\theta =0$，$L_{G}=0$，此时颈部拉力$F=0$，拉力最小，故C错误；D．低头角度$\theta$越大，$\sin \theta$越大，阻力臂$L_{G}$​越大，根据$F=\dfrac{GL_{G}}{OB}$​​，G、OB不变，因此拉力F越大，颈部肌肉的拉力越大，故D正确。故选 D。</x:v>
      </x:c>
      <x:c r="N533" s="63" t="str">
        <x:v>https://k12static.xdf.cn/k12/image/externalized/60234b3c-d9d8-4303-92cf-f92734b246f7.png</x:v>
      </x:c>
      <x:c r="O533" s="63" t="str">
        <x:v>https://k12static.xdf.cn/k12/image/externalized/c979bada-d294-4d5f-8496-b999de082ace.png</x:v>
      </x:c>
      <x:c r="P533" s="63" t="str">
        <x:v>3-5步</x:v>
      </x:c>
      <x:c r="Q533" s="63" t="str">
        <x:v>概念判断</x:v>
      </x:c>
      <x:c r="R533" s="63" t="str">
        <x:v>单状态</x:v>
      </x:c>
      <x:c r="S533" s="63" t="str">
        <x:v>单一约束</x:v>
      </x:c>
      <x:c r="T533" s="63" t="str">
        <x:v>无</x:v>
      </x:c>
      <x:c r="U533" s="63" t="str">
        <x:v>无</x:v>
      </x:c>
      <x:c r="V533" s="63" t="str">
        <x:v>多层因果推理</x:v>
      </x:c>
    </x:row>
    <x:row r="534">
      <x:c r="A534" s="64" t="str">
        <x:v>​3648817239036862464</x:v>
      </x:c>
      <x:c r="B534" s="65" t="str">
        <x:v>压轴题</x:v>
      </x:c>
      <x:c r="C534" s="65" t="str">
        <x:v>压轴题</x:v>
      </x:c>
      <x:c r="D534" s="65" t="str">
        <x:v>压轴题</x:v>
      </x:c>
      <x:c r="E534" s="65" t="str">
        <x:v>逐题复核后保留GPT裁定</x:v>
      </x:c>
      <x:c r="F534" s="65" t="str">
        <x:v>高</x:v>
      </x:c>
      <x:c r="G534" s="65" t="str">
        <x:v>压轴题</x:v>
      </x:c>
      <x:c r="H534" s="65" t="str">
        <x:v>压轴题</x:v>
      </x:c>
      <x:c r="I534" s="65" t="str">
        <x:v>题目把电路状态、图线/参数与安全约束组织成多对象、多状态、多约束的共享模型网络，后续任务依赖前述状态/参数，并要求分类、临界/边界、有效解筛选或可行性验证，属于7步以上的完整耦合链。</x:v>
      </x:c>
      <x:c r="J534" s="65" t="str">
        <x:v>三次运行错题并集逐题复核</x:v>
      </x:c>
      <x:c r="K534" s="63" t="str">
        <x:v>如图所示的电路，灯泡标有“6V 0.3A”字样（不考虑温度对阻值的影响），滑动变阻器$R_{1}$允许通过的最大电流为0.4A，电压表测量范围0~15V，电流表测量范围0~0.6A，电源电压12V。当闭合开关$\mathrm{S}_{1}$、$\mathrm{S}_{3}$时，灯泡正常发光；闭合开关$\mathrm{S}_{1}$、$\mathrm{S}_{2}$，滑片P从最右端向左移动到a点的过程中，$\dfrac{U_{1}}{U_{2}}$（电压表$\mathrm{V}_{1}$的示数为$U_{1}$，电压表$\mathrm{V}_{2}$的示数为$U_{2}$）的变化范围为2~0.5。</x:v>
      </x:c>
      <x:c r="L534" s="63" t="str"/>
      <x:c r="M534" s="63" t="str"/>
      <x:c r="N534" s="63" t="str">
        <x:v>https://k12static.xdf.cn/k12/image/externalized/3896beb4-36c1-4f37-927d-c9b88e8a149e.png</x:v>
      </x:c>
      <x:c r="O534" s="63" t="str">
        <x:v>https://k12static.xdf.cn/k12/image/externalized/76269a44-32d9-4c1c-956e-af3be78a0656.png</x:v>
      </x:c>
      <x:c r="P534" s="63" t="str">
        <x:v>6-8步</x:v>
      </x:c>
      <x:c r="Q534" s="63" t="str">
        <x:v>电路综合</x:v>
      </x:c>
      <x:c r="R534" s="63" t="str">
        <x:v>多状态</x:v>
      </x:c>
      <x:c r="S534" s="63" t="str">
        <x:v>多约束</x:v>
      </x:c>
      <x:c r="T534" s="63" t="str">
        <x:v>无</x:v>
      </x:c>
      <x:c r="U534" s="63" t="str">
        <x:v>无</x:v>
      </x:c>
      <x:c r="V534" s="63" t="str">
        <x:v>逆向推理或临界分析</x:v>
      </x:c>
    </x:row>
    <x:row r="535">
      <x:c r="A535" s="64" t="str">
        <x:v>​3650478559548780544</x:v>
      </x:c>
      <x:c r="B535" s="65" t="str">
        <x:v>拔高题</x:v>
      </x:c>
      <x:c r="C535" s="65" t="str">
        <x:v>拔高题</x:v>
      </x:c>
      <x:c r="D535" s="65" t="str">
        <x:v>拔高题</x:v>
      </x:c>
      <x:c r="E535" s="65" t="str">
        <x:v>保留原GPT裁定</x:v>
      </x:c>
      <x:c r="F535" s="65" t="str">
        <x:v>高</x:v>
      </x:c>
      <x:c r="G535" s="65" t="str">
        <x:v>压轴题</x:v>
      </x:c>
      <x:c r="H535" s="65" t="str">
        <x:v>拔高题</x:v>
      </x:c>
      <x:c r="I535" s="65" t="str">
        <x:v>题干、解析与结构证据支持拔高题：step=6-8步，题型=力学综合，状态=双状态，约束=多约束，推理=逆向推理或临界分析。教师、盲评和多次模型证据中未形成足以推翻原裁定的同向结构证据。</x:v>
      </x:c>
      <x:c r="J535" s="65" t="str">
        <x:v>未进入三次错题并集；逐题结构一致性复核</x:v>
      </x:c>
      <x:c r="K535" s="63" t="str">
        <x:v>滑轮、桔槔、辘轳是中国古代工程的起重工具，都有将物体吊到高处、帮助人们省力的作用。在央视《中华考工记》节目中，主持人与嘉宾进行了一场“自我提升”的比赛，装置由滑轮组和吊椅组成，如图甲所示。比赛时，主持人使用的装置有3组滑轮，嘉宾使用的装置有6组滑轮，如图乙所示，两人分别坐在吊椅上，在裁判员的指令下同时向下拉动绳的自由端，使自己与吊椅一起匀速上升。已知主持人的质量为60 kg，他与吊椅的接触面积为$560\mathrm{~ cm}^{2}$，每一个滑轮的质量均为0.5 kg，吊椅的质量均为4.5 kg，主持人用时8 s率先到达支架顶端，2 s后嘉宾也到达顶端，两人自我提升的高度均为0.8 m，若比赛时主持人和嘉宾手拉绳子的功率之比为$11:10$，不计绳重和装置摩擦、忽略绳子的形变，g取10 N/kg，求：</x:v>
      </x:c>
      <x:c r="L535" s="63" t="str"/>
      <x:c r="M535" s="63" t="str"/>
      <x:c r="N535" s="63" t="str">
        <x:v>https://k12static.xdf.cn/k12/image/externalized/440ad2ca-8523-4626-8a38-117f27554d47.png</x:v>
      </x:c>
      <x:c r="O535" s="63" t="str">
        <x:v>https://k12static.xdf.cn/k12/image/externalized/d6c51e6d-15cf-428f-9265-f60d94b03760.png</x:v>
      </x:c>
      <x:c r="P535" s="63" t="str">
        <x:v>6-8步</x:v>
      </x:c>
      <x:c r="Q535" s="63" t="str">
        <x:v>力学综合</x:v>
      </x:c>
      <x:c r="R535" s="63" t="str">
        <x:v>双状态</x:v>
      </x:c>
      <x:c r="S535" s="63" t="str">
        <x:v>多约束</x:v>
      </x:c>
      <x:c r="T535" s="63" t="str">
        <x:v>无</x:v>
      </x:c>
      <x:c r="U535" s="63" t="str">
        <x:v>无</x:v>
      </x:c>
      <x:c r="V535" s="63" t="str">
        <x:v>逆向推理或临界分析</x:v>
      </x:c>
    </x:row>
    <x:row r="536">
      <x:c r="A536" s="64" t="str">
        <x:v>​3650563363094482944</x:v>
      </x:c>
      <x:c r="B536" s="65" t="str">
        <x:v>拔高题</x:v>
      </x:c>
      <x:c r="C536" s="65" t="str">
        <x:v>拔高题</x:v>
      </x:c>
      <x:c r="D536" s="65" t="str">
        <x:v>拔高题</x:v>
      </x:c>
      <x:c r="E536" s="65" t="str">
        <x:v>逐题复核后保留GPT裁定</x:v>
      </x:c>
      <x:c r="F536" s="65" t="str">
        <x:v>高</x:v>
      </x:c>
      <x:c r="G536" s="65" t="str">
        <x:v>中等题</x:v>
      </x:c>
      <x:c r="H536" s="65" t="str">
        <x:v>压轴题</x:v>
      </x:c>
      <x:c r="I536" s="65" t="str">
        <x:v>最高难任务在标准实验流程、读数与数据归纳中包含图线反推、状态转换、误差评价、几何/等效转换、方程联立或参数反求等决定性卡点，整体约5—6个有效决策；尚未形成压轴所需的完整复杂约束网络。</x:v>
      </x:c>
      <x:c r="J536" s="65" t="str">
        <x:v>三次运行错题并集逐题复核</x:v>
      </x:c>
      <x:c r="K536" s="63" t="str">
        <x:v>小华和小明做“用电流表、电压表测量电阻”的实验。他们选用的器材有：电源（电压为6.0V，保持不变）、待测电阻、滑动变阻器、电流表、电压表、开关、导线若干。他们将电源、待测电阻、滑动变阻器串联，在电路中并联电压表，并将变阻器滑片移至一端，使变阻器接入电路的阻值最大。</x:v>
      </x:c>
      <x:c r="L536" s="63" t="str"/>
      <x:c r="M536" s="63" t="str"/>
      <x:c r="N536" s="63" t="str">
        <x:v>https://k12static.xdf.cn/k12/image/externalized/cd6b1e96-3b6a-4e3f-999e-4ac01be29fff.png</x:v>
      </x:c>
      <x:c r="O536" s="63" t="str">
        <x:v>https://k12static.xdf.cn/k12/image/externalized/4ed83f12-cde0-4c6d-8494-70fb56a98bb3.png</x:v>
      </x:c>
      <x:c r="P536" s="63" t="str">
        <x:v>3-5步</x:v>
      </x:c>
      <x:c r="Q536" s="63" t="str">
        <x:v>实验探究</x:v>
      </x:c>
      <x:c r="R536" s="63" t="str">
        <x:v>单状态</x:v>
      </x:c>
      <x:c r="S536" s="63" t="str">
        <x:v>单一约束</x:v>
      </x:c>
      <x:c r="T536" s="63" t="str">
        <x:v>控制变量或故障分析</x:v>
      </x:c>
      <x:c r="U536" s="63" t="str">
        <x:v>无</x:v>
      </x:c>
      <x:c r="V536" s="63" t="str">
        <x:v>多层因果推理</x:v>
      </x:c>
    </x:row>
    <x:row r="537">
      <x:c r="A537" s="64" t="str">
        <x:v>​3650565390690746368</x:v>
      </x:c>
      <x:c r="B537" s="65" t="str">
        <x:v>中等题</x:v>
      </x:c>
      <x:c r="C537" s="65" t="str">
        <x:v>中等题</x:v>
      </x:c>
      <x:c r="D537" s="65" t="str">
        <x:v>中等题</x:v>
      </x:c>
      <x:c r="E537" s="65" t="str">
        <x:v>保留原GPT裁定</x:v>
      </x:c>
      <x:c r="F537" s="65" t="str">
        <x:v>高</x:v>
      </x:c>
      <x:c r="G537" s="65" t="str">
        <x:v>中等题</x:v>
      </x:c>
      <x:c r="H537" s="65" t="str">
        <x:v>拔高题</x:v>
      </x:c>
      <x:c r="I537" s="65" t="str">
        <x:v>题干、解析与结构证据支持中等题：step=3-5步，题型=实验探究，状态=单状态，约束=单一约束，推理=多层因果推理。教师、盲评和多次模型证据中未形成足以推翻原裁定的同向结构证据。</x:v>
      </x:c>
      <x:c r="J537" s="65" t="str">
        <x:v>未进入三次错题并集；逐题结构一致性复核</x:v>
      </x:c>
      <x:c r="K537" s="63" t="str">
        <x:v>为了“探究电压一定时电流与电阻的关系”，兴趣小组的同学准备了实验器材：电源（电压恒为6V）、电流表、电压表、规格为“50Ω，1A”的滑动变阻器、定值电阻（5Ω、10Ω、20Ω各一个）、开关和导线若干。</x:v>
      </x:c>
      <x:c r="L537" s="63" t="str"/>
      <x:c r="M537" s="63" t="str"/>
      <x:c r="N537" s="63" t="str">
        <x:v>https://k12static.xdf.cn/k12/image/externalized/64be1ee5-077e-4b8f-b5f3-6e0e4cdea265.png</x:v>
      </x:c>
      <x:c r="O537" s="63" t="str">
        <x:v>https://k12static.xdf.cn/k12/image/externalized/5175ca5d-095b-43a5-acb2-1d35633c5dce.png</x:v>
      </x:c>
      <x:c r="P537" s="63" t="str">
        <x:v>3-5步</x:v>
      </x:c>
      <x:c r="Q537" s="63" t="str">
        <x:v>实验探究</x:v>
      </x:c>
      <x:c r="R537" s="63" t="str">
        <x:v>单状态</x:v>
      </x:c>
      <x:c r="S537" s="63" t="str">
        <x:v>单一约束</x:v>
      </x:c>
      <x:c r="T537" s="63" t="str">
        <x:v>控制变量或故障分析</x:v>
      </x:c>
      <x:c r="U537" s="63" t="str">
        <x:v>多组比较归纳</x:v>
      </x:c>
      <x:c r="V537" s="63" t="str">
        <x:v>多层因果推理</x:v>
      </x:c>
    </x:row>
    <x:row r="538">
      <x:c r="A538" s="64" t="str">
        <x:v>​3650594193691488256</x:v>
      </x:c>
      <x:c r="B538" s="65" t="str">
        <x:v>基础题</x:v>
      </x:c>
      <x:c r="C538" s="65" t="str">
        <x:v>基础题</x:v>
      </x:c>
      <x:c r="D538" s="65" t="str">
        <x:v>基础题</x:v>
      </x:c>
      <x:c r="E538" s="65" t="str">
        <x:v>逐题复核后保留GPT裁定</x:v>
      </x:c>
      <x:c r="F538" s="65" t="str">
        <x:v>高</x:v>
      </x:c>
      <x:c r="G538" s="65" t="str">
        <x:v>基础题</x:v>
      </x:c>
      <x:c r="H538" s="65" t="str">
        <x:v>基础题</x:v>
      </x:c>
      <x:c r="I538" s="65" t="str">
        <x:v>最高难任务属于教材概念与常规物理关系中的1—2步直接应用、规范操作或简单因果判断。需要理解/应用而非纯识记，但没有共享中间结论、完整连续过程或隐含转换。</x:v>
      </x:c>
      <x:c r="J538" s="65" t="str">
        <x:v>三次运行错题并集逐题复核</x:v>
      </x:c>
      <x:c r="K538" s="63" t="str">
        <x:v>根据能源的有关内容绘制的知识结构如图所示，图中矩形①表示的能源种类应为 ，菱形②应为 ，线条③表示的物理意义是 。</x:v>
      </x:c>
      <x:c r="L538" s="63" t="str"/>
      <x:c r="M538" s="63" t="str">
        <x:v>能源可分为化石能源、太阳能、核能等类别，人类获取核能的两种方式为核裂变和核聚变，因此①是核能，②是核聚变；图中线条③连接太阳能和核聚变，它的物理意义是：太阳能的能量来源是太阳内部持续发生的核聚变反应。</x:v>
      </x:c>
      <x:c r="N538" s="63" t="str">
        <x:v>https://k12static.xdf.cn/k12/image/externalized/294e8f6a-1688-4c96-a576-7ff3bbd8fd13.png</x:v>
      </x:c>
      <x:c r="O538" s="63" t="str">
        <x:v>https://k12static.xdf.cn/k12/image/externalized/53ce79b8-7804-4779-b772-bbffa272629b.png</x:v>
      </x:c>
      <x:c r="P538" s="63" t="str">
        <x:v>1-2步</x:v>
      </x:c>
      <x:c r="Q538" s="63" t="str">
        <x:v>概念判断</x:v>
      </x:c>
      <x:c r="R538" s="63" t="str">
        <x:v>单状态</x:v>
      </x:c>
      <x:c r="S538" s="63" t="str">
        <x:v>无约束</x:v>
      </x:c>
      <x:c r="T538" s="63" t="str">
        <x:v>无</x:v>
      </x:c>
      <x:c r="U538" s="63" t="str">
        <x:v>无</x:v>
      </x:c>
      <x:c r="V538" s="63" t="str">
        <x:v>直接套用</x:v>
      </x:c>
    </x:row>
    <x:row r="539">
      <x:c r="A539" s="64" t="str">
        <x:v>​3650594217253154816</x:v>
      </x:c>
      <x:c r="B539" s="65" t="str">
        <x:v>基础题</x:v>
      </x:c>
      <x:c r="C539" s="65" t="str">
        <x:v>基础题</x:v>
      </x:c>
      <x:c r="D539" s="65" t="str">
        <x:v>基础题</x:v>
      </x:c>
      <x:c r="E539" s="65" t="str">
        <x:v>保留原GPT裁定</x:v>
      </x:c>
      <x:c r="F539" s="65" t="str">
        <x:v>高</x:v>
      </x:c>
      <x:c r="G539" s="65" t="str">
        <x:v>基础题</x:v>
      </x:c>
      <x:c r="H539" s="65" t="str">
        <x:v>中等题</x:v>
      </x:c>
      <x:c r="I539" s="65" t="str">
        <x:v>题干、解析与结构证据支持基础题：step=1-2步，题型=概念判断，状态=单状态，约束=无约束，推理=简单因果推理。教师、盲评和多次模型证据中未形成足以推翻原裁定的同向结构证据。</x:v>
      </x:c>
      <x:c r="J539" s="65" t="str">
        <x:v>未进入三次错题并集；逐题结构一致性复核</x:v>
      </x:c>
      <x:c r="K539" s="63" t="str">
        <x:v>发光二极管（LED）是一种电子元件，当电流从较长的引脚流入，从较短的引脚流出时，LED发光，反之不发光。如图所示，小明把LED接到他制作的水果电池的a、b两端，LED发光，由此推断 （选填“a”或“b”）是电池的正极。当把该LED接到小红制作的水果电池两端时，发现LED亮度不同，从而得出两个水果电池电压不同，你认为电压不同的原因可能是 。（写出两条即可）</x:v>
      </x:c>
      <x:c r="L539" s="63" t="str"/>
      <x:c r="M539" s="63" t="str">
        <x:v>已知LED发光时，电流从长引脚流入，且电流从电源正极流出；由图可知LED的长引脚接水果电池的$a$端，因此$a$是电池的正极；水果电池的电压受多个因素影响，比如水果的种类、成熟度、大小，电极的材料，电极插入水果的深度，电极间的距离等都会改变水果电池的电压，任意写出两条合理原因即可。</x:v>
      </x:c>
      <x:c r="N539" s="63" t="str">
        <x:v>https://k12static.xdf.cn/k12/image/externalized/249d41bb-b1ea-4f28-aa6b-d59caa19ad1f.png</x:v>
      </x:c>
      <x:c r="O539" s="63" t="str">
        <x:v>https://k12static.xdf.cn/k12/image/externalized/367969d6-4fde-4f9d-a24a-f361e6b2fa0b.png</x:v>
      </x:c>
      <x:c r="P539" s="63" t="str">
        <x:v>1-2步</x:v>
      </x:c>
      <x:c r="Q539" s="63" t="str">
        <x:v>概念判断</x:v>
      </x:c>
      <x:c r="R539" s="63" t="str">
        <x:v>单状态</x:v>
      </x:c>
      <x:c r="S539" s="63" t="str">
        <x:v>无约束</x:v>
      </x:c>
      <x:c r="T539" s="63" t="str">
        <x:v>无</x:v>
      </x:c>
      <x:c r="U539" s="63" t="str">
        <x:v>无</x:v>
      </x:c>
      <x:c r="V539" s="63" t="str">
        <x:v>简单因果推理</x:v>
      </x:c>
    </x:row>
    <x:row r="540">
      <x:c r="A540" s="64" t="str">
        <x:v>​3650594224853233664</x:v>
      </x:c>
      <x:c r="B540" s="65" t="str">
        <x:v>基础题</x:v>
      </x:c>
      <x:c r="C540" s="65" t="str">
        <x:v>基础题</x:v>
      </x:c>
      <x:c r="D540" s="65" t="str">
        <x:v>基础题</x:v>
      </x:c>
      <x:c r="E540" s="65" t="str">
        <x:v>保留原GPT裁定</x:v>
      </x:c>
      <x:c r="F540" s="65" t="str">
        <x:v>高</x:v>
      </x:c>
      <x:c r="G540" s="65" t="str">
        <x:v>中等题</x:v>
      </x:c>
      <x:c r="H540" s="65" t="str">
        <x:v>基础题</x:v>
      </x:c>
      <x:c r="I540" s="65" t="str">
        <x:v>题干、解析与结构证据支持基础题：step=1-2步，题型=概念判断，状态=单状态，约束=无约束，推理=简单因果推理。教师、盲评和多次模型证据中未形成足以推翻原裁定的同向结构证据。</x:v>
      </x:c>
      <x:c r="J540" s="65" t="str">
        <x:v>未进入三次错题并集；逐题结构一致性复核</x:v>
      </x:c>
      <x:c r="K540" s="63" t="str">
        <x:v>在物理课上，同学们用木板、木条、尺子、砂纸等材料和工具制作简易滑翔机。关于它的制作、调试和飞行，下列说法正确的是（ ）</x:v>
      </x:c>
      <x:c r="L540" s="63" t="str">
        <x:v>A. 制作滑翔机的材料密度越大越好 B. 试飞中机头下坠的原因是重心过于靠后 C. 将机翼打磨成上凸下平的形状是为了获得升力 D. 将机身打磨光滑可以减小飞行阻力</x:v>
      </x:c>
      <x:c r="M540" s="63" t="str">
        <x:v>A．滑翔机飞行需要尽可能减小自身重力，在体积相同时，根据公式$m=\rho V$，材料密度越大，质量越大，重力越大，不利于滑翔机飞行，故A错误；B．重心位置影响滑翔机的平衡，重心过于靠前时，机头会下坠，重心靠后会导致机头上扬，故B错误；C．机翼打磨成上凸下平的形状，飞行时上方空气流速快、压强小，下方空气流速慢、压强大，上下表面的压强差会产生向上的升力，故C正确；D．将机身打磨光滑，减小了接触面的粗糙程度，从而减小飞行时的空气阻力，故D正确。故选CD。</x:v>
      </x:c>
      <x:c r="N540" s="63" t="str">
        <x:v>https://k12static.xdf.cn/k12/image/externalized/b6c42cbc-68b8-4ba3-802f-0d4b525b611f.png</x:v>
      </x:c>
      <x:c r="O540" s="63" t="str">
        <x:v>https://k12static.xdf.cn/k12/image/externalized/98e40700-01e8-4f9d-8264-7d384496fdbc.png</x:v>
      </x:c>
      <x:c r="P540" s="63" t="str">
        <x:v>1-2步</x:v>
      </x:c>
      <x:c r="Q540" s="63" t="str">
        <x:v>概念判断</x:v>
      </x:c>
      <x:c r="R540" s="63" t="str">
        <x:v>单状态</x:v>
      </x:c>
      <x:c r="S540" s="63" t="str">
        <x:v>无约束</x:v>
      </x:c>
      <x:c r="T540" s="63" t="str">
        <x:v>无</x:v>
      </x:c>
      <x:c r="U540" s="63" t="str">
        <x:v>无</x:v>
      </x:c>
      <x:c r="V540" s="63" t="str">
        <x:v>简单因果推理</x:v>
      </x:c>
    </x:row>
    <x:row r="541">
      <x:c r="A541" s="64" t="str">
        <x:v>​3650594411157762048</x:v>
      </x:c>
      <x:c r="B541" s="65" t="str">
        <x:v>基础题</x:v>
      </x:c>
      <x:c r="C541" s="65" t="str">
        <x:v>基础题</x:v>
      </x:c>
      <x:c r="D541" s="65" t="str">
        <x:v>基础题</x:v>
      </x:c>
      <x:c r="E541" s="65" t="str">
        <x:v>逐题复核后保留GPT裁定</x:v>
      </x:c>
      <x:c r="F541" s="65" t="str">
        <x:v>高</x:v>
      </x:c>
      <x:c r="G541" s="65" t="str">
        <x:v>基础题</x:v>
      </x:c>
      <x:c r="H541" s="65" t="str">
        <x:v>基础题</x:v>
      </x:c>
      <x:c r="I541" s="65" t="str">
        <x:v>最高难任务为1—2步显性应用、规范操作或简单因果，没有连续模型转换。 题目证据：最长连续链每空均为1步直接检索，整题三个空分别考查汽化吸放热、比热容特性、扩散现象三个不同基础概念，均为热学模块内的教材基础结论直接套用；无连续过程分析、公式变形或模型重构。</x:v>
      </x:c>
      <x:c r="J541" s="65" t="str">
        <x:v>三次运行错题并集逐题复核</x:v>
      </x:c>
      <x:c r="K541" s="63" t="str">
        <x:v>夏日炎炎，游泳的人上岸后会感到很凉爽，这是因为水蒸发 （选填“吸收”或“放出”）热量；海滩上的沙子烫脚，而海水却是凉凉的，这是因为海水的比热容 （选填“大于”或“小于”）沙子的比热容；漫步沙滩，可闻到大海的“味道”，这说明 。</x:v>
      </x:c>
      <x:c r="L541" s="63" t="str"/>
      <x:c r="M541" s="63" t="str">
        <x:v>蒸发属于汽化的一种形式，汽化过程需要吸收热量，水蒸发时会吸收人体的热量，因此人上岸后会感到凉爽；根据比热容的特性，质量相同的不同物质吸收相同热量时，比热容大的物质温度升高幅度更小，海水和沙子吸收相同热量后，海水温度更低，说明海水的比热容大于沙子的比热容；闻到大海的“味道”是扩散现象，扩散现象表明分子在不停地做无规则运动。</x:v>
      </x:c>
      <x:c r="N541" s="63" t="str">
        <x:v>https://k12static.xdf.cn/k12/image/externalized/50543f66-367a-4259-9acc-ebdd53369f06.png</x:v>
      </x:c>
      <x:c r="O541" s="63" t="str">
        <x:v>https://k12static.xdf.cn/k12/image/externalized/1a3d5e65-b69c-4d49-a68c-e0a7b15c9e13.png</x:v>
      </x:c>
      <x:c r="P541" s="63" t="str">
        <x:v>1-2步</x:v>
      </x:c>
      <x:c r="Q541" s="63" t="str">
        <x:v>概念判断</x:v>
      </x:c>
      <x:c r="R541" s="63" t="str">
        <x:v>单状态</x:v>
      </x:c>
      <x:c r="S541" s="63" t="str">
        <x:v>无约束</x:v>
      </x:c>
      <x:c r="T541" s="63" t="str">
        <x:v>无</x:v>
      </x:c>
      <x:c r="U541" s="63" t="str">
        <x:v>无</x:v>
      </x:c>
      <x:c r="V541" s="63" t="str">
        <x:v>直接套用</x:v>
      </x:c>
    </x:row>
    <x:row r="542">
      <x:c r="A542" s="64" t="str">
        <x:v>​3650594445065486336</x:v>
      </x:c>
      <x:c r="B542" s="65" t="str">
        <x:v>基础题</x:v>
      </x:c>
      <x:c r="C542" s="65" t="str">
        <x:v>基础题</x:v>
      </x:c>
      <x:c r="D542" s="65" t="str">
        <x:v>基础题</x:v>
      </x:c>
      <x:c r="E542" s="65" t="str">
        <x:v>逐题复核后保留GPT裁定</x:v>
      </x:c>
      <x:c r="F542" s="65" t="str">
        <x:v>高</x:v>
      </x:c>
      <x:c r="G542" s="65" t="str">
        <x:v>中等题</x:v>
      </x:c>
      <x:c r="H542" s="65" t="str">
        <x:v>基础题</x:v>
      </x:c>
      <x:c r="I542" s="65" t="str">
        <x:v>最高难任务为1—2步显性应用、规范操作或简单因果，没有连续模型转换。 题目证据：最高难选项实际有效推理为1-2步，五维锚定落在基础到中等区间。四个选项分别调用不同的眼睛成像相关知识点，每个选项都需要辨析概念，没有多步连续推理或决定性转换。</x:v>
      </x:c>
      <x:c r="J542" s="65" t="str">
        <x:v>三次运行错题并集逐题复核</x:v>
      </x:c>
      <x:c r="K542" s="63" t="str">
        <x:v>眼睛是心灵的窗户，我们应科学用眼。下列关于眼睛和眼镜的说法正确的是（ ）</x:v>
      </x:c>
      <x:c r="L542" s="63" t="str">
        <x:v>A. 视力正常的人看远处物体时，在视网膜上会形成正立的实像 B. 眼睛的成像原理与小孔成像的原理相同 C. 图甲所示的眼睛可能是晶状体变厚形成的 D. 图乙是近视眼配戴镜片进行矫正时的成像光路图</x:v>
      </x:c>
      <x:c r="M542" s="63" t="str">
        <x:v>A．人眼成像属于凸透镜成像，正常眼睛在视网膜上成的是倒立、缩小的实像，不是正立实像，故A错误；B．眼睛成像的原理是光的折射（凸透镜成像），小孔成像的原理是光的直线传播，二者原理不同，故B错误；C．图甲中平行光经晶状体折射后，成像在视网膜前方，属于近视眼，近视眼的成因就是晶状体变厚、折射光的能力过强，因此该眼睛可能是晶状体变厚形成的，故C正确；D．图乙中，近处物体经矫正后像才落在视网膜上，原本成像在视网膜后方，这是远视眼的矫正光路图，不是近视眼的矫正光路，故D错误。故选C。</x:v>
      </x:c>
      <x:c r="N542" s="63" t="str">
        <x:v>https://k12static.xdf.cn/k12/image/externalized/0e1ebd57-be79-41e8-a24d-794123f1daa2.png</x:v>
      </x:c>
      <x:c r="O542" s="63" t="str">
        <x:v>https://k12static.xdf.cn/k12/image/externalized/dd90f1d7-43bf-4971-b2e6-dbf95eba668a.png</x:v>
      </x:c>
      <x:c r="P542" s="63" t="str">
        <x:v>1-2步</x:v>
      </x:c>
      <x:c r="Q542" s="63" t="str">
        <x:v>概念判断</x:v>
      </x:c>
      <x:c r="R542" s="63" t="str">
        <x:v>单状态</x:v>
      </x:c>
      <x:c r="S542" s="63" t="str">
        <x:v>无约束</x:v>
      </x:c>
      <x:c r="T542" s="63" t="str">
        <x:v>无</x:v>
      </x:c>
      <x:c r="U542" s="63" t="str">
        <x:v>无</x:v>
      </x:c>
      <x:c r="V542" s="63" t="str">
        <x:v>简单因果推理</x:v>
      </x:c>
    </x:row>
    <x:row r="543">
      <x:c r="A543" s="64" t="str">
        <x:v>​3650594447513989120</x:v>
      </x:c>
      <x:c r="B543" s="65" t="str">
        <x:v>拔高题</x:v>
      </x:c>
      <x:c r="C543" s="65" t="str">
        <x:v>拔高题</x:v>
      </x:c>
      <x:c r="D543" s="65" t="str">
        <x:v>拔高题</x:v>
      </x:c>
      <x:c r="E543" s="65" t="str">
        <x:v>逐题复核后保留GPT裁定</x:v>
      </x:c>
      <x:c r="F543" s="65" t="str">
        <x:v>高</x:v>
      </x:c>
      <x:c r="G543" s="65" t="str">
        <x:v>拔高题</x:v>
      </x:c>
      <x:c r="H543" s="65" t="str">
        <x:v>拔高题</x:v>
      </x:c>
      <x:c r="I543" s="65" t="str">
        <x:v>最高难任务在电路状态、图线/参数与安全约束中包含图线反推、状态转换、误差评价、几何/等效转换、方程联立或参数反求等决定性卡点，整体约5—6个有效决策；尚未形成压轴所需的完整复杂约束网络。</x:v>
      </x:c>
      <x:c r="J543" s="65" t="str">
        <x:v>三次运行错题并集逐题复核</x:v>
      </x:c>
      <x:c r="K543" s="63" t="str">
        <x:v>学校要在教室加装两台壁挂式空调，实践小组的同学参与了线路的设计与安装。</x:v>
      </x:c>
      <x:c r="L543" s="63" t="str"/>
      <x:c r="M543" s="63" t="str"/>
      <x:c r="N543" s="63" t="str">
        <x:v>https://k12static.xdf.cn/k12/image/externalized/d7462e07-6ce6-4117-b0c7-a6a09fb384ec.png</x:v>
      </x:c>
      <x:c r="O543" s="63" t="str">
        <x:v>https://k12static.xdf.cn/k12/image/externalized/fd1bbc74-98b7-4475-826c-155b755a2084.png</x:v>
      </x:c>
      <x:c r="P543" s="63" t="str">
        <x:v>3-5步</x:v>
      </x:c>
      <x:c r="Q543" s="63" t="str">
        <x:v>实验探究</x:v>
      </x:c>
      <x:c r="R543" s="63" t="str">
        <x:v>单状态</x:v>
      </x:c>
      <x:c r="S543" s="63" t="str">
        <x:v>单一约束</x:v>
      </x:c>
      <x:c r="T543" s="63" t="str">
        <x:v>方案设计或误差评价</x:v>
      </x:c>
      <x:c r="U543" s="63" t="str">
        <x:v>直接读数</x:v>
      </x:c>
      <x:c r="V543" s="63" t="str">
        <x:v>多层因果推理</x:v>
      </x:c>
    </x:row>
    <x:row r="544">
      <x:c r="A544" s="64" t="str">
        <x:v>​3650594498070196224</x:v>
      </x:c>
      <x:c r="B544" s="65" t="str">
        <x:v>送分题</x:v>
      </x:c>
      <x:c r="C544" s="65" t="str">
        <x:v>送分题</x:v>
      </x:c>
      <x:c r="D544" s="65" t="str">
        <x:v>送分题</x:v>
      </x:c>
      <x:c r="E544" s="65" t="str">
        <x:v>逐题复核后保留GPT裁定</x:v>
      </x:c>
      <x:c r="F544" s="65" t="str">
        <x:v>高</x:v>
      </x:c>
      <x:c r="G544" s="65" t="str">
        <x:v>基础题</x:v>
      </x:c>
      <x:c r="H544" s="65" t="str">
        <x:v>送分题</x:v>
      </x:c>
      <x:c r="I544" s="65" t="str">
        <x:v>只需识别一个熟悉教材模板，没有第二次物理决策。 题目证据：最长连续链实际有效物理决策为1步，五维锚定属于送分题，核心任务是直接识别实验中“效果相同的力”使用的科学研究方法，属于单一概念的直接识别，没有复杂推理或模型转换。</x:v>
      </x:c>
      <x:c r="J544" s="65" t="str">
        <x:v>三次运行错题并集逐题复核</x:v>
      </x:c>
      <x:c r="K544" s="63" t="str">
        <x:v>如图所示，在“研究同一直线上二力的合成”实验中，将橡皮筋一端固定，另一端与小圆环相连，先后用两个弹簧测力计和一个弹簧测力计将小圆环拉至相同的位置O点。这个过程体现的科学方法是（ ）</x:v>
      </x:c>
      <x:c r="L544" s="63" t="str">
        <x:v>A. 控制变量法 B. 微小放大法 C. 理想模型法 D. 等效替代法</x:v>
      </x:c>
      <x:c r="M544" s="63" t="str">
        <x:v>本实验中，两个力$F_{1}$、$F_{2}$​共同作用将小圆环拉到$O$点，和一个力$F$单独作用将小圆环拉到同一位置$O$点的作用效果完全相同，实验用一个力的作用效果替代两个力的共同作用效果，这种科学方法是等效替代法。故D符合题意，ABC不符合题意。故选D。</x:v>
      </x:c>
      <x:c r="N544" s="63" t="str">
        <x:v>https://k12static.xdf.cn/k12/image/externalized/49bb4784-a6f1-4cc3-9ba7-bab654198ad5.png</x:v>
      </x:c>
      <x:c r="O544" s="63" t="str">
        <x:v>https://k12static.xdf.cn/k12/image/externalized/837c6b75-4975-44ea-a1a2-1943c327ed74.png</x:v>
      </x:c>
      <x:c r="P544" s="63" t="str">
        <x:v>1-2步</x:v>
      </x:c>
      <x:c r="Q544" s="63" t="str">
        <x:v>概念判断</x:v>
      </x:c>
      <x:c r="R544" s="63" t="str">
        <x:v>单状态</x:v>
      </x:c>
      <x:c r="S544" s="63" t="str">
        <x:v>无约束</x:v>
      </x:c>
      <x:c r="T544" s="63" t="str">
        <x:v>无</x:v>
      </x:c>
      <x:c r="U544" s="63" t="str">
        <x:v>无</x:v>
      </x:c>
      <x:c r="V544" s="63" t="str">
        <x:v>直接套用</x:v>
      </x:c>
    </x:row>
    <x:row r="545">
      <x:c r="A545" s="64" t="str">
        <x:v>​3650594805423308800</x:v>
      </x:c>
      <x:c r="B545" s="65" t="str">
        <x:v>中等题</x:v>
      </x:c>
      <x:c r="C545" s="65" t="str">
        <x:v>中等题</x:v>
      </x:c>
      <x:c r="D545" s="65" t="str">
        <x:v>中等题</x:v>
      </x:c>
      <x:c r="E545" s="65" t="str">
        <x:v>逐题复核后保留GPT裁定</x:v>
      </x:c>
      <x:c r="F545" s="65" t="str">
        <x:v>高</x:v>
      </x:c>
      <x:c r="G545" s="65" t="str">
        <x:v>中等题</x:v>
      </x:c>
      <x:c r="H545" s="65" t="str">
        <x:v>拔高题</x:v>
      </x:c>
      <x:c r="I545" s="65" t="str">
        <x:v>存在约3—4步常规连续分析、共享过程或完整标准实验任务，关系仍显性。 题目证据：最高难选项实际有效物理决策约3步。五维中知识量2-3个关联知识点，过程为单状态但需要同时考虑两个量程约束，数学工具为多步常规计算，情境为常见变式，思维层次属于常规分析。最高难选项C需要分别计算电流表和电压表达到量程时的电流，对比判断哪个量程先达到临界，再根据压敏电阻阻值反推最大压力，属于常规电路分析结合双约束判断，没有决定性隐含转换。</x:v>
      </x:c>
      <x:c r="J545" s="65" t="str">
        <x:v>三次运行错题并集逐题复核</x:v>
      </x:c>
      <x:c r="K545" s="63" t="str">
        <x:v>如图甲所示是压力秤的简易电路，已知电源电压为18 V，电流表的量程为0~0.6 A，电压表的量程为0~15 V，定值电阻$R_{0}$的阻值为$20\Omega$，电阻R为压敏电阻，其阻值变化与所受压力大小的关系如图乙所示。下列说法正确的是（ ）</x:v>
      </x:c>
      <x:c r="L545" s="63" t="str">
        <x:v>A. 当压力F为100 N时，电流表的示数为0.25 A B. 随着压力F的增大，电压表与电流表的示数之比变大 C. 此压力秤能测量的最大压力值为600 N D. 若将电压表改装成压力显示器，则表盘上的刻度对应的压力值是均匀的</x:v>
      </x:c>
      <x:c r="M545" s="63" t="str">
        <x:v>A.当压力F为100 N时，压敏电阻R阻值为60Ω，电路为串联电路，电流表的示数为$I=\dfrac{U}{R_{\mathrm{总}}}=\dfrac{U}{R_{0}+R}=\dfrac{18\mathrm{V}}{20\Omega +60\Omega }=0.225\mathrm{A}$，故A错误；B.电压表与电流表的示数之比即$\dfrac{U_{0}}{I}$，而$U_{0}=IR_{0}$，所以$\dfrac{U_{0}}{I}=R_{0}$，$R_{0}$为定值电阻，其阻值不变，故B错误；C.电流表的量程为0-0.6A，当电流最大为$I_{\max }=0.6\mathrm{A}$时，$R_{0}$两端的电压$U_{0}=I_{\max }R_{0}=0.6\mathrm{A}\times 20\Omega =12\mathrm{V}$此时压敏电阻两端电压$U_{R}=U-U_{0}=18\mathrm{V}-12\mathrm{V}=6\mathrm{V}$压敏电阻阻值$R=\dfrac{U_{R}}{I_{\max }}=\dfrac{6V}{0.6A}=10\Omega$由图乙可知，当$R=10\Omega$时，压力$F=600\mathrm{N}$若电压表达到量程15V，此时电路$I=\dfrac{U_{0}}{R_{0}}=\dfrac{15\mathrm{V}}{20\Omega }=0.75\mathrm{A}$超过电流表量程0.6A，所以电路最大电流由电流表量程决定，此时压力最大为600N，故C正确；D.电压表测$R_{0}$两端电压$U_{0}=IR_{0}=\dfrac{U}{R+R_{0}}R_{0}$由图乙可知R与F成线性关系，设$R=kF+b$（k、b为常数），则$U_{0}=\dfrac{UR_{0}}{kF+b+R_{0}}$U0与F不是线性关系，所以表盘刻度不均匀，故D错误。故选C。</x:v>
      </x:c>
      <x:c r="N545" s="63" t="str">
        <x:v>https://k12static.xdf.cn/k12/image/externalized/c8381d59-2b5e-480a-a538-556649234381.png</x:v>
      </x:c>
      <x:c r="O545" s="63" t="str">
        <x:v>https://k12static.xdf.cn/k12/image/externalized/0c6111d7-0391-4ce8-a957-2fe983d6e90e.png</x:v>
      </x:c>
      <x:c r="P545" s="63" t="str">
        <x:v>3-5步</x:v>
      </x:c>
      <x:c r="Q545" s="63" t="str">
        <x:v>电路综合</x:v>
      </x:c>
      <x:c r="R545" s="63" t="str">
        <x:v>单状态</x:v>
      </x:c>
      <x:c r="S545" s="63" t="str">
        <x:v>多约束</x:v>
      </x:c>
      <x:c r="T545" s="63" t="str">
        <x:v>无</x:v>
      </x:c>
      <x:c r="U545" s="63" t="str">
        <x:v>直接读数</x:v>
      </x:c>
      <x:c r="V545" s="63" t="str">
        <x:v>多层因果推理</x:v>
      </x:c>
    </x:row>
    <x:row r="546">
      <x:c r="A546" s="64" t="str">
        <x:v>​3650595126947151872</x:v>
      </x:c>
      <x:c r="B546" s="65" t="str">
        <x:v>基础题</x:v>
      </x:c>
      <x:c r="C546" s="65" t="str">
        <x:v>基础题</x:v>
      </x:c>
      <x:c r="D546" s="65" t="str">
        <x:v>基础题</x:v>
      </x:c>
      <x:c r="E546" s="65" t="str">
        <x:v>保留原GPT裁定</x:v>
      </x:c>
      <x:c r="F546" s="65" t="str">
        <x:v>中</x:v>
      </x:c>
      <x:c r="G546" s="65" t="str">
        <x:v>基础题</x:v>
      </x:c>
      <x:c r="H546" s="65" t="str">
        <x:v>送分题</x:v>
      </x:c>
      <x:c r="I546" s="65" t="str">
        <x:v>题干、解析与结构证据支持基础题：step=1-2步，题型=概念判断，状态=单状态，约束=无约束，推理=直接套用。教师、盲评和多次模型证据中未形成足以推翻原裁定的同向结构证据。</x:v>
      </x:c>
      <x:c r="J546" s="65" t="str">
        <x:v>未进入三次错题并集；逐题结构一致性复核</x:v>
      </x:c>
      <x:c r="K546" s="63" t="str">
        <x:v>如图所示为汽油机工作时某冲程的示意图，下列关于这个冲程的说法正确的是（ ）</x:v>
      </x:c>
      <x:c r="L546" s="63" t="str">
        <x:v>A. 该冲程是做功冲程 B. 该冲程是压缩冲程 C. 将机械能转化为内能 D. 将内能转化为机械能</x:v>
      </x:c>
      <x:c r="M546" s="63" t="str">
        <x:v>图中进气门和排气门均关闭，火花塞正在点火，且活塞向下运动，这符合汽油机做功冲程的特征。在做功冲程中，高温高压的燃气推动活塞做功，将内能转化为机械能。故选AD。</x:v>
      </x:c>
      <x:c r="N546" s="63" t="str">
        <x:v>https://k12static.xdf.cn/k12/image/externalized/da59b18b-9755-4b60-a08b-9395e651a8ba.png</x:v>
      </x:c>
      <x:c r="O546" s="63" t="str">
        <x:v>https://k12static.xdf.cn/k12/image/externalized/966b90f2-6336-40c7-b749-ef4affbf8b54.png</x:v>
      </x:c>
      <x:c r="P546" s="63" t="str">
        <x:v>1-2步</x:v>
      </x:c>
      <x:c r="Q546" s="63" t="str">
        <x:v>概念判断</x:v>
      </x:c>
      <x:c r="R546" s="63" t="str">
        <x:v>单状态</x:v>
      </x:c>
      <x:c r="S546" s="63" t="str">
        <x:v>无约束</x:v>
      </x:c>
      <x:c r="T546" s="63" t="str">
        <x:v>无</x:v>
      </x:c>
      <x:c r="U546" s="63" t="str">
        <x:v>无</x:v>
      </x:c>
      <x:c r="V546" s="63" t="str">
        <x:v>直接套用</x:v>
      </x:c>
    </x:row>
    <x:row r="547">
      <x:c r="A547" s="64" t="str">
        <x:v>​3652178273465356288</x:v>
      </x:c>
      <x:c r="B547" s="65" t="str">
        <x:v>拔高题</x:v>
      </x:c>
      <x:c r="C547" s="65" t="str">
        <x:v>拔高题</x:v>
      </x:c>
      <x:c r="D547" s="65" t="str">
        <x:v>拔高题</x:v>
      </x:c>
      <x:c r="E547" s="65" t="str">
        <x:v>逐题复核后保留GPT裁定</x:v>
      </x:c>
      <x:c r="F547" s="65" t="str">
        <x:v>中</x:v>
      </x:c>
      <x:c r="G547" s="65" t="str">
        <x:v>拔高题</x:v>
      </x:c>
      <x:c r="H547" s="65" t="str">
        <x:v>压轴题</x:v>
      </x:c>
      <x:c r="I547" s="65" t="str">
        <x:v>存在决定性反推/等效/误差/几何转换，或同一装置中的5—6步高密度综合链。 题目证据：自动调整：teacher_medium_to_hard_joint_structure；证据：多状态或临界状态；多问层层递进；多公式或复杂范围计算；方案设计或误差评价。最高难小问实际有效物理决策约3-4步。五维中知识量2-3个关联知识点，过程是多开关多挡位的电路状态，数学工具为常规多步公式计算，情境为常规电路设计实践，思维层次为常规应用分析；任务为多问递进，后问依赖前问推导得到的电阻参数，整体围绕电热器多挡位电路设计完成原理分析、参数计算与优化设计，没有决定性隐含转换或全链耦合。</x:v>
      </x:c>
      <x:c r="J547" s="65" t="str">
        <x:v>三次运行错题并集逐题复核</x:v>
      </x:c>
      <x:c r="K547" s="63" t="str">
        <x:v>小明和小华在老师的指导下，开展电路设计实践活动。他们计划设计一个电热器工作电路，电路中只用到两根电热丝、两个单刀单掷开关和若干导线，不考虑温度对电热丝阻值的影响。请规范使用电路元件符号：电热丝用符号“”表示，单刀单掷开关断开时用符号“”表示。</x:v>
      </x:c>
      <x:c r="L547" s="63" t="str"/>
      <x:c r="M547" s="63" t="str"/>
      <x:c r="N547" s="63" t="str">
        <x:v>https://k12static.xdf.cn/k12/image/externalized/eea6fe0e-72ad-45f0-bf6a-d362b5c6555e.png</x:v>
      </x:c>
      <x:c r="O547" s="63" t="str">
        <x:v>https://k12static.xdf.cn/k12/image/externalized/6518124a-a633-434f-8290-493e05184082.png</x:v>
      </x:c>
      <x:c r="P547" s="63" t="str">
        <x:v>3-5步</x:v>
      </x:c>
      <x:c r="Q547" s="63" t="str">
        <x:v>电路综合</x:v>
      </x:c>
      <x:c r="R547" s="63" t="str">
        <x:v>多状态</x:v>
      </x:c>
      <x:c r="S547" s="63" t="str">
        <x:v>单一约束</x:v>
      </x:c>
      <x:c r="T547" s="63" t="str">
        <x:v>无</x:v>
      </x:c>
      <x:c r="U547" s="63" t="str">
        <x:v>无</x:v>
      </x:c>
      <x:c r="V547" s="63" t="str">
        <x:v>多层因果推理</x:v>
      </x:c>
    </x:row>
    <x:row r="548">
      <x:c r="A548" s="64" t="str">
        <x:v>​3652179795007594496</x:v>
      </x:c>
      <x:c r="B548" s="65" t="str">
        <x:v>压轴题</x:v>
      </x:c>
      <x:c r="C548" s="65" t="str">
        <x:v>压轴题</x:v>
      </x:c>
      <x:c r="D548" s="65" t="str">
        <x:v>压轴题</x:v>
      </x:c>
      <x:c r="E548" s="65" t="str">
        <x:v>逐题复核后保留GPT裁定</x:v>
      </x:c>
      <x:c r="F548" s="65" t="str">
        <x:v>高</x:v>
      </x:c>
      <x:c r="G548" s="65" t="str">
        <x:v>压轴题</x:v>
      </x:c>
      <x:c r="H548" s="65" t="str">
        <x:v>压轴题</x:v>
      </x:c>
      <x:c r="I548" s="65" t="str">
        <x:v>多对象、多状态和多约束形成共享模型网络，并含临界、分类、边界或有效解筛选。 题目证据：自动调整：teacher_hard_to_final_joint_structure；证据：多约束；4个及以上知识点；真实跨模块综合；多问层层递进；多公式或复杂范围计算。整道题共四个小问，最高难小问为小题3，最长连续链包含5个有效物理决策：确定研究对象为静止水杯，对水杯进行受力分析，建立受力平衡方程，化简过程中消去无关中间量，最终推导得到L的表达式，五维锚定落在拔高档，知识量为跨力学压强、受力平衡、浮力、串联电路欧姆定律四个及以上不同知识点综合，过程对象为需要自主建构水杯受力平衡模型，数学工具为多公式联立化简，情境</x:v>
      </x:c>
      <x:c r="J548" s="65" t="str">
        <x:v>三次运行错题并集逐题复核</x:v>
      </x:c>
      <x:c r="K548" s="63" t="str">
        <x:v>小闽设计了一个动物自动饮水机，其结构如图甲所示。蓄水池里的水通过进水管流到饮水槽。在进水口正下方有一自动控制进水装置，内有一开口向下的圆柱形水杯，当饮水槽的水位下降时，水杯会下降使水通过进水口补充到饮水槽中；当饮水槽的水位上升到某高度时，水杯上升堵住进水口停止进水。为防止缺水，在蓄水池底A处装有压敏电阻监控水位，图乙是监控水位的电路，图丙是压敏电阻阻值RF随水深h变化的关系图像。</x:v>
      </x:c>
      <x:c r="L548" s="63" t="str"/>
      <x:c r="M548" s="63" t="str"/>
      <x:c r="N548" s="63" t="str">
        <x:v>https://k12static.xdf.cn/k12/image/externalized/fccb4d75-2ab5-4ea5-8cd6-c550f9d9feff.png</x:v>
      </x:c>
      <x:c r="O548" s="63" t="str">
        <x:v>https://k12static.xdf.cn/k12/image/externalized/01fecdb6-70ac-4224-817f-8739d9f54af3.png</x:v>
      </x:c>
      <x:c r="P548" s="63" t="str">
        <x:v>6-8步</x:v>
      </x:c>
      <x:c r="Q548" s="63" t="str">
        <x:v>力学综合</x:v>
      </x:c>
      <x:c r="R548" s="63" t="str">
        <x:v>单状态</x:v>
      </x:c>
      <x:c r="S548" s="63" t="str">
        <x:v>多约束</x:v>
      </x:c>
      <x:c r="T548" s="63" t="str">
        <x:v>无</x:v>
      </x:c>
      <x:c r="U548" s="63" t="str">
        <x:v>图像反推或外推</x:v>
      </x:c>
      <x:c r="V548" s="63" t="str">
        <x:v>逆向推理或临界分析</x:v>
      </x:c>
    </x:row>
    <x:row r="549">
      <x:c r="A549" s="64" t="str">
        <x:v>​3659087179630526464</x:v>
      </x:c>
      <x:c r="B549" s="65" t="str">
        <x:v>送分题</x:v>
      </x:c>
      <x:c r="C549" s="65" t="str">
        <x:v>送分题</x:v>
      </x:c>
      <x:c r="D549" s="65" t="str">
        <x:v>送分题</x:v>
      </x:c>
      <x:c r="E549" s="65" t="str">
        <x:v>保留原GPT裁定</x:v>
      </x:c>
      <x:c r="F549" s="65" t="str">
        <x:v>高</x:v>
      </x:c>
      <x:c r="G549" s="65" t="str">
        <x:v>基础题</x:v>
      </x:c>
      <x:c r="H549" s="65" t="str">
        <x:v>送分题</x:v>
      </x:c>
      <x:c r="I549" s="65" t="str">
        <x:v>题干、解析与结构证据支持送分题：step=1-2步，题型=概念判断，状态=单状态，约束=无约束，推理=直接套用。教师、盲评和多次模型证据中未形成足以推翻原裁定的同向结构证据。</x:v>
      </x:c>
      <x:c r="J549" s="65" t="str">
        <x:v>未进入三次错题并集；逐题结构一致性复核</x:v>
      </x:c>
      <x:c r="K549" s="63" t="str">
        <x:v>金斑喙凤蝶飞行姿态优美，有“蝶中皇后”之称。如图是金斑喙凤蝶停留在手上时，用照相机拍摄的照片，回答1～3题。 由照片估测，该凤蝶两翅展开的实际长度约为（ ）</x:v>
      </x:c>
      <x:c r="L549" s="63" t="str">
        <x:v>A. 1.1mm B. 1.1cm C. 1.1dm D. 1.1m</x:v>
      </x:c>
      <x:c r="M549" s="63" t="str">
        <x:v>解：如图，该凤蝶两翅展开的实际长度略大于手掌的宽度，约11cm=1.1dm。 故选：C。</x:v>
      </x:c>
      <x:c r="N549" s="63" t="str">
        <x:v>https://k12static.xdf.cn/k12/image/externalized/0f71b4a3-f54f-451c-9984-8fb5cfd9606a.png</x:v>
      </x:c>
      <x:c r="O549" s="63" t="str">
        <x:v>https://k12static.xdf.cn/k12/image/externalized/a1ed84c3-2522-432b-9681-5370e2cc1646.png</x:v>
      </x:c>
      <x:c r="P549" s="63" t="str">
        <x:v>1-2步</x:v>
      </x:c>
      <x:c r="Q549" s="63" t="str">
        <x:v>概念判断</x:v>
      </x:c>
      <x:c r="R549" s="63" t="str">
        <x:v>单状态</x:v>
      </x:c>
      <x:c r="S549" s="63" t="str">
        <x:v>无约束</x:v>
      </x:c>
      <x:c r="T549" s="63" t="str">
        <x:v>无</x:v>
      </x:c>
      <x:c r="U549" s="63" t="str">
        <x:v>无</x:v>
      </x:c>
      <x:c r="V549" s="63" t="str">
        <x:v>直接套用</x:v>
      </x:c>
    </x:row>
    <x:row r="550">
      <x:c r="A550" s="64" t="str">
        <x:v>​3659087185250893824</x:v>
      </x:c>
      <x:c r="B550" s="65" t="str">
        <x:v>送分题</x:v>
      </x:c>
      <x:c r="C550" s="65" t="str">
        <x:v>送分题</x:v>
      </x:c>
      <x:c r="D550" s="65" t="str">
        <x:v>送分题</x:v>
      </x:c>
      <x:c r="E550" s="65" t="str">
        <x:v>保留原GPT裁定</x:v>
      </x:c>
      <x:c r="F550" s="65" t="str">
        <x:v>高</x:v>
      </x:c>
      <x:c r="G550" s="65" t="str">
        <x:v>基础题</x:v>
      </x:c>
      <x:c r="H550" s="65" t="str">
        <x:v>送分题</x:v>
      </x:c>
      <x:c r="I550" s="65" t="str">
        <x:v>题干、解析与结构证据支持送分题：step=1-2步，题型=概念判断，状态=单状态，约束=无约束，推理=直接套用。教师、盲评和多次模型证据中未形成足以推翻原裁定的同向结构证据。</x:v>
      </x:c>
      <x:c r="J550" s="65" t="str">
        <x:v>未进入三次错题并集；逐题结构一致性复核</x:v>
      </x:c>
      <x:c r="K550" s="63" t="str">
        <x:v>金斑喙凤蝶飞行姿态优美，有“蝶中皇后”之称。如图是金斑喙凤蝶停留在手上时，用照相机拍摄的照片，回答1～3题。 蝴蝶飞行时，翅膀每秒振动3～5次，人耳听不到翅膀振动发出的声音，是由于声音的（ ）</x:v>
      </x:c>
      <x:c r="L550" s="63" t="str">
        <x:v>A. 响度大 B. 频率低 C. 音色好 D. 速度小</x:v>
      </x:c>
      <x:c r="M550" s="63" t="str">
        <x:v>解：蝴蝶飞行时，翅膀每秒振动3～5次，即3～5Hz,其频率远低于20Hz,人耳是听不到的。 故选：B。</x:v>
      </x:c>
      <x:c r="N550" s="63" t="str">
        <x:v>https://k12static.xdf.cn/k12/image/externalized/b5307735-8e68-4a18-bd52-d88650d12eb8.png</x:v>
      </x:c>
      <x:c r="O550" s="63" t="str">
        <x:v>https://k12static.xdf.cn/k12/image/externalized/aff8c194-db97-4028-a1bf-cf34c71b4509.png</x:v>
      </x:c>
      <x:c r="P550" s="63" t="str">
        <x:v>1-2步</x:v>
      </x:c>
      <x:c r="Q550" s="63" t="str">
        <x:v>概念判断</x:v>
      </x:c>
      <x:c r="R550" s="63" t="str">
        <x:v>单状态</x:v>
      </x:c>
      <x:c r="S550" s="63" t="str">
        <x:v>无约束</x:v>
      </x:c>
      <x:c r="T550" s="63" t="str">
        <x:v>无</x:v>
      </x:c>
      <x:c r="U550" s="63" t="str">
        <x:v>无</x:v>
      </x:c>
      <x:c r="V550" s="63" t="str">
        <x:v>直接套用</x:v>
      </x:c>
    </x:row>
    <x:row r="551">
      <x:c r="A551" s="64" t="str">
        <x:v>​3659087190938370048</x:v>
      </x:c>
      <x:c r="B551" s="65" t="str">
        <x:v>基础题</x:v>
      </x:c>
      <x:c r="C551" s="65" t="str">
        <x:v>基础题</x:v>
      </x:c>
      <x:c r="D551" s="65" t="str">
        <x:v>基础题</x:v>
      </x:c>
      <x:c r="E551" s="65" t="str">
        <x:v>保留原GPT裁定</x:v>
      </x:c>
      <x:c r="F551" s="65" t="str">
        <x:v>高</x:v>
      </x:c>
      <x:c r="G551" s="65" t="str">
        <x:v>基础题</x:v>
      </x:c>
      <x:c r="H551" s="65" t="str">
        <x:v>送分题</x:v>
      </x:c>
      <x:c r="I551" s="65" t="str">
        <x:v>题干、解析与结构证据支持基础题：step=1-2步，题型=概念判断，状态=双状态，约束=无约束，推理=简单因果推理。教师、盲评和多次模型证据中未形成足以推翻原裁定的同向结构证据。</x:v>
      </x:c>
      <x:c r="J551" s="65" t="str">
        <x:v>未进入三次错题并集；逐题结构一致性复核</x:v>
      </x:c>
      <x:c r="K551" s="63" t="str">
        <x:v>如图，鹦鹉螺的壳内有多个气室，通过气室吸水或排水以控制自身的运动。悬浮的鹦鹉螺把海水吸进气室，它会（ ）</x:v>
      </x:c>
      <x:c r="L551" s="63" t="str">
        <x:v>A. 静止 B. 漂浮 C. 上浮 D. 下沉</x:v>
      </x:c>
      <x:c r="M551" s="63" t="str">
        <x:v>解：悬浮的鹦鹉螺浮力等于重力，把海水吸进气室后，重力增大，此时浮力小于重力，故会下沉。 故选：D。</x:v>
      </x:c>
      <x:c r="N551" s="63" t="str">
        <x:v>https://k12static.xdf.cn/k12/image/externalized/eed3965c-0be1-4adc-8cd8-2e7ee60c5353.png</x:v>
      </x:c>
      <x:c r="O551" s="63" t="str">
        <x:v>https://k12static.xdf.cn/k12/image/externalized/191819d0-bf6d-4c41-9963-90499b776cc9.png</x:v>
      </x:c>
      <x:c r="P551" s="63" t="str">
        <x:v>1-2步</x:v>
      </x:c>
      <x:c r="Q551" s="63" t="str">
        <x:v>概念判断</x:v>
      </x:c>
      <x:c r="R551" s="63" t="str">
        <x:v>双状态</x:v>
      </x:c>
      <x:c r="S551" s="63" t="str">
        <x:v>无约束</x:v>
      </x:c>
      <x:c r="T551" s="63" t="str">
        <x:v>无</x:v>
      </x:c>
      <x:c r="U551" s="63" t="str">
        <x:v>无</x:v>
      </x:c>
      <x:c r="V551" s="63" t="str">
        <x:v>简单因果推理</x:v>
      </x:c>
    </x:row>
    <x:row r="552">
      <x:c r="A552" s="64" t="str">
        <x:v>​3659087209410084864</x:v>
      </x:c>
      <x:c r="B552" s="65" t="str">
        <x:v>基础题</x:v>
      </x:c>
      <x:c r="C552" s="65" t="str">
        <x:v>基础题</x:v>
      </x:c>
      <x:c r="D552" s="65" t="str">
        <x:v>基础题</x:v>
      </x:c>
      <x:c r="E552" s="65" t="str">
        <x:v>保留原GPT裁定</x:v>
      </x:c>
      <x:c r="F552" s="65" t="str">
        <x:v>中</x:v>
      </x:c>
      <x:c r="G552" s="65" t="str">
        <x:v>基础题</x:v>
      </x:c>
      <x:c r="H552" s="65" t="str">
        <x:v>送分题</x:v>
      </x:c>
      <x:c r="I552" s="65" t="str">
        <x:v>题干、解析与结构证据支持基础题：step=1-2步，题型=概念判断，状态=单状态，约束=无约束，推理=简单因果推理。教师、盲评和多次模型证据中未形成足以推翻原裁定的同向结构证据。</x:v>
      </x:c>
      <x:c r="J552" s="65" t="str">
        <x:v>未进入三次错题并集；逐题结构一致性复核</x:v>
      </x:c>
      <x:c r="K552" s="63" t="str">
        <x:v>如图是丰子恺的漫画。画中孩童被饭菜的香气吸引围于桌边，回答5～7题。 锅里食物的内能改变方式与下列事例不同的是（ ）</x:v>
      </x:c>
      <x:c r="L552" s="63" t="str">
        <x:v>A. 钻木取火 B. 围炉煮茶 C. 炭火烤肉 D. 热水暖手</x:v>
      </x:c>
      <x:c r="M552" s="63" t="str">
        <x:v>解：加热锅内食物的过程中，食物吸收了热量，内能增加，是通过热传递的方式改变食物的内能。 A、钻木取火是克服摩擦做功，将机械能转化为内能，属于通过做功的方式改变内能，故A符合题意； BCD、围炉煮茶、炭火烤肉、热水暖手都属于能量转移，是通过热传递的方式改变内能，故BCD不符合题意。 故选：A。</x:v>
      </x:c>
      <x:c r="N552" s="63" t="str">
        <x:v>https://k12static.xdf.cn/k12/image/externalized/850c85c8-e408-4bd2-a78b-2c0ef1128423.png</x:v>
      </x:c>
      <x:c r="O552" s="63" t="str">
        <x:v>https://k12static.xdf.cn/k12/image/externalized/b43949bc-ce06-4103-8a65-8b05d37cc4b2.png</x:v>
      </x:c>
      <x:c r="P552" s="63" t="str">
        <x:v>1-2步</x:v>
      </x:c>
      <x:c r="Q552" s="63" t="str">
        <x:v>概念判断</x:v>
      </x:c>
      <x:c r="R552" s="63" t="str">
        <x:v>单状态</x:v>
      </x:c>
      <x:c r="S552" s="63" t="str">
        <x:v>无约束</x:v>
      </x:c>
      <x:c r="T552" s="63" t="str">
        <x:v>无</x:v>
      </x:c>
      <x:c r="U552" s="63" t="str">
        <x:v>无</x:v>
      </x:c>
      <x:c r="V552" s="63" t="str">
        <x:v>简单因果推理</x:v>
      </x:c>
    </x:row>
    <x:row r="553">
      <x:c r="A553" s="64" t="str">
        <x:v>​3659087224861900800</x:v>
      </x:c>
      <x:c r="B553" s="65" t="str">
        <x:v>基础题</x:v>
      </x:c>
      <x:c r="C553" s="65" t="str">
        <x:v>基础题</x:v>
      </x:c>
      <x:c r="D553" s="65" t="str">
        <x:v>基础题</x:v>
      </x:c>
      <x:c r="E553" s="65" t="str">
        <x:v>逐题复核后保留GPT裁定</x:v>
      </x:c>
      <x:c r="F553" s="65" t="str">
        <x:v>高</x:v>
      </x:c>
      <x:c r="G553" s="65" t="str">
        <x:v>基础题</x:v>
      </x:c>
      <x:c r="H553" s="65" t="str">
        <x:v>送分题</x:v>
      </x:c>
      <x:c r="I553" s="65" t="str">
        <x:v>最高难任务为1—2步显性应用、规范操作或简单因果，没有连续模型转换。 题目证据：最长连续链仅1步有效物理决策，五维锚定知识量为1个惯性概念，过程/对象为单场景判断，无数学运算，情境为熟悉古代劳动场景，思维层次为直接识别；任务为四个选项分别对应不同物理原理，逐一识别对应关系即可。</x:v>
      </x:c>
      <x:c r="J553" s="65" t="str">
        <x:v>三次运行错题并集逐题复核</x:v>
      </x:c>
      <x:c r="K553" s="63" t="str">
        <x:v>我国古代劳动人民创造了灿烂的文化与辉煌的科学技术，回答8～10题。 下列是古代人民劳动时的场景，主要利用惯性的是（ ）</x:v>
      </x:c>
      <x:c r="L553" s="63" t="str">
        <x:v>A. 摔打稻秆脱粒 B. 张贴湿纸焙干 C. 拉动桔槔取水 D. 煤饼烧石成灰</x:v>
      </x:c>
      <x:c r="M553" s="63" t="str">
        <x:v>解：A、摔打稻秆脱粒，稻秆受力快速运动，稻粒由于惯性保持原来静止状态，从而与稻秆分离，故A正确； B、张贴湿纸焙干是水分汽化（蒸发），故B错误； C、拉动桔槔取水利用杠杆的原理，故C错误； D、煤饼烧石成灰属于化学变化，故D错误。 故选：A。</x:v>
      </x:c>
      <x:c r="N553" s="63" t="str">
        <x:v>https://k12static.xdf.cn/k12/image/externalized/5f984abc-726a-42d5-aee3-db1fe5319a85.png</x:v>
      </x:c>
      <x:c r="O553" s="63" t="str">
        <x:v>https://k12static.xdf.cn/k12/image/externalized/9be5c6bd-5d4c-4a2d-b9bc-051d5d431f19.png</x:v>
      </x:c>
      <x:c r="P553" s="63" t="str">
        <x:v>1-2步</x:v>
      </x:c>
      <x:c r="Q553" s="63" t="str">
        <x:v>概念判断</x:v>
      </x:c>
      <x:c r="R553" s="63" t="str">
        <x:v>单状态</x:v>
      </x:c>
      <x:c r="S553" s="63" t="str">
        <x:v>无约束</x:v>
      </x:c>
      <x:c r="T553" s="63" t="str">
        <x:v>无</x:v>
      </x:c>
      <x:c r="U553" s="63" t="str">
        <x:v>无</x:v>
      </x:c>
      <x:c r="V553" s="63" t="str">
        <x:v>简单因果推理</x:v>
      </x:c>
    </x:row>
    <x:row r="554">
      <x:c r="A554" s="64" t="str">
        <x:v>​3659087230230609920</x:v>
      </x:c>
      <x:c r="B554" s="65" t="str">
        <x:v>基础题</x:v>
      </x:c>
      <x:c r="C554" s="65" t="str">
        <x:v>基础题</x:v>
      </x:c>
      <x:c r="D554" s="65" t="str">
        <x:v>基础题</x:v>
      </x:c>
      <x:c r="E554" s="65" t="str">
        <x:v>保留原GPT裁定</x:v>
      </x:c>
      <x:c r="F554" s="65" t="str">
        <x:v>高</x:v>
      </x:c>
      <x:c r="G554" s="65" t="str">
        <x:v>中等题</x:v>
      </x:c>
      <x:c r="H554" s="65" t="str">
        <x:v>基础题</x:v>
      </x:c>
      <x:c r="I554" s="65" t="str">
        <x:v>题干、解析与结构证据支持基础题：step=1-2步，题型=概念判断，状态=单状态，约束=无约束，推理=简单因果推理。教师、盲评和多次模型证据中未形成足以推翻原裁定的同向结构证据。</x:v>
      </x:c>
      <x:c r="J554" s="65" t="str">
        <x:v>未进入三次错题并集；逐题结构一致性复核</x:v>
      </x:c>
      <x:c r="K554" s="63" t="str">
        <x:v>我国古代劳动人民创造了灿烂的文化与辉煌的科学技术，回答8～10题。 如图，拔车是古代劳动人民灌溉的重要工具。灌溉时用双手握住摇把转动，带动嵌了刮水板的链条匀速运动，将水提升到地势较高的田中。下列说法正确的是（ ）</x:v>
      </x:c>
      <x:c r="L554" s="63" t="str">
        <x:v>A. 转动越快，提水功率越低 B. 被提升的水机械能不变 C. 被提升的水重力势能增大 D. 拔车的机械效率能达到100%</x:v>
      </x:c>
      <x:c r="M554" s="63" t="str">
        <x:v>解：A、转动越快，单位时间提升的有用功越多，提水功率越大，故A错误； B、被提升的水匀速运动，质量不变，速度不变，动能不变，高度变大，重力势能变大，机械能变大，故B错误； C、被提升的水，质量不变，高度增大，重力势能增大，故C正确； D、使用机械时不可避免要做额外功，机械效率达不到100%，故D错误。 故选：C。</x:v>
      </x:c>
      <x:c r="N554" s="63" t="str">
        <x:v>https://k12static.xdf.cn/k12/image/externalized/165fb767-c01c-4d65-833b-761b6b81472a.png</x:v>
      </x:c>
      <x:c r="O554" s="63" t="str">
        <x:v>https://k12static.xdf.cn/k12/image/externalized/279a786f-bc99-4b0d-b675-785340f255bd.png</x:v>
      </x:c>
      <x:c r="P554" s="63" t="str">
        <x:v>1-2步</x:v>
      </x:c>
      <x:c r="Q554" s="63" t="str">
        <x:v>概念判断</x:v>
      </x:c>
      <x:c r="R554" s="63" t="str">
        <x:v>单状态</x:v>
      </x:c>
      <x:c r="S554" s="63" t="str">
        <x:v>无约束</x:v>
      </x:c>
      <x:c r="T554" s="63" t="str">
        <x:v>无</x:v>
      </x:c>
      <x:c r="U554" s="63" t="str">
        <x:v>无</x:v>
      </x:c>
      <x:c r="V554" s="63" t="str">
        <x:v>简单因果推理</x:v>
      </x:c>
    </x:row>
    <x:row r="555">
      <x:c r="A555" s="64" t="str">
        <x:v>​3659087241655894016</x:v>
      </x:c>
      <x:c r="B555" s="65" t="str">
        <x:v>基础题</x:v>
      </x:c>
      <x:c r="C555" s="65" t="str">
        <x:v>基础题</x:v>
      </x:c>
      <x:c r="D555" s="65" t="str">
        <x:v>基础题</x:v>
      </x:c>
      <x:c r="E555" s="65" t="str">
        <x:v>保留原GPT裁定</x:v>
      </x:c>
      <x:c r="F555" s="65" t="str">
        <x:v>高</x:v>
      </x:c>
      <x:c r="G555" s="65" t="str">
        <x:v>基础题</x:v>
      </x:c>
      <x:c r="H555" s="65" t="str">
        <x:v>送分题</x:v>
      </x:c>
      <x:c r="I555" s="65" t="str">
        <x:v>题干、解析与结构证据支持基础题：step=1-2步，题型=概念判断，状态=单状态，约束=无约束，推理=简单因果推理。教师、盲评和多次模型证据中未形成足以推翻原裁定的同向结构证据。</x:v>
      </x:c>
      <x:c r="J555" s="65" t="str">
        <x:v>未进入三次错题并集；逐题结构一致性复核</x:v>
      </x:c>
      <x:c r="K555" s="63" t="str">
        <x:v>课后，小闽进行如下的电学探究，回答11～14题。 拆开电流表，表头内部结构如图所示。通电后，线圈在磁场中转动，带动指针偏转。下列与其工作原理相同的是（ ）</x:v>
      </x:c>
      <x:c r="L555" s="63" t="str">
        <x:v>A. 电热毯 B. 电动机 C. 电水壶 D. 发电机</x:v>
      </x:c>
      <x:c r="M555" s="63" t="str">
        <x:v>解：通过电流表的内部构造显示电流表的制成原理：通电线圈在磁场中受力而转动，并且电流越大，线圈受到的力越大，其转动的幅度越大。因此可以利用电流表指针的转动幅度来体现电路中电流的大小。 A、电热毯的原理是利用电流的热效应，故A错误； B、该图是电动机的原理图，电动机是利用通电线圈在磁场中受力而转动的理论制成的，故B正确； C、电水壶的原理是利用电流的热效应，故C错误； D、该图是发电机的原理图，发电机是利用电磁感应现象制成的，与电流表的制成原理无关，故D错误。 故选：B。</x:v>
      </x:c>
      <x:c r="N555" s="63" t="str">
        <x:v>https://k12static.xdf.cn/k12/image/externalized/0948687b-346d-4961-9bd0-2712ffab5249.png</x:v>
      </x:c>
      <x:c r="O555" s="63" t="str">
        <x:v>https://k12static.xdf.cn/k12/image/externalized/13e88907-e33d-4abf-a939-5dd2081c0820.png</x:v>
      </x:c>
      <x:c r="P555" s="63" t="str">
        <x:v>1-2步</x:v>
      </x:c>
      <x:c r="Q555" s="63" t="str">
        <x:v>概念判断</x:v>
      </x:c>
      <x:c r="R555" s="63" t="str">
        <x:v>单状态</x:v>
      </x:c>
      <x:c r="S555" s="63" t="str">
        <x:v>无约束</x:v>
      </x:c>
      <x:c r="T555" s="63" t="str">
        <x:v>无</x:v>
      </x:c>
      <x:c r="U555" s="63" t="str">
        <x:v>无</x:v>
      </x:c>
      <x:c r="V555" s="63" t="str">
        <x:v>简单因果推理</x:v>
      </x:c>
    </x:row>
    <x:row r="556">
      <x:c r="A556" s="64" t="str">
        <x:v>​3659087283716374528</x:v>
      </x:c>
      <x:c r="B556" s="65" t="str">
        <x:v>送分题</x:v>
      </x:c>
      <x:c r="C556" s="65" t="str">
        <x:v>送分题</x:v>
      </x:c>
      <x:c r="D556" s="65" t="str">
        <x:v>送分题</x:v>
      </x:c>
      <x:c r="E556" s="65" t="str">
        <x:v>逐题复核后保留GPT裁定</x:v>
      </x:c>
      <x:c r="F556" s="65" t="str">
        <x:v>高</x:v>
      </x:c>
      <x:c r="G556" s="65" t="str">
        <x:v>送分题</x:v>
      </x:c>
      <x:c r="H556" s="65" t="str">
        <x:v>送分题</x:v>
      </x:c>
      <x:c r="I556" s="65" t="str">
        <x:v>核心只需识别一个唯一、熟悉且关系显性的教材模板（教材概念与常规物理关系），没有第二次独立物理决策；背景、选项数量或机械作答动作不增加难度。</x:v>
      </x:c>
      <x:c r="J556" s="65" t="str">
        <x:v>三次运行错题并集逐题复核</x:v>
      </x:c>
      <x:c r="K556" s="63" t="str">
        <x:v>画出静止在水平地面上篮球的受力示意图。</x:v>
      </x:c>
      <x:c r="L556" s="63" t="str"/>
      <x:c r="M556" s="63" t="str">
        <x:v>解：静止在水平地面上的足球受到了两个力，重力和支持力；足球静止，这两个力就是平衡力，大小相等、方向相反。如图所示：</x:v>
      </x:c>
      <x:c r="N556" s="63" t="str">
        <x:v>https://k12static.xdf.cn/k12/image/externalized/e2e371e3-ba62-4725-9447-1c5ff7afb620.png</x:v>
      </x:c>
      <x:c r="O556" s="63" t="str">
        <x:v>https://k12static.xdf.cn/k12/image/externalized/826380da-649a-4c63-bcd9-95b2b9275d72.png</x:v>
      </x:c>
      <x:c r="P556" s="63" t="str">
        <x:v>1-2步</x:v>
      </x:c>
      <x:c r="Q556" s="63" t="str">
        <x:v>概念判断</x:v>
      </x:c>
      <x:c r="R556" s="63" t="str">
        <x:v>单状态</x:v>
      </x:c>
      <x:c r="S556" s="63" t="str">
        <x:v>无约束</x:v>
      </x:c>
      <x:c r="T556" s="63" t="str">
        <x:v>无</x:v>
      </x:c>
      <x:c r="U556" s="63" t="str">
        <x:v>无</x:v>
      </x:c>
      <x:c r="V556" s="63" t="str">
        <x:v>简单因果推理</x:v>
      </x:c>
    </x:row>
    <x:row r="557">
      <x:c r="A557" s="64" t="str">
        <x:v>​3659087340205260800</x:v>
      </x:c>
      <x:c r="B557" s="65" t="str">
        <x:v>拔高题</x:v>
      </x:c>
      <x:c r="C557" s="65" t="str">
        <x:v>拔高题</x:v>
      </x:c>
      <x:c r="D557" s="65" t="str">
        <x:v>拔高题</x:v>
      </x:c>
      <x:c r="E557" s="65" t="str">
        <x:v>逐题复核后保留GPT裁定</x:v>
      </x:c>
      <x:c r="F557" s="65" t="str">
        <x:v>高</x:v>
      </x:c>
      <x:c r="G557" s="65" t="str">
        <x:v>拔高题</x:v>
      </x:c>
      <x:c r="H557" s="65" t="str">
        <x:v>拔高题</x:v>
      </x:c>
      <x:c r="I557" s="65" t="str">
        <x:v>最高难任务在实验方案、误差/评价或改进任务中包含图线反推、状态转换、误差评价、几何/等效转换、方程联立或参数反求等决定性卡点，整体约5—6个有效决策；尚未形成压轴所需的完整复杂约束网络。</x:v>
      </x:c>
      <x:c r="J557" s="65" t="str">
        <x:v>三次运行错题并集逐题复核</x:v>
      </x:c>
      <x:c r="K557" s="63" t="str">
        <x:v>为鉴别螺栓的材料，同学们收集各型号的螺栓进行实验。</x:v>
      </x:c>
      <x:c r="L557" s="63" t="str"/>
      <x:c r="M557" s="63" t="str"/>
      <x:c r="N557" s="63" t="str">
        <x:v>https://k12static.xdf.cn/k12/image/externalized/a89a6ade-5625-48eb-8e47-c4cc7d66dc27.png</x:v>
      </x:c>
      <x:c r="O557" s="63" t="str">
        <x:v>https://k12static.xdf.cn/k12/image/externalized/44fb8e5c-18d9-43f4-bccd-92ba8014b21b.png</x:v>
      </x:c>
      <x:c r="P557" s="63" t="str">
        <x:v>3-5步</x:v>
      </x:c>
      <x:c r="Q557" s="63" t="str">
        <x:v>实验探究</x:v>
      </x:c>
      <x:c r="R557" s="63" t="str">
        <x:v>单状态</x:v>
      </x:c>
      <x:c r="S557" s="63" t="str">
        <x:v>无约束</x:v>
      </x:c>
      <x:c r="T557" s="63" t="str">
        <x:v>控制变量或故障分析</x:v>
      </x:c>
      <x:c r="U557" s="63" t="str">
        <x:v>多组比较归纳</x:v>
      </x:c>
      <x:c r="V557" s="63" t="str">
        <x:v>多层因果推理</x:v>
      </x:c>
    </x:row>
    <x:row r="558">
      <x:c r="A558" s="64" t="str">
        <x:v>​3659087375017984000</x:v>
      </x:c>
      <x:c r="B558" s="65" t="str">
        <x:v>拔高题</x:v>
      </x:c>
      <x:c r="C558" s="65" t="str">
        <x:v>拔高题</x:v>
      </x:c>
      <x:c r="D558" s="65" t="str">
        <x:v>拔高题</x:v>
      </x:c>
      <x:c r="E558" s="65" t="str">
        <x:v>逐题复核后保留GPT裁定</x:v>
      </x:c>
      <x:c r="F558" s="65" t="str">
        <x:v>高</x:v>
      </x:c>
      <x:c r="G558" s="65" t="str">
        <x:v>拔高题</x:v>
      </x:c>
      <x:c r="H558" s="65" t="str">
        <x:v>拔高题</x:v>
      </x:c>
      <x:c r="I558" s="65" t="str">
        <x:v>存在决定性反推/等效/误差/几何转换，或同一装置中的5—6步高密度综合链。 题目证据：自动调整：teacher_medium_to_hard_joint_structure；证据：多状态或临界状态；多约束；多问层层递进。最长连续链实际有效物理决策为3步，五维锚定落在中等档。各小问层层递进，后问依赖前问结果；最终要求判断高温挡干路总电流，结合安全载流表选择导线，任务结构为常规多状态电路分析加条件筛选，没有决定性隐含转换。</x:v>
      </x:c>
      <x:c r="J558" s="65" t="str">
        <x:v>三次运行错题并集逐题复核</x:v>
      </x:c>
      <x:c r="K558" s="63" t="str">
        <x:v>实验室设计某款三挡位电热器，简化电路如图所示。电源电压为220V，定值电阻R1的阻值为55Ω。只闭合开关S1时，为低温挡。只闭合开关S2时，电流表的示数为8A，为中温挡</x:v>
      </x:c>
      <x:c r="L558" s="63" t="str"/>
      <x:c r="M558" s="63" t="str"/>
      <x:c r="N558" s="63" t="str">
        <x:v>https://k12static.xdf.cn/k12/image/externalized/bad69972-ea6a-412c-85a0-544c1775164e.png</x:v>
      </x:c>
      <x:c r="O558" s="63" t="str">
        <x:v>https://k12static.xdf.cn/k12/image/externalized/13e811cd-6b78-48dc-87f3-c64e69813282.png</x:v>
      </x:c>
      <x:c r="P558" s="63" t="str">
        <x:v>3-5步</x:v>
      </x:c>
      <x:c r="Q558" s="63" t="str">
        <x:v>电路综合</x:v>
      </x:c>
      <x:c r="R558" s="63" t="str">
        <x:v>多状态</x:v>
      </x:c>
      <x:c r="S558" s="63" t="str">
        <x:v>多约束</x:v>
      </x:c>
      <x:c r="T558" s="63" t="str">
        <x:v>无</x:v>
      </x:c>
      <x:c r="U558" s="63" t="str">
        <x:v>无</x:v>
      </x:c>
      <x:c r="V558" s="63" t="str">
        <x:v>多层因果推理</x:v>
      </x:c>
    </x:row>
    <x:row r="559">
      <x:c r="A559" s="64" t="str">
        <x:v>​3659087386644594688</x:v>
      </x:c>
      <x:c r="B559" s="65" t="str">
        <x:v>压轴题</x:v>
      </x:c>
      <x:c r="C559" s="65" t="str">
        <x:v>压轴题</x:v>
      </x:c>
      <x:c r="D559" s="65" t="str">
        <x:v>压轴题</x:v>
      </x:c>
      <x:c r="E559" s="65" t="str">
        <x:v>逐题复核后保留GPT裁定</x:v>
      </x:c>
      <x:c r="F559" s="65" t="str">
        <x:v>高</x:v>
      </x:c>
      <x:c r="G559" s="65" t="str">
        <x:v>压轴题</x:v>
      </x:c>
      <x:c r="H559" s="65" t="str">
        <x:v>压轴题</x:v>
      </x:c>
      <x:c r="I559" s="65" t="str">
        <x:v>多对象、多状态和多约束形成共享模型网络，并含临界、分类、边界或有效解筛选。 题目证据：自动调整：teacher_hard_to_final_joint_structure；证据：多约束；4个及以上知识点；真实跨模块综合；多问层层递进；多公式或复杂范围计算。最高难第三小问实际有效物理决策约5步；整题前两问为基础计算，第三小问需要对水杯进行受力分析，结合液体压强和受力平衡推导表达式，第四小问需要依据第三小问结论回答，属于答案依赖的递进结构；第三小问需要自主区分不同液面的压强关系，建立多个压力表达式联立化简，属于高密度推理链，五维锚定落入拔高档，知识量跨力学电学模块，过程需要多区域压强区分和受力建模，思维</x:v>
      </x:c>
      <x:c r="J559" s="65" t="str">
        <x:v>三次运行错题并集逐题复核</x:v>
      </x:c>
      <x:c r="K559" s="63" t="str">
        <x:v>小闽设计了一个动物自动饮水机，其结构如图甲所示。蓄水池里的水通过进水管流到饮水槽。在进水口正下方有一自动控制进水装置，内有一开口向下的圆柱形水杯，当饮水槽的水位下降时，水杯会下降使水通过进水口补充到饮水槽中；当饮水槽的水位上升到某高度时，水杯上升堵住进水口停止进水。为防止缺水，在蓄水池底A处装有压敏电阻监控水位，图乙是监控水位的电路，图丙是压敏电阻阻值RF随水深h变化的关系图像。</x:v>
      </x:c>
      <x:c r="L559" s="63" t="str"/>
      <x:c r="M559" s="63" t="str"/>
      <x:c r="N559" s="63" t="str">
        <x:v>https://k12static.xdf.cn/k12/image/externalized/67a47a65-8c8b-492c-b8fa-258a67ac6cab.png</x:v>
      </x:c>
      <x:c r="O559" s="63" t="str">
        <x:v>https://k12static.xdf.cn/k12/image/externalized/db8a6594-ecbe-4771-a4cc-027040c53e7e.png</x:v>
      </x:c>
      <x:c r="P559" s="63" t="str">
        <x:v>6-8步</x:v>
      </x:c>
      <x:c r="Q559" s="63" t="str">
        <x:v>跨模块综合</x:v>
      </x:c>
      <x:c r="R559" s="63" t="str">
        <x:v>单状态</x:v>
      </x:c>
      <x:c r="S559" s="63" t="str">
        <x:v>多约束</x:v>
      </x:c>
      <x:c r="T559" s="63" t="str">
        <x:v>无</x:v>
      </x:c>
      <x:c r="U559" s="63" t="str">
        <x:v>图像反推或外推</x:v>
      </x:c>
      <x:c r="V559" s="63" t="str">
        <x:v>逆向推理或临界分析</x:v>
      </x:c>
    </x:row>
    <x:row r="560">
      <x:c r="A560" s="64" t="str">
        <x:v>​3659088264596307968</x:v>
      </x:c>
      <x:c r="B560" s="65" t="str">
        <x:v>拔高题</x:v>
      </x:c>
      <x:c r="C560" s="65" t="str">
        <x:v>拔高题</x:v>
      </x:c>
      <x:c r="D560" s="65" t="str">
        <x:v>拔高题</x:v>
      </x:c>
      <x:c r="E560" s="65" t="str">
        <x:v>逐题复核后保留GPT裁定</x:v>
      </x:c>
      <x:c r="F560" s="65" t="str">
        <x:v>高</x:v>
      </x:c>
      <x:c r="G560" s="65" t="str">
        <x:v>拔高题</x:v>
      </x:c>
      <x:c r="H560" s="65" t="str">
        <x:v>压轴题</x:v>
      </x:c>
      <x:c r="I560" s="65" t="str">
        <x:v>存在决定性反推/等效/误差/几何转换，或同一装置中的5—6步高密度综合链。 题目证据：最高难小问（第3问②）实际有效推理约4步，五维锚定结果为：知识量跨伏安法实验、欧姆定律、特殊方法测电阻三个知识点；过程/对象存在滑动变阻器滑片在a、b两个不同状态，需要分别建立电路关系；数学工具为简单方程联立；情境为常规实验拓展，不额外增难；思维层次达到综合应用，需要结合电流表精度要求反推待测电阻范围。整题任务覆盖实物电路连接、实验操作规范、读数计算、特殊方法推导表达式、量程精度范围计算五个环节，其中第3问需要完成双状态电路建模和参数范围反推，属于有卡点的实验综合。</x:v>
      </x:c>
      <x:c r="J560" s="65" t="str">
        <x:v>三次运行错题并集逐题复核</x:v>
      </x:c>
      <x:c r="K560" s="63" t="str">
        <x:v>如图甲所示是用伏安法测量未知电阻Rx阻值的实物电路。</x:v>
      </x:c>
      <x:c r="L560" s="63" t="str"/>
      <x:c r="M560" s="63" t="str"/>
      <x:c r="N560" s="63" t="str">
        <x:v>https://k12static.xdf.cn/k12/image/externalized/6c21317f-9458-400c-b034-faf94d3748ff.png</x:v>
      </x:c>
      <x:c r="O560" s="63" t="str">
        <x:v>https://k12static.xdf.cn/k12/image/externalized/318e6341-93a7-4c41-82f2-613ee75b5e3d.png</x:v>
      </x:c>
      <x:c r="P560" s="63" t="str">
        <x:v>3-5步</x:v>
      </x:c>
      <x:c r="Q560" s="63" t="str">
        <x:v>实验探究</x:v>
      </x:c>
      <x:c r="R560" s="63" t="str">
        <x:v>双状态</x:v>
      </x:c>
      <x:c r="S560" s="63" t="str">
        <x:v>多约束</x:v>
      </x:c>
      <x:c r="T560" s="63" t="str">
        <x:v>方案设计或误差评价</x:v>
      </x:c>
      <x:c r="U560" s="63" t="str">
        <x:v>直接读数</x:v>
      </x:c>
      <x:c r="V560" s="63" t="str">
        <x:v>多层因果推理</x:v>
      </x:c>
    </x:row>
    <x:row r="561">
      <x:c r="A561" s="64" t="str">
        <x:v>​3659088285785931776</x:v>
      </x:c>
      <x:c r="B561" s="65" t="str">
        <x:v>拔高题</x:v>
      </x:c>
      <x:c r="C561" s="65" t="str">
        <x:v>拔高题</x:v>
      </x:c>
      <x:c r="D561" s="65" t="str">
        <x:v>拔高题</x:v>
      </x:c>
      <x:c r="E561" s="65" t="str">
        <x:v>逐题复核后保留GPT裁定</x:v>
      </x:c>
      <x:c r="F561" s="65" t="str">
        <x:v>高</x:v>
      </x:c>
      <x:c r="G561" s="65" t="str">
        <x:v>拔高题</x:v>
      </x:c>
      <x:c r="H561" s="65" t="str">
        <x:v>拔高题</x:v>
      </x:c>
      <x:c r="I561" s="65" t="str">
        <x:v>最高难任务在电路状态、图线/参数与安全约束中包含图线反推、状态转换、误差评价、几何/等效转换、方程联立或参数反求等决定性卡点，整体约5—6个有效决策；尚未形成压轴所需的完整复杂约束网络。</x:v>
      </x:c>
      <x:c r="J561" s="65" t="str">
        <x:v>三次运行错题并集逐题复核</x:v>
      </x:c>
      <x:c r="K561" s="63" t="str">
        <x:v>如图所示，某创新小组设计了一个测量中学生身高的测量仪。定值电阻R1=10Ω，电源电压恒为18V，均匀电阻丝R2上标有“100Ω，1A”字样，其每1cm长度的电阻丝阻值为1Ω，电压表的量程为0～15V（其示数反映身高），电流表的量程为0～3A。求：</x:v>
      </x:c>
      <x:c r="L561" s="63" t="str"/>
      <x:c r="M561" s="63" t="str"/>
      <x:c r="N561" s="63" t="str">
        <x:v>https://k12static.xdf.cn/k12/image/externalized/1d0c07be-6017-4725-9699-ae7a6b92c7ac.png</x:v>
      </x:c>
      <x:c r="O561" s="63" t="str">
        <x:v>https://k12static.xdf.cn/k12/image/externalized/b5774d7c-4775-4401-be9e-704efc723994.png</x:v>
      </x:c>
      <x:c r="P561" s="63" t="str">
        <x:v>3-5步</x:v>
      </x:c>
      <x:c r="Q561" s="63" t="str">
        <x:v>电路综合</x:v>
      </x:c>
      <x:c r="R561" s="63" t="str">
        <x:v>双状态</x:v>
      </x:c>
      <x:c r="S561" s="63" t="str">
        <x:v>单一约束</x:v>
      </x:c>
      <x:c r="T561" s="63" t="str">
        <x:v>无</x:v>
      </x:c>
      <x:c r="U561" s="63" t="str">
        <x:v>无</x:v>
      </x:c>
      <x:c r="V561" s="63" t="str">
        <x:v>多层因果推理</x:v>
      </x:c>
    </x:row>
    <x:row r="562">
      <x:c r="A562" s="64" t="str">
        <x:v>​3659088525096140800</x:v>
      </x:c>
      <x:c r="B562" s="65" t="str">
        <x:v>送分题</x:v>
      </x:c>
      <x:c r="C562" s="65" t="str">
        <x:v>送分题</x:v>
      </x:c>
      <x:c r="D562" s="65" t="str">
        <x:v>送分题</x:v>
      </x:c>
      <x:c r="E562" s="65" t="str">
        <x:v>保留原GPT裁定</x:v>
      </x:c>
      <x:c r="F562" s="65" t="str">
        <x:v>高</x:v>
      </x:c>
      <x:c r="G562" s="65" t="str">
        <x:v>基础题</x:v>
      </x:c>
      <x:c r="H562" s="65" t="str">
        <x:v>送分题</x:v>
      </x:c>
      <x:c r="I562" s="65" t="str">
        <x:v>题干、解析与结构证据支持送分题：step=1-2步，题型=概念判断，状态=单状态，约束=无约束，推理=直接套用。教师、盲评和多次模型证据中未形成足以推翻原裁定的同向结构证据。</x:v>
      </x:c>
      <x:c r="J562" s="65" t="str">
        <x:v>未进入三次错题并集；逐题结构一致性复核</x:v>
      </x:c>
      <x:c r="K562" s="63" t="str">
        <x:v>经典红歌《珊瑚颂》赞美了革命先烈不畏艰险的英雄气概。如图是该歌曲的部分简谱，其中“3、5、6”等音符指的是声音的（ ）</x:v>
      </x:c>
      <x:c r="L562" s="63" t="str">
        <x:v>A. 音调 B. 响度 C. 音色 D. 振幅</x:v>
      </x:c>
      <x:c r="M562" s="63" t="str">
        <x:v>解：简谱中的数字的音阶不同，即发声体振动的频率不同，音调不同，故A正确，BCD错误。 故选：A。</x:v>
      </x:c>
      <x:c r="N562" s="63" t="str">
        <x:v>https://k12static.xdf.cn/k12/image/externalized/f2147dc3-44ae-48bd-91d2-747f4d2e1435.png</x:v>
      </x:c>
      <x:c r="O562" s="63" t="str">
        <x:v>https://k12static.xdf.cn/k12/image/externalized/c481e338-3b0a-4df6-8143-a1b4472f407a.png</x:v>
      </x:c>
      <x:c r="P562" s="63" t="str">
        <x:v>1-2步</x:v>
      </x:c>
      <x:c r="Q562" s="63" t="str">
        <x:v>概念判断</x:v>
      </x:c>
      <x:c r="R562" s="63" t="str">
        <x:v>单状态</x:v>
      </x:c>
      <x:c r="S562" s="63" t="str">
        <x:v>无约束</x:v>
      </x:c>
      <x:c r="T562" s="63" t="str">
        <x:v>无</x:v>
      </x:c>
      <x:c r="U562" s="63" t="str">
        <x:v>无</x:v>
      </x:c>
      <x:c r="V562" s="63" t="str">
        <x:v>直接套用</x:v>
      </x:c>
    </x:row>
    <x:row r="563">
      <x:c r="A563" s="64" t="str">
        <x:v>​3659088535732895744</x:v>
      </x:c>
      <x:c r="B563" s="65" t="str">
        <x:v>基础题</x:v>
      </x:c>
      <x:c r="C563" s="65" t="str">
        <x:v>基础题</x:v>
      </x:c>
      <x:c r="D563" s="65" t="str">
        <x:v>基础题</x:v>
      </x:c>
      <x:c r="E563" s="65" t="str">
        <x:v>保留原GPT裁定</x:v>
      </x:c>
      <x:c r="F563" s="65" t="str">
        <x:v>高</x:v>
      </x:c>
      <x:c r="G563" s="65" t="str">
        <x:v>基础题</x:v>
      </x:c>
      <x:c r="H563" s="65" t="str">
        <x:v>送分题</x:v>
      </x:c>
      <x:c r="I563" s="65" t="str">
        <x:v>题干、解析与结构证据支持基础题：step=1-2步，题型=概念判断，状态=单状态，约束=无约束，推理=简单因果推理。教师、盲评和多次模型证据中未形成足以推翻原裁定的同向结构证据。</x:v>
      </x:c>
      <x:c r="J563" s="65" t="str">
        <x:v>未进入三次错题并集；逐题结构一致性复核</x:v>
      </x:c>
      <x:c r="K563" s="63" t="str">
        <x:v>下列现象或实验可用流体压强与流速关系解释的是（ ）</x:v>
      </x:c>
      <x:c r="L563" s="63" t="str">
        <x:v>A. 船闸实现上下游通航 B. 纸片将水托住 C. 裂桶实验 D. 吹气时纸条向上飘</x:v>
      </x:c>
      <x:c r="M563" s="63" t="str">
        <x:v>解：A．船闸实现了上下游通航，是利用了连通器原理，故A不合题意； B．悬空杯里的水不会流出来，是因为下方的大气压把水托住，利用了大气压强，故B不合题意； C．裂桶实验证明液体压强随液体深度的增加而增大，故C不合题意； D．吹气时纸条上方空气流速大，压强小，下方空气流速小，压强大，纸条受到向上的压强差，有向上的压力差，纸条向上飘，故D符合题意。 故选：D。</x:v>
      </x:c>
      <x:c r="N563" s="63" t="str">
        <x:v>https://k12static.xdf.cn/k12/image/externalized/350f8193-99ef-4b0e-b0b3-ba1ab7d1a9fb.png</x:v>
      </x:c>
      <x:c r="O563" s="63" t="str">
        <x:v>https://k12static.xdf.cn/k12/image/externalized/0ff47e4b-fa8e-46d3-83cd-077bc46634e9.png</x:v>
      </x:c>
      <x:c r="P563" s="63" t="str">
        <x:v>1-2步</x:v>
      </x:c>
      <x:c r="Q563" s="63" t="str">
        <x:v>概念判断</x:v>
      </x:c>
      <x:c r="R563" s="63" t="str">
        <x:v>单状态</x:v>
      </x:c>
      <x:c r="S563" s="63" t="str">
        <x:v>无约束</x:v>
      </x:c>
      <x:c r="T563" s="63" t="str">
        <x:v>无</x:v>
      </x:c>
      <x:c r="U563" s="63" t="str">
        <x:v>无</x:v>
      </x:c>
      <x:c r="V563" s="63" t="str">
        <x:v>简单因果推理</x:v>
      </x:c>
    </x:row>
    <x:row r="564">
      <x:c r="A564" s="64" t="str">
        <x:v>​3659088539071561728</x:v>
      </x:c>
      <x:c r="B564" s="65" t="str">
        <x:v>送分题</x:v>
      </x:c>
      <x:c r="C564" s="65" t="str">
        <x:v>送分题</x:v>
      </x:c>
      <x:c r="D564" s="65" t="str">
        <x:v>送分题</x:v>
      </x:c>
      <x:c r="E564" s="65" t="str">
        <x:v>保留原GPT裁定</x:v>
      </x:c>
      <x:c r="F564" s="65" t="str">
        <x:v>高</x:v>
      </x:c>
      <x:c r="G564" s="65" t="str">
        <x:v>基础题</x:v>
      </x:c>
      <x:c r="H564" s="65" t="str">
        <x:v>送分题</x:v>
      </x:c>
      <x:c r="I564" s="65" t="str">
        <x:v>题干、解析与结构证据支持送分题：step=1-2步，题型=概念判断，状态=单状态，约束=无约束，推理=直接套用。教师、盲评和多次模型证据中未形成足以推翻原裁定的同向结构证据。</x:v>
      </x:c>
      <x:c r="J564" s="65" t="str">
        <x:v>未进入三次错题并集；逐题结构一致性复核</x:v>
      </x:c>
      <x:c r="K564" s="63" t="str">
        <x:v>下列说法符合实际的是（ ）</x:v>
      </x:c>
      <x:c r="L564" s="63" t="str">
        <x:v>A. 校园内机动车限速约5km/h B. 中学生使用的课桌高度约0.8dm C. 你使用的初中物理课本质量约20g D. 2026年苏州五月份的平均气温约40℃</x:v>
      </x:c>
      <x:c r="M564" s="63" t="str">
        <x:v>解：A、校园行人密集，机动车限速约5km/h,符合校园安全管理实际，故A正确； B、0.8dm=8cm,中学生课桌高度约80cm 即8dm,0.8dm过低不符合实际，故B错误； C、一本初中物理课本质量约200g,20g仅相当于一支铅笔重量，不符合实际，故C错误； D、苏州五月平均气温约20℃左右，40℃属于极端高温，不可能为月平均气温，故D错误。 故选：A。</x:v>
      </x:c>
      <x:c r="N564" s="63" t="str">
        <x:v>https://k12static.xdf.cn/k12/image/externalized/b5021a2a-f63c-4ba8-898b-7ac46739f36d.png</x:v>
      </x:c>
      <x:c r="O564" s="63" t="str">
        <x:v>https://k12static.xdf.cn/k12/image/externalized/3f632b00-a841-449d-86cd-3bf1feffcda2.png</x:v>
      </x:c>
      <x:c r="P564" s="63" t="str">
        <x:v>1-2步</x:v>
      </x:c>
      <x:c r="Q564" s="63" t="str">
        <x:v>概念判断</x:v>
      </x:c>
      <x:c r="R564" s="63" t="str">
        <x:v>单状态</x:v>
      </x:c>
      <x:c r="S564" s="63" t="str">
        <x:v>无约束</x:v>
      </x:c>
      <x:c r="T564" s="63" t="str">
        <x:v>无</x:v>
      </x:c>
      <x:c r="U564" s="63" t="str">
        <x:v>无</x:v>
      </x:c>
      <x:c r="V564" s="63" t="str">
        <x:v>直接套用</x:v>
      </x:c>
    </x:row>
    <x:row r="565">
      <x:c r="A565" s="64" t="str">
        <x:v>​3659088542628331520</x:v>
      </x:c>
      <x:c r="B565" s="65" t="str">
        <x:v>基础题</x:v>
      </x:c>
      <x:c r="C565" s="65" t="str">
        <x:v>基础题</x:v>
      </x:c>
      <x:c r="D565" s="65" t="str">
        <x:v>基础题</x:v>
      </x:c>
      <x:c r="E565" s="65" t="str">
        <x:v>逐题复核后保留GPT裁定</x:v>
      </x:c>
      <x:c r="F565" s="65" t="str">
        <x:v>高</x:v>
      </x:c>
      <x:c r="G565" s="65" t="str">
        <x:v>基础题</x:v>
      </x:c>
      <x:c r="H565" s="65" t="str">
        <x:v>送分题</x:v>
      </x:c>
      <x:c r="I565" s="65" t="str">
        <x:v>最高难任务为1—2步显性应用、规范操作或简单因果，没有连续模型转换。 题目证据：最长连续链仅1步有效物理决策，五维锚定在基础档，属于单一知识点的简单应用，需要结合工具功能推理合金性质的调整方向，不是纯直接识别。</x:v>
      </x:c>
      <x:c r="J565" s="65" t="str">
        <x:v>三次运行错题并集逐题复核</x:v>
      </x:c>
      <x:c r="K565" s="63" t="str">
        <x:v>《考工记》记载：“金有六齐……五分其金而锡居一，谓之斧斤之齐”。“金”指铜，“齐”指合金配比，古人在制作斧头等砍器时调整合金配比，主要是为了改变它们的（ ）</x:v>
      </x:c>
      <x:c r="L565" s="63" t="str">
        <x:v>A. 质量 B. 比热容 C. 硬度 D. 颜色</x:v>
      </x:c>
      <x:c r="M565" s="63" t="str">
        <x:v>解：合金是由金属与金属（或非金属）熔合而成的混合物，调整合金的配比，主要目的是改变合金的硬度、熔点等物理性质；对于斧头这类需要切削、劈砍的器具，需要较高的硬度才能保证使用效果；质量是物体所含物质的多少，和合金配比无关；比热容是物质的特性，也不会因合金配比改变而用于工具制作的主要目的；颜色也不是制作工具时调整配比的主要原因；所以古人调整铜锡合金配比，主要是为了改变它们的硬度。 故选：C。</x:v>
      </x:c>
      <x:c r="N565" s="63" t="str">
        <x:v>https://k12static.xdf.cn/k12/image/externalized/4060cbe3-6ea9-4425-9f59-878711650c31.png</x:v>
      </x:c>
      <x:c r="O565" s="63" t="str">
        <x:v>https://k12static.xdf.cn/k12/image/externalized/1c3f59fa-7e9e-4389-b8ac-b1d7d3d7fba4.png</x:v>
      </x:c>
      <x:c r="P565" s="63" t="str">
        <x:v>1-2步</x:v>
      </x:c>
      <x:c r="Q565" s="63" t="str">
        <x:v>概念判断</x:v>
      </x:c>
      <x:c r="R565" s="63" t="str">
        <x:v>单状态</x:v>
      </x:c>
      <x:c r="S565" s="63" t="str">
        <x:v>无约束</x:v>
      </x:c>
      <x:c r="T565" s="63" t="str">
        <x:v>无</x:v>
      </x:c>
      <x:c r="U565" s="63" t="str">
        <x:v>无</x:v>
      </x:c>
      <x:c r="V565" s="63" t="str">
        <x:v>简单因果推理</x:v>
      </x:c>
    </x:row>
    <x:row r="566">
      <x:c r="A566" s="64" t="str">
        <x:v>​3659088559271329792</x:v>
      </x:c>
      <x:c r="B566" s="65" t="str">
        <x:v>基础题</x:v>
      </x:c>
      <x:c r="C566" s="65" t="str">
        <x:v>基础题</x:v>
      </x:c>
      <x:c r="D566" s="65" t="str">
        <x:v>基础题</x:v>
      </x:c>
      <x:c r="E566" s="65" t="str">
        <x:v>保留原GPT裁定</x:v>
      </x:c>
      <x:c r="F566" s="65" t="str">
        <x:v>高</x:v>
      </x:c>
      <x:c r="G566" s="65" t="str">
        <x:v>基础题</x:v>
      </x:c>
      <x:c r="H566" s="65" t="str">
        <x:v>基础题</x:v>
      </x:c>
      <x:c r="I566" s="65" t="str">
        <x:v>题干、解析与结构证据支持基础题：step=1-2步，题型=概念判断，状态=单状态，约束=无约束，推理=直接套用。教师、盲评和多次模型证据中未形成足以推翻原裁定的同向结构证据。</x:v>
      </x:c>
      <x:c r="J566" s="65" t="str">
        <x:v>未进入三次错题并集；逐题结构一致性复核</x:v>
      </x:c>
      <x:c r="K566" s="63" t="str">
        <x:v>在2026年“央视春晚”中，苏州制造的机器人进行了精彩表演。电动机是机器人的重要部件，以下实验体现电动机工作原理的是（ ）</x:v>
      </x:c>
      <x:c r="L566" s="63" t="str"/>
      <x:c r="M566" s="63" t="str">
        <x:v>解：A．图中是奥斯特实验，说明了通电导线周围存在磁场，故A不符合题意； B．闭合开关，通电导体棒在磁场中受力运动，是电动机的原理图，故B符合题意； C．此图是闭合电路的一部分导体在磁场中做切割磁感线的运动时导体中会产生感应电流，是发电机的工作原理，故C不符合题意； D．导体通电后，纸条燃烧，说明电流具有热效应，故D不符合题意。 故选：B。</x:v>
      </x:c>
      <x:c r="N566" s="63" t="str">
        <x:v>https://k12static.xdf.cn/k12/image/externalized/b8353166-6cd9-41f3-ba3a-f1d62399c04e.png</x:v>
      </x:c>
      <x:c r="O566" s="63" t="str">
        <x:v>https://k12static.xdf.cn/k12/image/externalized/45e66655-93d1-4ec9-9a19-4bc4c4321a7b.png</x:v>
      </x:c>
      <x:c r="P566" s="63" t="str">
        <x:v>1-2步</x:v>
      </x:c>
      <x:c r="Q566" s="63" t="str">
        <x:v>概念判断</x:v>
      </x:c>
      <x:c r="R566" s="63" t="str">
        <x:v>单状态</x:v>
      </x:c>
      <x:c r="S566" s="63" t="str">
        <x:v>无约束</x:v>
      </x:c>
      <x:c r="T566" s="63" t="str">
        <x:v>无</x:v>
      </x:c>
      <x:c r="U566" s="63" t="str">
        <x:v>无</x:v>
      </x:c>
      <x:c r="V566" s="63" t="str">
        <x:v>直接套用</x:v>
      </x:c>
    </x:row>
    <x:row r="567">
      <x:c r="A567" s="64" t="str">
        <x:v>​3659088576115654656</x:v>
      </x:c>
      <x:c r="B567" s="65" t="str">
        <x:v>基础题</x:v>
      </x:c>
      <x:c r="C567" s="65" t="str">
        <x:v>基础题</x:v>
      </x:c>
      <x:c r="D567" s="65" t="str">
        <x:v>基础题</x:v>
      </x:c>
      <x:c r="E567" s="65" t="str">
        <x:v>保留原GPT裁定</x:v>
      </x:c>
      <x:c r="F567" s="65" t="str">
        <x:v>中</x:v>
      </x:c>
      <x:c r="G567" s="65" t="str">
        <x:v>基础题</x:v>
      </x:c>
      <x:c r="H567" s="65" t="str">
        <x:v>送分题</x:v>
      </x:c>
      <x:c r="I567" s="65" t="str">
        <x:v>题干、解析与结构证据支持基础题：step=1-2步，题型=概念判断，状态=单状态，约束=无约束，推理=简单因果推理。教师、盲评和多次模型证据中未形成足以推翻原裁定的同向结构证据。</x:v>
      </x:c>
      <x:c r="J567" s="65" t="str">
        <x:v>未进入三次错题并集；逐题结构一致性复核</x:v>
      </x:c>
      <x:c r="K567" s="63" t="str">
        <x:v>如图，通过气球的形变程度来反映压力的作用效果。下列做法中与该研究方法相同的是（ ）</x:v>
      </x:c>
      <x:c r="L567" s="63" t="str">
        <x:v>A. 用光线表示光的传播 B. 用粘有颗粒的气球模拟宇宙膨胀 C. 探究声音能否在真空中传播 D. 通过吸引大头针多少知道磁性强弱</x:v>
      </x:c>
      <x:c r="M567" s="63" t="str">
        <x:v>解：“通过气球的形变程度来反映压力的作用效果“，这里压力的作用效果本身是不易直接观察的，于是借助气球形变的程度（看得见、可比较）来间接反映它。这种将不易观察的物理量转换为容易观察的现象的方法，叫做转换法。 A.用光线表示光的传播，这是模型法——用一条带箭头的直线（光线）这个理想化模型来描述光的传播路径和方向，并非转换法，故A不符合题意。 B.用粘有颗粒的气球模拟宇宙膨胀，这是模型法（类比法）——用气球膨胀时颗粒间距增大来类比宇宙膨胀，属于建立物理模型来辅助理解，不是转换法，故B不符合题意。 C.探究声音能否在真空中传播，这是理想实验法（科学推理法）——通过逐渐抽出真空罩中的空气，听到声音逐渐变小，进而推理得出“声音不能在真空中传播“的结论，故C不符合题意。 D.通过吸引大头针多少知道磁性强弱，磁性的强弱是不易直接观察和测量的，于是通过电磁铁吸引大头针的数量（看得见、可计数）来间接反映磁性的强弱。这正是转换法，故D符合题意。 故选：D。</x:v>
      </x:c>
      <x:c r="N567" s="63" t="str">
        <x:v>https://k12static.xdf.cn/k12/image/externalized/360916cd-863d-41af-bd31-2f84ddd3c932.png</x:v>
      </x:c>
      <x:c r="O567" s="63" t="str">
        <x:v>https://k12static.xdf.cn/k12/image/externalized/901ae0a4-49d5-449d-aac6-823846577e7b.png</x:v>
      </x:c>
      <x:c r="P567" s="63" t="str">
        <x:v>1-2步</x:v>
      </x:c>
      <x:c r="Q567" s="63" t="str">
        <x:v>概念判断</x:v>
      </x:c>
      <x:c r="R567" s="63" t="str">
        <x:v>单状态</x:v>
      </x:c>
      <x:c r="S567" s="63" t="str">
        <x:v>无约束</x:v>
      </x:c>
      <x:c r="T567" s="63" t="str">
        <x:v>无</x:v>
      </x:c>
      <x:c r="U567" s="63" t="str">
        <x:v>无</x:v>
      </x:c>
      <x:c r="V567" s="63" t="str">
        <x:v>简单因果推理</x:v>
      </x:c>
    </x:row>
    <x:row r="568">
      <x:c r="A568" s="64" t="str">
        <x:v>​3659088593647845376</x:v>
      </x:c>
      <x:c r="B568" s="65" t="str">
        <x:v>基础题</x:v>
      </x:c>
      <x:c r="C568" s="65" t="str">
        <x:v>基础题</x:v>
      </x:c>
      <x:c r="D568" s="65" t="str">
        <x:v>基础题</x:v>
      </x:c>
      <x:c r="E568" s="65" t="str">
        <x:v>逐题复核后保留GPT裁定</x:v>
      </x:c>
      <x:c r="F568" s="65" t="str">
        <x:v>高</x:v>
      </x:c>
      <x:c r="G568" s="65" t="str">
        <x:v>基础题</x:v>
      </x:c>
      <x:c r="H568" s="65" t="str">
        <x:v>基础题</x:v>
      </x:c>
      <x:c r="I568" s="65" t="str">
        <x:v>最高难任务属于教材概念与常规物理关系中的1—2步直接应用、规范操作或简单因果判断。需要理解/应用而非纯识记，但没有共享中间结论、完整连续过程或隐含转换。</x:v>
      </x:c>
      <x:c r="J568" s="65" t="str">
        <x:v>三次运行错题并集逐题复核</x:v>
      </x:c>
      <x:c r="K568" s="63" t="str">
        <x:v>如图，气球内空气从瓶底小孔喷出时，由于力的作用是 的，气球、小瓶和塑料管能沿水平细线向左运动。以塑料管为参照物，小瓶是 的。停止喷气后，装置还能向左滑行一段距离，这是因为物体具有 。</x:v>
      </x:c>
      <x:c r="L568" s="63" t="str"/>
      <x:c r="M568" s="63" t="str">
        <x:v>解：空气从小孔向后喷出，空气对装置施加反向推力，说明力的作用是相互的； 小瓶和塑料管固定在一起，相对位置不变，以塑料管为参照物，小瓶静止； 停止喷气后装置仍向左滑行，是因为物体具有惯性，要保持原有运动状态。 故答案为：相互；静止；惯性。</x:v>
      </x:c>
      <x:c r="N568" s="63" t="str">
        <x:v>https://k12static.xdf.cn/k12/image/externalized/55e593f1-cdc0-46f7-9a62-6ae117cec132.png</x:v>
      </x:c>
      <x:c r="O568" s="63" t="str">
        <x:v>https://k12static.xdf.cn/k12/image/externalized/3ec4fc3e-854d-4c7d-ada5-a6cfd3470818.png</x:v>
      </x:c>
      <x:c r="P568" s="63" t="str">
        <x:v>1-2步</x:v>
      </x:c>
      <x:c r="Q568" s="63" t="str">
        <x:v>概念判断</x:v>
      </x:c>
      <x:c r="R568" s="63" t="str">
        <x:v>单状态</x:v>
      </x:c>
      <x:c r="S568" s="63" t="str">
        <x:v>无约束</x:v>
      </x:c>
      <x:c r="T568" s="63" t="str">
        <x:v>无</x:v>
      </x:c>
      <x:c r="U568" s="63" t="str">
        <x:v>无</x:v>
      </x:c>
      <x:c r="V568" s="63" t="str">
        <x:v>直接套用</x:v>
      </x:c>
    </x:row>
    <x:row r="569">
      <x:c r="A569" s="64" t="str">
        <x:v>​3659088597422718976</x:v>
      </x:c>
      <x:c r="B569" s="65" t="str">
        <x:v>送分题</x:v>
      </x:c>
      <x:c r="C569" s="65" t="str">
        <x:v>送分题</x:v>
      </x:c>
      <x:c r="D569" s="65" t="str">
        <x:v>送分题</x:v>
      </x:c>
      <x:c r="E569" s="65" t="str">
        <x:v>保留原GPT裁定</x:v>
      </x:c>
      <x:c r="F569" s="65" t="str">
        <x:v>高</x:v>
      </x:c>
      <x:c r="G569" s="65" t="str">
        <x:v>基础题</x:v>
      </x:c>
      <x:c r="H569" s="65" t="str">
        <x:v>送分题</x:v>
      </x:c>
      <x:c r="I569" s="65" t="str">
        <x:v>题干、解析与结构证据支持送分题：step=1-2步，题型=概念判断，状态=单状态，约束=无约束，推理=直接套用。教师、盲评和多次模型证据中未形成足以推翻原裁定的同向结构证据。</x:v>
      </x:c>
      <x:c r="J569" s="65" t="str">
        <x:v>未进入三次错题并集；逐题结构一致性复核</x:v>
      </x:c>
      <x:c r="K569" s="63" t="str">
        <x:v>装有干冰的易拉罐置于空气中一段时间后，外壁上部出现水滴，是由于水蒸气 热量液化形成的。罐内干冰体积变小，这是因为干冰发生了 （填物态变化名称）。</x:v>
      </x:c>
      <x:c r="L569" s="63" t="str"/>
      <x:c r="M569" s="63" t="str">
        <x:v>解：易拉罐外壁上部出现水滴，是由于水蒸气放出热量液化形成的； 罐内干冰体积变小，是因为干冰由固态直接变为气态，发生了升华。 故答案为：放出；升华。</x:v>
      </x:c>
      <x:c r="N569" s="63" t="str">
        <x:v>https://k12static.xdf.cn/k12/image/externalized/16a18b65-429f-451e-9a01-05c947ac68cd.png</x:v>
      </x:c>
      <x:c r="O569" s="63" t="str">
        <x:v>https://k12static.xdf.cn/k12/image/externalized/63478b67-8370-4cb3-8644-46b33db8a2d0.png</x:v>
      </x:c>
      <x:c r="P569" s="63" t="str">
        <x:v>1-2步</x:v>
      </x:c>
      <x:c r="Q569" s="63" t="str">
        <x:v>概念判断</x:v>
      </x:c>
      <x:c r="R569" s="63" t="str">
        <x:v>单状态</x:v>
      </x:c>
      <x:c r="S569" s="63" t="str">
        <x:v>无约束</x:v>
      </x:c>
      <x:c r="T569" s="63" t="str">
        <x:v>无</x:v>
      </x:c>
      <x:c r="U569" s="63" t="str">
        <x:v>无</x:v>
      </x:c>
      <x:c r="V569" s="63" t="str">
        <x:v>直接套用</x:v>
      </x:c>
    </x:row>
    <x:row r="570">
      <x:c r="A570" s="64" t="str">
        <x:v>​3659088626245976064</x:v>
      </x:c>
      <x:c r="B570" s="65" t="str">
        <x:v>拔高题</x:v>
      </x:c>
      <x:c r="C570" s="65" t="str">
        <x:v>拔高题</x:v>
      </x:c>
      <x:c r="D570" s="65" t="str">
        <x:v>拔高题</x:v>
      </x:c>
      <x:c r="E570" s="65" t="str">
        <x:v>逐题复核后保留GPT裁定</x:v>
      </x:c>
      <x:c r="F570" s="65" t="str">
        <x:v>高</x:v>
      </x:c>
      <x:c r="G570" s="65" t="str">
        <x:v>拔高题</x:v>
      </x:c>
      <x:c r="H570" s="65" t="str">
        <x:v>拔高题</x:v>
      </x:c>
      <x:c r="I570" s="65" t="str">
        <x:v>最高难任务在光路、成像条件与几何关系中包含图线反推、状态转换、误差评价、几何/等效转换、方程联立或参数反求等决定性卡点，整体约5—6个有效决策；尚未形成压轴所需的完整复杂约束网络。</x:v>
      </x:c>
      <x:c r="J570" s="65" t="str">
        <x:v>三次运行错题并集逐题复核</x:v>
      </x:c>
      <x:c r="K570" s="63" t="str">
        <x:v>虹是太阳光射入空中大量的小水珠后，经水珠内壁反射，再折射回空气中呈现出的一种光现象。如图为发生虹现象时，红光和紫光经球形水珠分离开的光路图（图中虚线为法线），α、β为出射光线与法线的夹角，则光线①为 光，α β（＞/=/＜）。</x:v>
      </x:c>
      <x:c r="L570" s="63" t="str"/>
      <x:c r="M570" s="63" t="str">
        <x:v>解：太阳光经水珠（相当于三棱镜）发生第一次折射时，结合光的色散知识可知，红光的偏折能力最弱，紫光的偏折能力最强；由题图可知，太阳光（含红光和紫光）进入球形水珠时，光线①对应折射光的偏折程度更大，所以光线①为紫光，而光线②为红光； 图中光线经过球形水珠会发生两次折射和一次反射，以光线①为研究对象，连接球心O与对应的反射点B，因光发生反射时反射角等于入射角，则结合几何知识可知△AOB与△COB全等，所以∠OCB=∠OAB，即第二次折射时的入射角=第一次折射时的折射角，又因为在折射现象中光路是可逆的，所以第二次折射时的折射角=第一次折射时的入射角，即出射角α=最初的入射角i,如下图所示： 对光线②来说，同理可得出射角β=最初的入射角i,故α=β。 故答案为：紫；=。</x:v>
      </x:c>
      <x:c r="N570" s="63" t="str">
        <x:v>https://k12static.xdf.cn/k12/image/externalized/ad3d97ae-9b4b-48d8-987f-aa89911f7287.png</x:v>
      </x:c>
      <x:c r="O570" s="63" t="str">
        <x:v>https://k12static.xdf.cn/k12/image/externalized/b8f4aad5-b340-469e-b874-644d0a539d75.png</x:v>
      </x:c>
      <x:c r="P570" s="63" t="str">
        <x:v>3-5步</x:v>
      </x:c>
      <x:c r="Q570" s="63" t="str">
        <x:v>光学声学综合</x:v>
      </x:c>
      <x:c r="R570" s="63" t="str">
        <x:v>双状态</x:v>
      </x:c>
      <x:c r="S570" s="63" t="str">
        <x:v>无约束</x:v>
      </x:c>
      <x:c r="T570" s="63" t="str">
        <x:v>无</x:v>
      </x:c>
      <x:c r="U570" s="63" t="str">
        <x:v>无</x:v>
      </x:c>
      <x:c r="V570" s="63" t="str">
        <x:v>多层因果推理</x:v>
      </x:c>
    </x:row>
    <x:row r="571">
      <x:c r="A571" s="64" t="str">
        <x:v>​3659088631363026944</x:v>
      </x:c>
      <x:c r="B571" s="65" t="str">
        <x:v>中等题</x:v>
      </x:c>
      <x:c r="C571" s="65" t="str">
        <x:v>中等题</x:v>
      </x:c>
      <x:c r="D571" s="65" t="str">
        <x:v>中等题</x:v>
      </x:c>
      <x:c r="E571" s="65" t="str">
        <x:v>保留原GPT裁定</x:v>
      </x:c>
      <x:c r="F571" s="65" t="str">
        <x:v>高</x:v>
      </x:c>
      <x:c r="G571" s="65" t="str">
        <x:v>拔高题</x:v>
      </x:c>
      <x:c r="H571" s="65" t="str">
        <x:v>中等题</x:v>
      </x:c>
      <x:c r="I571" s="65" t="str">
        <x:v>题干、解析与结构证据支持中等题：step=3-5步，题型=力学综合，状态=双状态，约束=单一约束，推理=多层因果推理。教师、盲评和多次模型证据中未形成足以推翻原裁定的同向结构证据。</x:v>
      </x:c>
      <x:c r="J571" s="65" t="str">
        <x:v>未进入三次错题并集；逐题结构一致性复核</x:v>
      </x:c>
      <x:c r="K571" s="63" t="str">
        <x:v>北宋时期，黄河岸边的铁牛因洪水泛滥而沉入河底，怀丙利用浮船将铁牛成功打捞。 （1）铁牛深陷河底淤泥中（图甲），打捞时先将下部淤泥清除，使铁牛受到更大的 力。然后，将载有沙子的大船停于铁牛上方，用绳索一端捆牢铁牛，另一端固定于船身，将绳索拉紧把沙子逐渐抛出，一段时间后，船身开始缓慢上浮，继续抛沙，将铁牛逐渐拉离河底至一定高度（图乙）。整个抛沙过程中，船受到浮力大小的变化情况是 。 （2）兴趣小组用船模在大水槽内模拟打捞过程（图丙）。圆柱形船模底面积为40cm2，内装适量沙子，底部用一根绳子与铁牛相连。在铁牛离开水槽底后被拉起2cm的过程中，需取出 g沙子。（不考虑水面位置变化）</x:v>
      </x:c>
      <x:c r="L571" s="63" t="str"/>
      <x:c r="M571" s="63" t="str">
        <x:v>解：（1）淤泥清除后，铁牛下方有水，受到水向上的浮力；抛沙全过程分两个阶段，船身开始上浮前，船始终漂浮，沙子不断抛出，船排开水的体积不变，船受到的浮力一直不变；船身开始缓慢上浮，继续抛沙，小船整体总重力持续减小，船排开水的体积变小，船受到的浮力因此船受到的浮力变小，所以整个过程船受到浮力大小的变化情况是先不变后变小。 （2）船上升2cm,排开水体积减少量：ΔV排=Sh=40cm2×2cm=80cm3 取出沙子的质量等于减少排开水的质量：m沙=ρ水ΔV排=1g/cm3×80cm3=80g。 故答案为：（1）浮；先不变后变小；（2）80。</x:v>
      </x:c>
      <x:c r="N571" s="63" t="str">
        <x:v>https://k12static.xdf.cn/k12/image/externalized/ce278fa4-43eb-497b-aa37-6719199b088d.png</x:v>
      </x:c>
      <x:c r="O571" s="63" t="str">
        <x:v>https://k12static.xdf.cn/k12/image/externalized/baa269e3-203f-4746-a342-aa4415a9bd8b.png</x:v>
      </x:c>
      <x:c r="P571" s="63" t="str">
        <x:v>3-5步</x:v>
      </x:c>
      <x:c r="Q571" s="63" t="str">
        <x:v>力学综合</x:v>
      </x:c>
      <x:c r="R571" s="63" t="str">
        <x:v>双状态</x:v>
      </x:c>
      <x:c r="S571" s="63" t="str">
        <x:v>单一约束</x:v>
      </x:c>
      <x:c r="T571" s="63" t="str">
        <x:v>无</x:v>
      </x:c>
      <x:c r="U571" s="63" t="str">
        <x:v>无</x:v>
      </x:c>
      <x:c r="V571" s="63" t="str">
        <x:v>多层因果推理</x:v>
      </x:c>
    </x:row>
    <x:row r="572">
      <x:c r="A572" s="64" t="str">
        <x:v>​3659088636882731008</x:v>
      </x:c>
      <x:c r="B572" s="65" t="str">
        <x:v>基础题</x:v>
      </x:c>
      <x:c r="C572" s="65" t="str">
        <x:v>基础题</x:v>
      </x:c>
      <x:c r="D572" s="65" t="str">
        <x:v>基础题</x:v>
      </x:c>
      <x:c r="E572" s="65" t="str">
        <x:v>保留原GPT裁定</x:v>
      </x:c>
      <x:c r="F572" s="65" t="str">
        <x:v>高</x:v>
      </x:c>
      <x:c r="G572" s="65" t="str">
        <x:v>基础题</x:v>
      </x:c>
      <x:c r="H572" s="65" t="str">
        <x:v>送分题</x:v>
      </x:c>
      <x:c r="I572" s="65" t="str">
        <x:v>题干、解析与结构证据支持基础题：step=1-2步，题型=光学声学综合，状态=单状态，约束=无约束，推理=简单因果推理。教师、盲评和多次模型证据中未形成足以推翻原裁定的同向结构证据。</x:v>
      </x:c>
      <x:c r="J572" s="65" t="str">
        <x:v>未进入三次错题并集；逐题结构一致性复核</x:v>
      </x:c>
      <x:c r="K572" s="63" t="str">
        <x:v>图中，作出物体AB在平面镜中的像A'B'。</x:v>
      </x:c>
      <x:c r="L572" s="63" t="str"/>
      <x:c r="M572" s="63" t="str">
        <x:v>解：先作出端点A、B关于平面镜的对称点A′、B′，用虚线连接A′、B′即为物体AB的像，如图所示：</x:v>
      </x:c>
      <x:c r="N572" s="63" t="str">
        <x:v>https://k12static.xdf.cn/k12/image/externalized/491dc5b4-74f6-4d19-ae5e-b099f52b0573.png</x:v>
      </x:c>
      <x:c r="O572" s="63" t="str">
        <x:v>https://k12static.xdf.cn/k12/image/externalized/4c5c9f28-0432-405f-a402-c922aa575b99.png</x:v>
      </x:c>
      <x:c r="P572" s="63" t="str">
        <x:v>1-2步</x:v>
      </x:c>
      <x:c r="Q572" s="63" t="str">
        <x:v>光学声学综合</x:v>
      </x:c>
      <x:c r="R572" s="63" t="str">
        <x:v>单状态</x:v>
      </x:c>
      <x:c r="S572" s="63" t="str">
        <x:v>无约束</x:v>
      </x:c>
      <x:c r="T572" s="63" t="str">
        <x:v>无</x:v>
      </x:c>
      <x:c r="U572" s="63" t="str">
        <x:v>无</x:v>
      </x:c>
      <x:c r="V572" s="63" t="str">
        <x:v>简单因果推理</x:v>
      </x:c>
    </x:row>
    <x:row r="573">
      <x:c r="A573" s="64" t="str">
        <x:v>​3659088642788311040</x:v>
      </x:c>
      <x:c r="B573" s="65" t="str">
        <x:v>中等题</x:v>
      </x:c>
      <x:c r="C573" s="65" t="str">
        <x:v>中等题</x:v>
      </x:c>
      <x:c r="D573" s="65" t="str">
        <x:v>中等题</x:v>
      </x:c>
      <x:c r="E573" s="65" t="str">
        <x:v>逐题复核后保留GPT裁定</x:v>
      </x:c>
      <x:c r="F573" s="65" t="str">
        <x:v>高</x:v>
      </x:c>
      <x:c r="G573" s="65" t="str">
        <x:v>基础题</x:v>
      </x:c>
      <x:c r="H573" s="65" t="str">
        <x:v>中等题</x:v>
      </x:c>
      <x:c r="I573" s="65" t="str">
        <x:v>需要围绕教材概念与常规物理关系完成常规的3—4个有效决策，或完成一套完整标准实验/共享过程分析。关系仍显性、方法常规，没有决定性隐含转换、复杂边界筛选或多状态强耦合。</x:v>
      </x:c>
      <x:c r="J573" s="65" t="str">
        <x:v>三次运行错题并集逐题复核</x:v>
      </x:c>
      <x:c r="K573" s="63" t="str">
        <x:v>图中，根据小磁针静止时N极指向，在图中A点画出磁感线方向，并标出电源的正极（用“+”表示）。</x:v>
      </x:c>
      <x:c r="L573" s="63" t="str"/>
      <x:c r="M573" s="63" t="str">
        <x:v>解：①由图可知，小磁针静止时的左端为N极，根据异名磁极相互吸引，同名磁极相互排斥，则通电螺线管的右端为S极，左端为N极。 ②因为在磁体外部，磁感线总是从N极发出，回到S极，所以图中磁感线的方向是指向右的。 ③根据安培定则，伸出右手使大拇指指示螺线管的左端N极，则四指弯曲所指的方向为电流的方向，所以电流从螺线管的右端流入，则电源的右端为正极，如图所示：</x:v>
      </x:c>
      <x:c r="N573" s="63" t="str">
        <x:v>https://k12static.xdf.cn/k12/image/externalized/2f117603-5756-4e3f-bfed-3843e54222fc.png</x:v>
      </x:c>
      <x:c r="O573" s="63" t="str">
        <x:v>https://k12static.xdf.cn/k12/image/externalized/20d492f5-d420-41c8-ab54-750fb97a563f.png</x:v>
      </x:c>
      <x:c r="P573" s="63" t="str">
        <x:v>3-5步</x:v>
      </x:c>
      <x:c r="Q573" s="63" t="str">
        <x:v>概念判断</x:v>
      </x:c>
      <x:c r="R573" s="63" t="str">
        <x:v>单状态</x:v>
      </x:c>
      <x:c r="S573" s="63" t="str">
        <x:v>无约束</x:v>
      </x:c>
      <x:c r="T573" s="63" t="str">
        <x:v>无</x:v>
      </x:c>
      <x:c r="U573" s="63" t="str">
        <x:v>无</x:v>
      </x:c>
      <x:c r="V573" s="63" t="str">
        <x:v>多层因果推理</x:v>
      </x:c>
    </x:row>
    <x:row r="574">
      <x:c r="A574" s="64" t="str">
        <x:v>​3659089282906210304</x:v>
      </x:c>
      <x:c r="B574" s="65" t="str">
        <x:v>基础题</x:v>
      </x:c>
      <x:c r="C574" s="65" t="str">
        <x:v>基础题</x:v>
      </x:c>
      <x:c r="D574" s="65" t="str">
        <x:v>基础题</x:v>
      </x:c>
      <x:c r="E574" s="65" t="str">
        <x:v>逐题复核后保留GPT裁定</x:v>
      </x:c>
      <x:c r="F574" s="65" t="str">
        <x:v>中</x:v>
      </x:c>
      <x:c r="G574" s="65" t="str">
        <x:v>基础题</x:v>
      </x:c>
      <x:c r="H574" s="65" t="str">
        <x:v>送分题</x:v>
      </x:c>
      <x:c r="I574" s="65" t="str">
        <x:v>最高难任务为1—2步显性应用、规范操作或简单因果，没有连续模型转换。 题目证据：最高难选项实际有效推理1步，五维锚定结果为基础题。本题是对安全用电、节能原则多个生活用电常识的独立判断，每个选项分别调用对应安全用电规则进行判断，不属于单一规则的直接检索束。</x:v>
      </x:c>
      <x:c r="J574" s="65" t="str">
        <x:v>三次运行错题并集逐题复核</x:v>
      </x:c>
      <x:c r="K574" s="63" t="str">
        <x:v>暑期，家中用电设备使用率增高。下列做法中安全、节能的是（ ）</x:v>
      </x:c>
      <x:c r="L574" s="63" t="str">
        <x:v>A. 湿手拔电源插头 B. 用电设备达到使用寿命及时更换 C. 空调温度调至最低 D. 多个大功率用电器同时插在一个接线板上工作</x:v>
      </x:c>
      <x:c r="M574" s="63" t="str">
        <x:v>解：A、湿手的导电性强，拔插头时容易导致电流通过人体，引发触电事故，属于不安全用电行为，故A错误。 B、老旧电器的绝缘层可能老化破损，内部元件性能下降，容易引发漏电、火灾等风险，及时更换属于安全用电行为，故B正确。 C、空调温度调至最低，会导致空调长时间高负荷运行，消耗大量电能，故C错误。 D、多个大功率电器同时工作会使接线板的电流过大，超过其额定负载，容易引发线路过热、短路，甚至火灾，属于不安全用电行为，故D错误。 故选：B。</x:v>
      </x:c>
      <x:c r="N574" s="63" t="str">
        <x:v>https://k12static.xdf.cn/k12/image/externalized/8a002ec6-be4e-4211-8a0e-93732facf25d.png</x:v>
      </x:c>
      <x:c r="O574" s="63" t="str">
        <x:v>https://k12static.xdf.cn/k12/image/externalized/233cf2f2-22fe-4f76-ab70-7093bccbff7b.png</x:v>
      </x:c>
      <x:c r="P574" s="63" t="str">
        <x:v>1-2步</x:v>
      </x:c>
      <x:c r="Q574" s="63" t="str">
        <x:v>概念判断</x:v>
      </x:c>
      <x:c r="R574" s="63" t="str">
        <x:v>单状态</x:v>
      </x:c>
      <x:c r="S574" s="63" t="str">
        <x:v>无约束</x:v>
      </x:c>
      <x:c r="T574" s="63" t="str">
        <x:v>无</x:v>
      </x:c>
      <x:c r="U574" s="63" t="str">
        <x:v>无</x:v>
      </x:c>
      <x:c r="V574" s="63" t="str">
        <x:v>简单因果推理</x:v>
      </x:c>
    </x:row>
    <x:row r="575">
      <x:c r="A575" s="64" t="str">
        <x:v>​3659089289013116928</x:v>
      </x:c>
      <x:c r="B575" s="65" t="str">
        <x:v>送分题</x:v>
      </x:c>
      <x:c r="C575" s="65" t="str">
        <x:v>送分题</x:v>
      </x:c>
      <x:c r="D575" s="65" t="str">
        <x:v>送分题</x:v>
      </x:c>
      <x:c r="E575" s="65" t="str">
        <x:v>保留原GPT裁定</x:v>
      </x:c>
      <x:c r="F575" s="65" t="str">
        <x:v>高</x:v>
      </x:c>
      <x:c r="G575" s="65" t="str">
        <x:v>基础题</x:v>
      </x:c>
      <x:c r="H575" s="65" t="str">
        <x:v>送分题</x:v>
      </x:c>
      <x:c r="I575" s="65" t="str">
        <x:v>题干、解析与结构证据支持送分题：step=1-2步，题型=概念判断，状态=单状态，约束=无约束，推理=直接套用。教师、盲评和多次模型证据中未形成足以推翻原裁定的同向结构证据。</x:v>
      </x:c>
      <x:c r="J575" s="65" t="str">
        <x:v>未进入三次错题并集；逐题结构一致性复核</x:v>
      </x:c>
      <x:c r="K575" s="63" t="str">
        <x:v>我国科研人员在沙漠盐碱地培育出了耐盐碱、抗旱、抗寒小黑麦。将麦穗置于掌中，如图所示，它的长度约为（ ）</x:v>
      </x:c>
      <x:c r="L575" s="63" t="str">
        <x:v>A. 1.3m B. 13cm C. 13dm D. 1.3mm</x:v>
      </x:c>
      <x:c r="M575" s="63" t="str">
        <x:v>解：如图，麦穗的长度接近手掌的长度，约为13cm。 故选：B。</x:v>
      </x:c>
      <x:c r="N575" s="63" t="str">
        <x:v>https://k12static.xdf.cn/k12/image/externalized/a358676d-4fb9-429f-84e0-c10885095e05.png</x:v>
      </x:c>
      <x:c r="O575" s="63" t="str">
        <x:v>https://k12static.xdf.cn/k12/image/externalized/6da5ee51-fd16-4ca9-9505-151ccd40b818.png</x:v>
      </x:c>
      <x:c r="P575" s="63" t="str">
        <x:v>1-2步</x:v>
      </x:c>
      <x:c r="Q575" s="63" t="str">
        <x:v>概念判断</x:v>
      </x:c>
      <x:c r="R575" s="63" t="str">
        <x:v>单状态</x:v>
      </x:c>
      <x:c r="S575" s="63" t="str">
        <x:v>无约束</x:v>
      </x:c>
      <x:c r="T575" s="63" t="str">
        <x:v>无</x:v>
      </x:c>
      <x:c r="U575" s="63" t="str">
        <x:v>无</x:v>
      </x:c>
      <x:c r="V575" s="63" t="str">
        <x:v>直接套用</x:v>
      </x:c>
    </x:row>
    <x:row r="576">
      <x:c r="A576" s="64" t="str">
        <x:v>​3659089292620218368</x:v>
      </x:c>
      <x:c r="B576" s="65" t="str">
        <x:v>基础题</x:v>
      </x:c>
      <x:c r="C576" s="65" t="str">
        <x:v>基础题</x:v>
      </x:c>
      <x:c r="D576" s="65" t="str">
        <x:v>基础题</x:v>
      </x:c>
      <x:c r="E576" s="65" t="str">
        <x:v>保留原GPT裁定</x:v>
      </x:c>
      <x:c r="F576" s="65" t="str">
        <x:v>高</x:v>
      </x:c>
      <x:c r="G576" s="65" t="str">
        <x:v>基础题</x:v>
      </x:c>
      <x:c r="H576" s="65" t="str">
        <x:v>送分题</x:v>
      </x:c>
      <x:c r="I576" s="65" t="str">
        <x:v>题干、解析与结构证据支持基础题：step=1-2步，题型=概念判断，状态=单状态，约束=无约束，推理=简单因果推理。教师、盲评和多次模型证据中未形成足以推翻原裁定的同向结构证据。</x:v>
      </x:c>
      <x:c r="J576" s="65" t="str">
        <x:v>未进入三次错题并集；逐题结构一致性复核</x:v>
      </x:c>
      <x:c r="K576" s="63" t="str">
        <x:v>同样把几百块砖从地面运送到房顶，工人搬运需要几个小时，用起重机搬运只需要几分钟。对比两个过程，下列说法正确的是（ ）</x:v>
      </x:c>
      <x:c r="L576" s="63" t="str">
        <x:v>A. 起重机对砖做的功多 B. 工人对砖做的功多 C. 起重机对砖做功的功率大 D. 工人对砖做功的功率大</x:v>
      </x:c>
      <x:c r="M576" s="63" t="str">
        <x:v>解：AB、重力做功W=Gh,砖块总重力G、提升高度h均相等，故起重机、工人对砖做功相等，故AB错误； CD、由P=$\frac{W}{t}$知，W相同，起重机搬运时间t更小，因此起重机做功功率更大，故C正确，D 错误。 故选：C。</x:v>
      </x:c>
      <x:c r="N576" s="63" t="str">
        <x:v>https://k12static.xdf.cn/k12/image/externalized/6e967aaf-5068-4134-8ed3-114bf705357c.png</x:v>
      </x:c>
      <x:c r="O576" s="63" t="str">
        <x:v>https://k12static.xdf.cn/k12/image/externalized/f12afba0-56ab-4436-a803-f953193c92cd.png</x:v>
      </x:c>
      <x:c r="P576" s="63" t="str">
        <x:v>1-2步</x:v>
      </x:c>
      <x:c r="Q576" s="63" t="str">
        <x:v>概念判断</x:v>
      </x:c>
      <x:c r="R576" s="63" t="str">
        <x:v>单状态</x:v>
      </x:c>
      <x:c r="S576" s="63" t="str">
        <x:v>无约束</x:v>
      </x:c>
      <x:c r="T576" s="63" t="str">
        <x:v>无</x:v>
      </x:c>
      <x:c r="U576" s="63" t="str">
        <x:v>无</x:v>
      </x:c>
      <x:c r="V576" s="63" t="str">
        <x:v>简单因果推理</x:v>
      </x:c>
    </x:row>
    <x:row r="577">
      <x:c r="A577" s="64" t="str">
        <x:v>​3659089298106368000</x:v>
      </x:c>
      <x:c r="B577" s="65" t="str">
        <x:v>基础题</x:v>
      </x:c>
      <x:c r="C577" s="65" t="str">
        <x:v>基础题</x:v>
      </x:c>
      <x:c r="D577" s="65" t="str">
        <x:v>基础题</x:v>
      </x:c>
      <x:c r="E577" s="65" t="str">
        <x:v>保留原GPT裁定</x:v>
      </x:c>
      <x:c r="F577" s="65" t="str">
        <x:v>高</x:v>
      </x:c>
      <x:c r="G577" s="65" t="str">
        <x:v>中等题</x:v>
      </x:c>
      <x:c r="H577" s="65" t="str">
        <x:v>基础题</x:v>
      </x:c>
      <x:c r="I577" s="65" t="str">
        <x:v>题干、解析与结构证据支持基础题：step=1-2步，题型=概念判断，状态=单状态，约束=无约束，推理=简单因果推理。教师、盲评和多次模型证据中未形成足以推翻原裁定的同向结构证据。</x:v>
      </x:c>
      <x:c r="J577" s="65" t="str">
        <x:v>未进入三次错题并集；逐题结构一致性复核</x:v>
      </x:c>
      <x:c r="K577" s="63" t="str">
        <x:v>如图，在水平地面把钢卷尺拉直，折好的飞机静止对着卷尺，松开卷尺后自动缩回，“飞机”被牵引滑行后飞离地面，前进过程中，“飞机”（ ）</x:v>
      </x:c>
      <x:c r="L577" s="63" t="str">
        <x:v>A. 在空中不受力 B. 运动需要力来维持 C. 在空中受到惯性的作用 D. 由静止到运动说明力可以改变物体的运动状态</x:v>
      </x:c>
      <x:c r="M577" s="63" t="str">
        <x:v>解：A、“飞机”飞离地面后，会受到竖直向下的重力，以及空气对它的阻力和升力，并非不受力，故A错误。 B、根据牛顿第一定律，物体的运动不需要力来维持，力是改变物体运动状态的原因。“飞机”前进是因为惯性，不是因为持续受力，故B错误。 C、惯性是物体的固有属性，不是一种力，不能说“受到惯性的作用”，正确表述应为“具有惯性”，故C错误。 D、“飞机”原本静止，在钢卷尺的牵引力作用下开始运动，运动状态发生了改变，这符合力的作用效果之一——改变物体的运动状态，故D正确。 故选：D。</x:v>
      </x:c>
      <x:c r="N577" s="63" t="str">
        <x:v>https://k12static.xdf.cn/k12/image/externalized/d45c0171-a800-404e-b8eb-8c7c9ca479a6.png</x:v>
      </x:c>
      <x:c r="O577" s="63" t="str">
        <x:v>https://k12static.xdf.cn/k12/image/externalized/cdca1f58-b424-4edd-89f2-903a94e0a3d6.png</x:v>
      </x:c>
      <x:c r="P577" s="63" t="str">
        <x:v>1-2步</x:v>
      </x:c>
      <x:c r="Q577" s="63" t="str">
        <x:v>概念判断</x:v>
      </x:c>
      <x:c r="R577" s="63" t="str">
        <x:v>单状态</x:v>
      </x:c>
      <x:c r="S577" s="63" t="str">
        <x:v>无约束</x:v>
      </x:c>
      <x:c r="T577" s="63" t="str">
        <x:v>无</x:v>
      </x:c>
      <x:c r="U577" s="63" t="str">
        <x:v>无</x:v>
      </x:c>
      <x:c r="V577" s="63" t="str">
        <x:v>简单因果推理</x:v>
      </x:c>
    </x:row>
    <x:row r="578">
      <x:c r="A578" s="64" t="str">
        <x:v>​3659089312786432000</x:v>
      </x:c>
      <x:c r="B578" s="65" t="str">
        <x:v>基础题</x:v>
      </x:c>
      <x:c r="C578" s="65" t="str">
        <x:v>基础题</x:v>
      </x:c>
      <x:c r="D578" s="65" t="str">
        <x:v>基础题</x:v>
      </x:c>
      <x:c r="E578" s="65" t="str">
        <x:v>保留原GPT裁定</x:v>
      </x:c>
      <x:c r="F578" s="65" t="str">
        <x:v>高</x:v>
      </x:c>
      <x:c r="G578" s="65" t="str">
        <x:v>中等题</x:v>
      </x:c>
      <x:c r="H578" s="65" t="str">
        <x:v>基础题</x:v>
      </x:c>
      <x:c r="I578" s="65" t="str">
        <x:v>题干、解析与结构证据支持基础题：step=1-2步，题型=概念判断，状态=单状态，约束=无约束，推理=简单因果推理。教师、盲评和多次模型证据中未形成足以推翻原裁定的同向结构证据。</x:v>
      </x:c>
      <x:c r="J578" s="65" t="str">
        <x:v>未进入三次错题并集；逐题结构一致性复核</x:v>
      </x:c>
      <x:c r="K578" s="63" t="str">
        <x:v>如图，用一块半球形状的透明玻璃作为镇纸，压在水平放置的纸质书法作品上。下列说法正确的是（ ）</x:v>
      </x:c>
      <x:c r="L578" s="63" t="str">
        <x:v>A. 镇纸静止时合力为0 B. 该镇纸相当于凹透镜 C. “永和”二字通过镇纸所成的是放大的实像 D. 镇纸所受重力和它对纸的压力是一对平衡力</x:v>
      </x:c>
      <x:c r="M578" s="63" t="str">
        <x:v>解：A、镇纸静止在水平放置的书法作品上，处于平衡状态，根据平衡状态的条件，此时它受到的合力为0，故A正确。 B、半球形状的透明玻璃，中间厚、边缘薄，符合凸透镜的特征，而凹透镜是中间薄、边缘厚，所以该镇纸相当于凸透镜，故B错误。 C、“永和”二字位于凸透镜（镇纸）的一倍焦距以内，根据凸透镜成像规律，此时成的是正立、放大的虚像，而不是实像，故C错误。 D、一对平衡力需要满足大小相等、方向相反、作用在同一物体上、作用在同一直线上。镇纸所受重力的受力物体是镇纸，它对纸的压力的受力物体是纸，两个力作用在不同物体上，不是一对平衡力，故D错误。 故选：A。</x:v>
      </x:c>
      <x:c r="N578" s="63" t="str">
        <x:v>https://k12static.xdf.cn/k12/image/externalized/b4bdd7c1-de1e-447d-a2b7-a4fcf1742187.png</x:v>
      </x:c>
      <x:c r="O578" s="63" t="str">
        <x:v>https://k12static.xdf.cn/k12/image/externalized/619ea22b-d813-4cf3-9818-a0516d60c95f.png</x:v>
      </x:c>
      <x:c r="P578" s="63" t="str">
        <x:v>1-2步</x:v>
      </x:c>
      <x:c r="Q578" s="63" t="str">
        <x:v>概念判断</x:v>
      </x:c>
      <x:c r="R578" s="63" t="str">
        <x:v>单状态</x:v>
      </x:c>
      <x:c r="S578" s="63" t="str">
        <x:v>无约束</x:v>
      </x:c>
      <x:c r="T578" s="63" t="str">
        <x:v>无</x:v>
      </x:c>
      <x:c r="U578" s="63" t="str">
        <x:v>无</x:v>
      </x:c>
      <x:c r="V578" s="63" t="str">
        <x:v>简单因果推理</x:v>
      </x:c>
    </x:row>
    <x:row r="579">
      <x:c r="A579" s="64" t="str">
        <x:v>​3659089326459863040</x:v>
      </x:c>
      <x:c r="B579" s="65" t="str">
        <x:v>送分题</x:v>
      </x:c>
      <x:c r="C579" s="65" t="str">
        <x:v>送分题</x:v>
      </x:c>
      <x:c r="D579" s="65" t="str">
        <x:v>送分题</x:v>
      </x:c>
      <x:c r="E579" s="65" t="str">
        <x:v>保留原GPT裁定</x:v>
      </x:c>
      <x:c r="F579" s="65" t="str">
        <x:v>高</x:v>
      </x:c>
      <x:c r="G579" s="65" t="str">
        <x:v>中等题</x:v>
      </x:c>
      <x:c r="H579" s="65" t="str">
        <x:v>送分题</x:v>
      </x:c>
      <x:c r="I579" s="65" t="str">
        <x:v>题干、解析与结构证据支持送分题：step=1-2步，题型=概念判断，状态=单状态，约束=无约束，推理=直接套用。教师、盲评和多次模型证据中未形成足以推翻原裁定的同向结构证据。</x:v>
      </x:c>
      <x:c r="J579" s="65" t="str">
        <x:v>未进入三次错题并集；逐题结构一致性复核</x:v>
      </x:c>
      <x:c r="K579" s="63" t="str">
        <x:v>用细线悬挂一根条形磁铁，多次让其在水平面自由旋转。发现条形磁铁均静止在如图所示位置。根据现象，在下方白纸上标注地理方位，正确的是（ ）</x:v>
      </x:c>
      <x:c r="L579" s="63" t="str"/>
      <x:c r="M579" s="63" t="str">
        <x:v>解：悬挂的条形磁铁静止后沿水平（左右）方向放置，且左端为N极，右端为S极，因此：左方对应地理北极（北），右方对应地理南极（南），南北方向沿左右分布，故选 A。 故选：A。</x:v>
      </x:c>
      <x:c r="N579" s="63" t="str">
        <x:v>https://k12static.xdf.cn/k12/image/externalized/7f34696c-ac82-42ef-9e51-8578f804bc9e.png</x:v>
      </x:c>
      <x:c r="O579" s="63" t="str">
        <x:v>https://k12static.xdf.cn/k12/image/externalized/1a296a24-3871-44ae-b229-351213e9a5bc.png</x:v>
      </x:c>
      <x:c r="P579" s="63" t="str">
        <x:v>1-2步</x:v>
      </x:c>
      <x:c r="Q579" s="63" t="str">
        <x:v>概念判断</x:v>
      </x:c>
      <x:c r="R579" s="63" t="str">
        <x:v>单状态</x:v>
      </x:c>
      <x:c r="S579" s="63" t="str">
        <x:v>无约束</x:v>
      </x:c>
      <x:c r="T579" s="63" t="str">
        <x:v>无</x:v>
      </x:c>
      <x:c r="U579" s="63" t="str">
        <x:v>无</x:v>
      </x:c>
      <x:c r="V579" s="63" t="str">
        <x:v>直接套用</x:v>
      </x:c>
    </x:row>
    <x:row r="580">
      <x:c r="A580" s="64" t="str">
        <x:v>​3659089331761463296</x:v>
      </x:c>
      <x:c r="B580" s="65" t="str">
        <x:v>基础题</x:v>
      </x:c>
      <x:c r="C580" s="65" t="str">
        <x:v>基础题</x:v>
      </x:c>
      <x:c r="D580" s="65" t="str">
        <x:v>基础题</x:v>
      </x:c>
      <x:c r="E580" s="65" t="str">
        <x:v>保留原GPT裁定</x:v>
      </x:c>
      <x:c r="F580" s="65" t="str">
        <x:v>高</x:v>
      </x:c>
      <x:c r="G580" s="65" t="str">
        <x:v>中等题</x:v>
      </x:c>
      <x:c r="H580" s="65" t="str">
        <x:v>基础题</x:v>
      </x:c>
      <x:c r="I580" s="65" t="str">
        <x:v>题干、解析与结构证据支持基础题：step=1-2步，题型=概念判断，状态=单状态，约束=无约束，推理=简单因果推理。教师、盲评和多次模型证据中未形成足以推翻原裁定的同向结构证据。</x:v>
      </x:c>
      <x:c r="J580" s="65" t="str">
        <x:v>未进入三次错题并集；逐题结构一致性复核</x:v>
      </x:c>
      <x:c r="K580" s="63" t="str">
        <x:v>如图，爱探索的小湘做了以下有趣的实验。关于实验现象解释正确的是（ ）</x:v>
      </x:c>
      <x:c r="L580" s="63" t="str">
        <x:v>A. 图甲：乒乓球被发声的音叉弹开，说明声音传播不需要介质 B. 图乙：乒乓球和瓶中水被“托住”，说明了大气压强的存在 C. 图丙：水中的乒乓球没有浮起，说明浮力大小等于重力大小 D. 图丁：向漏斗中吹气时，乒乓球不掉落，说明流速越大的位置压强越大</x:v>
      </x:c>
      <x:c r="M580" s="63" t="str">
        <x:v>解：A、乒乓球被发声的音叉弹开，只能说明声音是由物体振动产生的，这个实验并没有涉及声音传播的介质问题，不能得出声音传播不需要介质的结论，故A错误。 B、瓶中的水和乒乓球没有下落，是因为外界大气压强向上托住了乒乓球和水，这是大气压强存在的典型实验，故B正确。 C、水中的乒乓球没有浮起，是因为乒乓球下方没有水，无法受到向上的浮力，此时乒乓球不受浮力，并非浮力等于重力，故C错误。 D、向漏斗吹气时，乒乓球上方空气流速大，压强小，下方空气流速小，压强大，所以乒乓球被下方的大气压托住不掉落，这说明流速越大的位置压强越小，故D错误。 故选：B。</x:v>
      </x:c>
      <x:c r="N580" s="63" t="str">
        <x:v>https://k12static.xdf.cn/k12/image/externalized/8bdbd371-4857-4908-9397-4f23998727d7.png</x:v>
      </x:c>
      <x:c r="O580" s="63" t="str">
        <x:v>https://k12static.xdf.cn/k12/image/externalized/46ca0ee2-e820-40cf-a6b1-12cb115cd06b.png</x:v>
      </x:c>
      <x:c r="P580" s="63" t="str">
        <x:v>1-2步</x:v>
      </x:c>
      <x:c r="Q580" s="63" t="str">
        <x:v>概念判断</x:v>
      </x:c>
      <x:c r="R580" s="63" t="str">
        <x:v>单状态</x:v>
      </x:c>
      <x:c r="S580" s="63" t="str">
        <x:v>无约束</x:v>
      </x:c>
      <x:c r="T580" s="63" t="str">
        <x:v>无</x:v>
      </x:c>
      <x:c r="U580" s="63" t="str">
        <x:v>无</x:v>
      </x:c>
      <x:c r="V580" s="63" t="str">
        <x:v>简单因果推理</x:v>
      </x:c>
    </x:row>
    <x:row r="581">
      <x:c r="A581" s="64" t="str">
        <x:v>​3659089360349839360</x:v>
      </x:c>
      <x:c r="B581" s="65" t="str">
        <x:v>送分题</x:v>
      </x:c>
      <x:c r="C581" s="65" t="str">
        <x:v>送分题</x:v>
      </x:c>
      <x:c r="D581" s="65" t="str">
        <x:v>送分题</x:v>
      </x:c>
      <x:c r="E581" s="65" t="str">
        <x:v>逐题复核后保留GPT裁定</x:v>
      </x:c>
      <x:c r="F581" s="65" t="str">
        <x:v>高</x:v>
      </x:c>
      <x:c r="G581" s="65" t="str">
        <x:v>基础题</x:v>
      </x:c>
      <x:c r="H581" s="65" t="str">
        <x:v>送分题</x:v>
      </x:c>
      <x:c r="I581" s="65" t="str">
        <x:v>只需识别一个熟悉教材模板，没有第二次物理决策。 题目证据：两个空分别调用热机能量转化和漂浮条件两个直接教材结论，每个空均为1步直接对应，最长连续链仅1步有效决策。五维中知识量为2个直接关联基础知识点，过程/对象为单对象静态，无运算，情境仅为包装不增负担，思维层次为直接识别，符合送分题特征。两个空分别调用不同基础知识点，不构成复杂任务。</x:v>
      </x:c>
      <x:c r="J581" s="65" t="str">
        <x:v>三次运行错题并集逐题复核</x:v>
      </x:c>
      <x:c r="K581" s="63" t="str">
        <x:v>如图为我国某公司建造的全球首艘最大级别甲醇双燃料集装箱船，轮船的热机工作时，将燃料燃烧产生的内能转化为 能。该船航行时，装载的货物越重，所受浮力越 。</x:v>
      </x:c>
      <x:c r="L581" s="63" t="str"/>
      <x:c r="M581" s="63" t="str">
        <x:v>解：热机工作时，将燃料燃烧产生的内能转化为机械能。即热机的基本工作原理——通过燃料燃烧产生高温高压气体，推动活塞或涡轮等机械装置做功，从而将内能转化为机械能。 根据阿基米德原理和漂浮条件：船漂浮在水面上时，浮力=重力（即F浮=G），装载货物越重，船的总重力越大，为了保持漂浮状态，船需要排开更多的水，从而获得更大的浮力来平衡增大的重力，因此，装载的货物越重，船所受的浮力越大。 故答案为：机械；大。</x:v>
      </x:c>
      <x:c r="N581" s="63" t="str">
        <x:v>https://k12static.xdf.cn/k12/image/externalized/67b628a0-beb5-452e-9537-f6ba80f82d4b.png</x:v>
      </x:c>
      <x:c r="O581" s="63" t="str">
        <x:v>https://k12static.xdf.cn/k12/image/externalized/eb6d2dd8-6c7b-4a30-896e-f8bb6ee3ce15.png</x:v>
      </x:c>
      <x:c r="P581" s="63" t="str">
        <x:v>1-2步</x:v>
      </x:c>
      <x:c r="Q581" s="63" t="str">
        <x:v>概念判断</x:v>
      </x:c>
      <x:c r="R581" s="63" t="str">
        <x:v>单状态</x:v>
      </x:c>
      <x:c r="S581" s="63" t="str">
        <x:v>无约束</x:v>
      </x:c>
      <x:c r="T581" s="63" t="str">
        <x:v>无</x:v>
      </x:c>
      <x:c r="U581" s="63" t="str">
        <x:v>无</x:v>
      </x:c>
      <x:c r="V581" s="63" t="str">
        <x:v>直接套用</x:v>
      </x:c>
    </x:row>
    <x:row r="582">
      <x:c r="A582" s="64" t="str">
        <x:v>​3659089891768156160</x:v>
      </x:c>
      <x:c r="B582" s="65" t="str">
        <x:v>拔高题</x:v>
      </x:c>
      <x:c r="C582" s="65" t="str">
        <x:v>拔高题</x:v>
      </x:c>
      <x:c r="D582" s="65" t="str">
        <x:v>拔高题</x:v>
      </x:c>
      <x:c r="E582" s="65" t="str">
        <x:v>逐题复核后保留GPT裁定</x:v>
      </x:c>
      <x:c r="F582" s="65" t="str">
        <x:v>高</x:v>
      </x:c>
      <x:c r="G582" s="65" t="str">
        <x:v>中等题</x:v>
      </x:c>
      <x:c r="H582" s="65" t="str">
        <x:v>压轴题</x:v>
      </x:c>
      <x:c r="I582" s="65" t="str">
        <x:v>最高难任务在图表信息提取与关系反推中包含图线反推、状态转换、误差评价、几何/等效转换、方程联立或参数反求等决定性卡点，整体约5—6个有效决策；尚未形成压轴所需的完整复杂约束网络。</x:v>
      </x:c>
      <x:c r="J582" s="65" t="str">
        <x:v>三次运行错题并集逐题复核</x:v>
      </x:c>
      <x:c r="K582" s="63" t="str">
        <x:v>阅读短文，回答问题。 2026年2月，全球首个实现“海上风电直连+海水自然冷却”的海底数据中心在国内正式启用。此次启用的是该海底数据中心项目的一期示范工程。 如图1，海上风电直连，是通过电缆将海上风电与海底数据中心直接连通的供电模式。风机发出的电能，输送至海底数据舱和海水自然冷却装置等。海水自然冷却是利用低温海水吸收数据舱内服务器工作时产生的热量，使服务器工作状态保持正常，即舱内温度不超过20℃；抽水泵功率越大，冷却管道中海水流速越大。 该海底数据中心的建立，为AI时代数字基础设施环保升级提供了“中国方案”。</x:v>
      </x:c>
      <x:c r="L582" s="63" t="str"/>
      <x:c r="M582" s="63" t="str"/>
      <x:c r="N582" s="63" t="str">
        <x:v>https://k12static.xdf.cn/k12/image/externalized/22974f3c-0aca-4c97-accd-b09638d3b4f4.png</x:v>
      </x:c>
      <x:c r="O582" s="63" t="str">
        <x:v>https://k12static.xdf.cn/k12/image/externalized/c6a96101-eb7c-4a0a-bfda-efa64ae8620e.png</x:v>
      </x:c>
      <x:c r="P582" s="63" t="str">
        <x:v>3-5步</x:v>
      </x:c>
      <x:c r="Q582" s="63" t="str">
        <x:v>跨模块综合</x:v>
      </x:c>
      <x:c r="R582" s="63" t="str">
        <x:v>单状态</x:v>
      </x:c>
      <x:c r="S582" s="63" t="str">
        <x:v>单一约束</x:v>
      </x:c>
      <x:c r="T582" s="63" t="str">
        <x:v>无</x:v>
      </x:c>
      <x:c r="U582" s="63" t="str">
        <x:v>多组比较归纳</x:v>
      </x:c>
      <x:c r="V582" s="63" t="str">
        <x:v>多层因果推理</x:v>
      </x:c>
    </x:row>
    <x:row r="583">
      <x:c r="A583" s="64" t="str">
        <x:v>​3659090173105291264</x:v>
      </x:c>
      <x:c r="B583" s="65" t="str">
        <x:v>中等题</x:v>
      </x:c>
      <x:c r="C583" s="65" t="str">
        <x:v>中等题</x:v>
      </x:c>
      <x:c r="D583" s="65" t="str">
        <x:v>中等题</x:v>
      </x:c>
      <x:c r="E583" s="65" t="str">
        <x:v>保留原GPT裁定</x:v>
      </x:c>
      <x:c r="F583" s="65" t="str">
        <x:v>高</x:v>
      </x:c>
      <x:c r="G583" s="65" t="str">
        <x:v>中等题</x:v>
      </x:c>
      <x:c r="H583" s="65" t="str">
        <x:v>拔高题</x:v>
      </x:c>
      <x:c r="I583" s="65" t="str">
        <x:v>题干、解析与结构证据支持中等题：step=3-5步，题型=实验探究，状态=单状态，约束=无约束，推理=多层因果推理。教师、盲评和多次模型证据中未形成足以推翻原裁定的同向结构证据。</x:v>
      </x:c>
      <x:c r="J583" s="65" t="str">
        <x:v>未进入三次错题并集；逐题结构一致性复核</x:v>
      </x:c>
      <x:c r="K583" s="63" t="str">
        <x:v>某实验小组利用如图甲、乙所示的电路，分别探究串、并联电路中电流的规律。具体探究过程如下：</x:v>
      </x:c>
      <x:c r="L583" s="63" t="str"/>
      <x:c r="M583" s="63" t="str"/>
      <x:c r="N583" s="63" t="str">
        <x:v>https://k12static.xdf.cn/k12/image/externalized/46589052-6fab-4e63-8657-a262d07be8b9.png</x:v>
      </x:c>
      <x:c r="O583" s="63" t="str">
        <x:v>https://k12static.xdf.cn/k12/image/externalized/a712609f-6e6d-4f8f-88f5-45f9f649a2cb.png</x:v>
      </x:c>
      <x:c r="P583" s="63" t="str">
        <x:v>3-5步</x:v>
      </x:c>
      <x:c r="Q583" s="63" t="str">
        <x:v>实验探究</x:v>
      </x:c>
      <x:c r="R583" s="63" t="str">
        <x:v>单状态</x:v>
      </x:c>
      <x:c r="S583" s="63" t="str">
        <x:v>无约束</x:v>
      </x:c>
      <x:c r="T583" s="63" t="str">
        <x:v>控制变量或故障分析</x:v>
      </x:c>
      <x:c r="U583" s="63" t="str">
        <x:v>多组比较归纳</x:v>
      </x:c>
      <x:c r="V583" s="63" t="str">
        <x:v>多层因果推理</x:v>
      </x:c>
    </x:row>
    <x:row r="584">
      <x:c r="A584" s="64" t="str">
        <x:v>​3659091264731627520</x:v>
      </x:c>
      <x:c r="B584" s="65" t="str">
        <x:v>拔高题</x:v>
      </x:c>
      <x:c r="C584" s="65" t="str">
        <x:v>拔高题</x:v>
      </x:c>
      <x:c r="D584" s="65" t="str">
        <x:v>拔高题</x:v>
      </x:c>
      <x:c r="E584" s="65" t="str">
        <x:v>逐题复核后保留GPT裁定</x:v>
      </x:c>
      <x:c r="F584" s="65" t="str">
        <x:v>高</x:v>
      </x:c>
      <x:c r="G584" s="65" t="str">
        <x:v>拔高题</x:v>
      </x:c>
      <x:c r="H584" s="65" t="str">
        <x:v>拔高题</x:v>
      </x:c>
      <x:c r="I584" s="65" t="str">
        <x:v>最高难任务在电路状态、图线/参数与安全约束中包含图线反推、状态转换、误差评价、几何/等效转换、方程联立或参数反求等决定性卡点，整体约5—6个有效决策；尚未形成压轴所需的完整复杂约束网络。</x:v>
      </x:c>
      <x:c r="J584" s="65" t="str">
        <x:v>三次运行错题并集逐题复核</x:v>
      </x:c>
      <x:c r="K584" s="63" t="str">
        <x:v>某小组在参加“美丽乡村建设实践活动”中，设计了如图甲所示的光控路灯简易电路图。控制电路电源电压U1=220V，光敏电阻RG的阻值随照度的增大而减小，85～110lx（lx表示照度的单位）照度区间的阻值变化情况如图乙所示。当继电器线圈中电流大于或等于10mA时，衔铁被吸下；当继电器线圈中电流小于或等于8mA时，衔铁被释放，线圈阻值不计。工作电路电源电压U2=24V，衔铁未被吸下时，触点接通，流过照明灯L的电流为5A。求：</x:v>
      </x:c>
      <x:c r="L584" s="63" t="str"/>
      <x:c r="M584" s="63" t="str"/>
      <x:c r="N584" s="63" t="str">
        <x:v>https://k12static.xdf.cn/k12/image/externalized/a604b81a-eedc-4a99-8bba-5ad5e3b1ea13.png</x:v>
      </x:c>
      <x:c r="O584" s="63" t="str">
        <x:v>https://k12static.xdf.cn/k12/image/externalized/cb11228c-4310-44cf-a8de-b35b33458dcb.png</x:v>
      </x:c>
      <x:c r="P584" s="63" t="str">
        <x:v>3-5步</x:v>
      </x:c>
      <x:c r="Q584" s="63" t="str">
        <x:v>电路综合</x:v>
      </x:c>
      <x:c r="R584" s="63" t="str">
        <x:v>双状态</x:v>
      </x:c>
      <x:c r="S584" s="63" t="str">
        <x:v>单一约束</x:v>
      </x:c>
      <x:c r="T584" s="63" t="str">
        <x:v>无</x:v>
      </x:c>
      <x:c r="U584" s="63" t="str">
        <x:v>直接读数</x:v>
      </x:c>
      <x:c r="V584" s="63" t="str">
        <x:v>多层因果推理</x:v>
      </x:c>
    </x:row>
    <x:row r="585">
      <x:c r="A585" s="64" t="str">
        <x:v>​3659091629518635008</x:v>
      </x:c>
      <x:c r="B585" s="65" t="str">
        <x:v>中等题</x:v>
      </x:c>
      <x:c r="C585" s="65" t="str">
        <x:v>中等题</x:v>
      </x:c>
      <x:c r="D585" s="65" t="str">
        <x:v>中等题</x:v>
      </x:c>
      <x:c r="E585" s="65" t="str">
        <x:v>逐题复核后保留GPT裁定</x:v>
      </x:c>
      <x:c r="F585" s="65" t="str">
        <x:v>中</x:v>
      </x:c>
      <x:c r="G585" s="65" t="str">
        <x:v>中等题</x:v>
      </x:c>
      <x:c r="H585" s="65" t="str">
        <x:v>拔高题</x:v>
      </x:c>
      <x:c r="I585" s="65" t="str">
        <x:v>存在约3—4步常规连续分析、共享过程或完整标准实验任务，关系仍显性。 题目证据：各小问相互独立，最高难小问实际有效物理决策不超过2步。整题四个小问分别覆盖电动机原理、实验器材选材、电能计算、电路连接四个独立任务，没有完整耦合的长链或决定性转换；整体未达到高密度综合链，也没有多状态约束耦合。</x:v>
      </x:c>
      <x:c r="J585" s="65" t="str">
        <x:v>三次运行错题并集逐题复核</x:v>
      </x:c>
      <x:c r="K585" s="63" t="str">
        <x:v>电动机是一种应用广泛的机械，许多电器就是由它来驱动的，小明和小红对电动机进行了比较深入的研究。</x:v>
      </x:c>
      <x:c r="L585" s="63" t="str"/>
      <x:c r="M585" s="63" t="str"/>
      <x:c r="N585" s="63" t="str">
        <x:v>https://k12static.xdf.cn/k12/image/externalized/631bebf7-bb8f-452c-ab08-28bed27cdd09.png</x:v>
      </x:c>
      <x:c r="O585" s="63" t="str">
        <x:v>https://k12static.xdf.cn/k12/image/externalized/0e659ade-8b96-4672-9fcc-02b10db147e5.png</x:v>
      </x:c>
      <x:c r="P585" s="63" t="str">
        <x:v>1-2步</x:v>
      </x:c>
      <x:c r="Q585" s="63" t="str">
        <x:v>跨模块综合</x:v>
      </x:c>
      <x:c r="R585" s="63" t="str">
        <x:v>单状态</x:v>
      </x:c>
      <x:c r="S585" s="63" t="str">
        <x:v>无约束</x:v>
      </x:c>
      <x:c r="T585" s="63" t="str">
        <x:v>基础操作或读数</x:v>
      </x:c>
      <x:c r="U585" s="63" t="str">
        <x:v>无</x:v>
      </x:c>
      <x:c r="V585" s="63" t="str">
        <x:v>简单因果推理</x:v>
      </x:c>
    </x:row>
    <x:row r="586">
      <x:c r="A586" s="64" t="str">
        <x:v>​3660631806741413888</x:v>
      </x:c>
      <x:c r="B586" s="65" t="str">
        <x:v>压轴题</x:v>
      </x:c>
      <x:c r="C586" s="65" t="str">
        <x:v>压轴题</x:v>
      </x:c>
      <x:c r="D586" s="65" t="str">
        <x:v>压轴题</x:v>
      </x:c>
      <x:c r="E586" s="65" t="str">
        <x:v>保留原GPT裁定</x:v>
      </x:c>
      <x:c r="F586" s="65" t="str">
        <x:v>高</x:v>
      </x:c>
      <x:c r="G586" s="65" t="str">
        <x:v>拔高题</x:v>
      </x:c>
      <x:c r="H586" s="65" t="str">
        <x:v>压轴题</x:v>
      </x:c>
      <x:c r="I586" s="65" t="str">
        <x:v>题干、解析与结构证据支持压轴题：step=6-8步，题型=电路综合，状态=连续变化或临界状态，约束=多约束，推理=逆向推理或临界分析。教师、盲评和多次模型证据中未形成足以推翻原裁定的同向结构证据。</x:v>
      </x:c>
      <x:c r="J586" s="65" t="str">
        <x:v>未进入三次错题并集；逐题结构一致性复核</x:v>
      </x:c>
      <x:c r="K586" s="63" t="str">
        <x:v>如图甲所示的电路中，电源电压不变，定值电阻$R_{0}$的阻值为10 Ω，滑动变阻器$R_{\mathrm{P}}$的最大阻值为50 Ω，电压表选用的测量范围为0~15 V，电流表选用的测量范围为0~0.6 A，其表盘0.2~0.3之间的刻度模糊不清，不能读出示数，如图乙所示。移动滑片P到某一位置时，电压表示数为9 V，电流表示数为0.3 A。</x:v>
      </x:c>
      <x:c r="L586" s="63" t="str"/>
      <x:c r="M586" s="63" t="str"/>
      <x:c r="N586" s="63" t="str">
        <x:v>https://k12static.xdf.cn/k12/image/externalized/d0a92979-224f-4ab6-80a1-debe3b3fcc95.png</x:v>
      </x:c>
      <x:c r="O586" s="63" t="str">
        <x:v>https://k12static.xdf.cn/k12/image/externalized/f6b66fca-760c-4129-aa2f-d4de151df91c.png</x:v>
      </x:c>
      <x:c r="P586" s="63" t="str">
        <x:v>6-8步</x:v>
      </x:c>
      <x:c r="Q586" s="63" t="str">
        <x:v>电路综合</x:v>
      </x:c>
      <x:c r="R586" s="63" t="str">
        <x:v>连续变化或临界状态</x:v>
      </x:c>
      <x:c r="S586" s="63" t="str">
        <x:v>多约束</x:v>
      </x:c>
      <x:c r="T586" s="63" t="str">
        <x:v>无</x:v>
      </x:c>
      <x:c r="U586" s="63" t="str">
        <x:v>无</x:v>
      </x:c>
      <x:c r="V586" s="63" t="str">
        <x:v>逆向推理或临界分析</x:v>
      </x:c>
    </x:row>
    <x:row r="587">
      <x:c r="A587" s="64" t="str">
        <x:v>​3660872748428980224</x:v>
      </x:c>
      <x:c r="B587" s="65" t="str">
        <x:v>拔高题</x:v>
      </x:c>
      <x:c r="C587" s="65" t="str">
        <x:v>拔高题</x:v>
      </x:c>
      <x:c r="D587" s="65" t="str">
        <x:v>拔高题</x:v>
      </x:c>
      <x:c r="E587" s="65" t="str">
        <x:v>保留原GPT裁定</x:v>
      </x:c>
      <x:c r="F587" s="65" t="str">
        <x:v>高</x:v>
      </x:c>
      <x:c r="G587" s="65" t="str">
        <x:v>拔高题</x:v>
      </x:c>
      <x:c r="H587" s="65" t="str">
        <x:v>压轴题</x:v>
      </x:c>
      <x:c r="I587" s="65" t="str">
        <x:v>题干、解析与结构证据支持拔高题：step=3-5步，题型=实验探究，状态=多状态，约束=单一约束，推理=多层因果推理。教师、盲评和多次模型证据中未形成足以推翻原裁定的同向结构证据。</x:v>
      </x:c>
      <x:c r="J587" s="65" t="str">
        <x:v>未进入三次错题并集；逐题结构一致性复核</x:v>
      </x:c>
      <x:c r="K587" s="63" t="str">
        <x:v>在“探究电压一定时电流与电阻的关系”实验中，实验小组的同学选用器材如下：电压恒为9 V的电源，阻值分别为15 Ω、20 Ω、30 Ω、40 Ω的定值电阻，标有“30 Ω 1 A”字样的滑动变阻器。</x:v>
      </x:c>
      <x:c r="L587" s="63" t="str"/>
      <x:c r="M587" s="63" t="str"/>
      <x:c r="N587" s="63" t="str">
        <x:v>https://k12static.xdf.cn/k12/image/externalized/cc8f882e-dde6-40cb-8e8d-3693c8e04d6e.png</x:v>
      </x:c>
      <x:c r="O587" s="63" t="str">
        <x:v>https://k12static.xdf.cn/k12/image/externalized/a4e58afe-20b4-4b2e-b79a-bcc3fece8104.png</x:v>
      </x:c>
      <x:c r="P587" s="63" t="str">
        <x:v>3-5步</x:v>
      </x:c>
      <x:c r="Q587" s="63" t="str">
        <x:v>实验探究</x:v>
      </x:c>
      <x:c r="R587" s="63" t="str">
        <x:v>多状态</x:v>
      </x:c>
      <x:c r="S587" s="63" t="str">
        <x:v>单一约束</x:v>
      </x:c>
      <x:c r="T587" s="63" t="str">
        <x:v>方案设计或误差评价</x:v>
      </x:c>
      <x:c r="U587" s="63" t="str">
        <x:v>多组比较归纳</x:v>
      </x:c>
      <x:c r="V587" s="63" t="str">
        <x:v>多层因果推理</x:v>
      </x:c>
    </x:row>
    <x:row r="588">
      <x:c r="A588" s="64" t="str">
        <x:v>​3661845322188197888</x:v>
      </x:c>
      <x:c r="B588" s="65" t="str">
        <x:v>基础题</x:v>
      </x:c>
      <x:c r="C588" s="65" t="str">
        <x:v>基础题</x:v>
      </x:c>
      <x:c r="D588" s="65" t="str">
        <x:v>基础题</x:v>
      </x:c>
      <x:c r="E588" s="65" t="str">
        <x:v>保留原GPT裁定</x:v>
      </x:c>
      <x:c r="F588" s="65" t="str">
        <x:v>高</x:v>
      </x:c>
      <x:c r="G588" s="65" t="str">
        <x:v>基础题</x:v>
      </x:c>
      <x:c r="H588" s="65" t="str">
        <x:v>基础题</x:v>
      </x:c>
      <x:c r="I588" s="65" t="str">
        <x:v>题干、解析与结构证据支持基础题：step=1-2步，题型=概念判断，状态=单状态，约束=无约束，推理=简单因果推理。教师、盲评和多次模型证据中未形成足以推翻原裁定的同向结构证据。</x:v>
      </x:c>
      <x:c r="J588" s="65" t="str">
        <x:v>未进入三次错题并集；逐题结构一致性复核</x:v>
      </x:c>
      <x:c r="K588" s="63" t="str">
        <x:v>家用冰箱是我们居家生活必备的家用电器,在冰箱内有很多物态变化现象。下列说法正确的是（ ）</x:v>
      </x:c>
      <x:c r="L588" s="63" t="str">
        <x:v>A. 从冷冻室取出的冻豆腐上有很多小孔,是豆腐中的冰升华放热形成的 B. 夏天从冰箱里拿出的矿泉水瓶外壁有水膜,是冰吸热熔化形成的 C. 夏天开冰箱门时门口出现的雾,是水吸热汽化形成的水蒸气 D. 冰箱内壁上的霜,是水蒸气放热凝华形成的小冰晶</x:v>
      </x:c>
      <x:c r="M588" s="63" t="str">
        <x:v>A：冻豆腐上的小孔是水先凝固后熔化形成的，凝固放热，熔化吸热，故A错误； B：水膜是水蒸气液化形成的小水珠，液化放热，故B错误； C：雾是水蒸气液化形成的小液滴，液化放热，故C错误； D：霜是水蒸气凝华形成的小冰晶，凝华放热，故D正确。 故选：D</x:v>
      </x:c>
      <x:c r="N588" s="63" t="str">
        <x:v>https://k12static.xdf.cn/k12/image/externalized/fc9d2769-39f4-4ade-a5cf-56198af27e7d.png</x:v>
      </x:c>
      <x:c r="O588" s="63" t="str">
        <x:v>https://k12static.xdf.cn/k12/image/externalized/7bcf5086-7865-41f9-b077-84df74d0f4df.png</x:v>
      </x:c>
      <x:c r="P588" s="63" t="str">
        <x:v>1-2步</x:v>
      </x:c>
      <x:c r="Q588" s="63" t="str">
        <x:v>概念判断</x:v>
      </x:c>
      <x:c r="R588" s="63" t="str">
        <x:v>单状态</x:v>
      </x:c>
      <x:c r="S588" s="63" t="str">
        <x:v>无约束</x:v>
      </x:c>
      <x:c r="T588" s="63" t="str">
        <x:v>无</x:v>
      </x:c>
      <x:c r="U588" s="63" t="str">
        <x:v>无</x:v>
      </x:c>
      <x:c r="V588" s="63" t="str">
        <x:v>简单因果推理</x:v>
      </x:c>
    </x:row>
    <x:row r="589">
      <x:c r="A589" s="64" t="str">
        <x:v>​3662940488813613056</x:v>
      </x:c>
      <x:c r="B589" s="65" t="str">
        <x:v>拔高题</x:v>
      </x:c>
      <x:c r="C589" s="65" t="str">
        <x:v>拔高题</x:v>
      </x:c>
      <x:c r="D589" s="65" t="str">
        <x:v>拔高题</x:v>
      </x:c>
      <x:c r="E589" s="65" t="str">
        <x:v>保留原GPT裁定</x:v>
      </x:c>
      <x:c r="F589" s="65" t="str">
        <x:v>高</x:v>
      </x:c>
      <x:c r="G589" s="65" t="str">
        <x:v>拔高题</x:v>
      </x:c>
      <x:c r="H589" s="65" t="str">
        <x:v>压轴题</x:v>
      </x:c>
      <x:c r="I589" s="65" t="str">
        <x:v>题干、解析与结构证据支持拔高题：step=6-8步，题型=电路综合，状态=多状态，约束=多约束，推理=逆向推理或临界分析。教师、盲评和多次模型证据中未形成足以推翻原裁定的同向结构证据。</x:v>
      </x:c>
      <x:c r="J589" s="65" t="str">
        <x:v>未进入三次错题并集；逐题结构一致性复核</x:v>
      </x:c>
      <x:c r="K589" s="63" t="str">
        <x:v>如图甲所示，电源电压未知且可调，两个滑动变阻器分别标有“$10\ \Omega$ $\rm3\ A$”“$20\ \Omega$ $\rm2\ A$”字样，小灯泡$\text{L}_1$的额定电压为$\rm2.5\ V$、电流表($0$~$\rm0.6\ A$)、电压表($0$~$\rm3\ V$)、开关及导线若干。小明将“$10\ \Omega$ $\rm3\ A$”的滑动变阻器接入电路，将滑片移至最大电阻处，闭合开关$\text{S}_1$后，此时电流表示数、电压表示数如图乙所示。此时若移动滑片易使灯泡$\text{L}_1$烧坏，于是小明调节电源电压并更换滑动变阻器，重新连接电路(此时电压表可能接在滑动变阻器或小灯泡两端)。在移动滑片的过程中，使电流表的示数与乙图电流表的示数一致时，电压表的示数为$\rm2.9\ V$；当滑动变阻器接入电路的电阻为$11.2\ \Omega$时，小灯泡正常发光。</x:v>
      </x:c>
      <x:c r="L589" s="63" t="str"/>
      <x:c r="M589" s="63" t="str"/>
      <x:c r="N589" s="63" t="str">
        <x:v>https://k12static.xdf.cn/k12/image/externalized/89a0e1f0-4e4f-40b8-aae0-bc87cd18c9e2.png</x:v>
      </x:c>
      <x:c r="O589" s="63" t="str">
        <x:v>https://k12static.xdf.cn/k12/image/externalized/7024e5fa-96c4-4129-8df0-dc3f88487be1.png</x:v>
      </x:c>
      <x:c r="P589" s="63" t="str">
        <x:v>6-8步</x:v>
      </x:c>
      <x:c r="Q589" s="63" t="str">
        <x:v>电路综合</x:v>
      </x:c>
      <x:c r="R589" s="63" t="str">
        <x:v>多状态</x:v>
      </x:c>
      <x:c r="S589" s="63" t="str">
        <x:v>多约束</x:v>
      </x:c>
      <x:c r="T589" s="63" t="str">
        <x:v>无</x:v>
      </x:c>
      <x:c r="U589" s="63" t="str">
        <x:v>直接读数</x:v>
      </x:c>
      <x:c r="V589" s="63" t="str">
        <x:v>逆向推理或临界分析</x:v>
      </x:c>
    </x:row>
    <x:row r="590">
      <x:c r="A590" s="64" t="str">
        <x:v>​3665218880451219456</x:v>
      </x:c>
      <x:c r="B590" s="65" t="str">
        <x:v>基础题</x:v>
      </x:c>
      <x:c r="C590" s="65" t="str">
        <x:v>基础题</x:v>
      </x:c>
      <x:c r="D590" s="65" t="str">
        <x:v>基础题</x:v>
      </x:c>
      <x:c r="E590" s="65" t="str">
        <x:v>保留原GPT裁定</x:v>
      </x:c>
      <x:c r="F590" s="65" t="str">
        <x:v>中</x:v>
      </x:c>
      <x:c r="G590" s="65" t="str">
        <x:v>基础题</x:v>
      </x:c>
      <x:c r="H590" s="65" t="str">
        <x:v>送分题</x:v>
      </x:c>
      <x:c r="I590" s="65" t="str">
        <x:v>题干、解析与结构证据支持基础题：step=1-2步，题型=概念判断，状态=单状态，约束=无约束，推理=简单因果推理。教师、盲评和多次模型证据中未形成足以推翻原裁定的同向结构证据。</x:v>
      </x:c>
      <x:c r="J590" s="65" t="str">
        <x:v>未进入三次错题并集；逐题结构一致性复核</x:v>
      </x:c>
      <x:c r="K590" s="63" t="str">
        <x:v>我国自主研制的“人造太阳”核聚变实验装置内，发生的核反应过程简化如图。反应生成的（ ）</x:v>
      </x:c>
      <x:c r="L590" s="63" t="str">
        <x:v>A. 中子带正电 B. 中子带负电 C. 氦原子核有2个质子 D. 氦原子核有4个质子</x:v>
      </x:c>
      <x:c r="M590" s="63" t="str">
        <x:v>AB．原子核由质子和中子组成，质子带正电，中子不带电，核反应过程中质子数守恒，故AB错误；CD．氚核、氘核都属于氢原子核，每个氢原子核内有1个质子，反应前总质子数为$1+1=2$个；反应后生成的中子不含质子，因此质子都在氦原子核内，即氦原子核有2个质子，故C正确，D错误。故选C。</x:v>
      </x:c>
      <x:c r="N590" s="63" t="str">
        <x:v>https://k12static.xdf.cn/k12/image/externalized/461f3b1c-99e4-40dd-a9f5-89e0230dbae9.png</x:v>
      </x:c>
      <x:c r="O590" s="63" t="str">
        <x:v>https://k12static.xdf.cn/k12/image/externalized/50c5d959-e436-4225-98dd-d1e3b0e23b56.png</x:v>
      </x:c>
      <x:c r="P590" s="63" t="str">
        <x:v>1-2步</x:v>
      </x:c>
      <x:c r="Q590" s="63" t="str">
        <x:v>概念判断</x:v>
      </x:c>
      <x:c r="R590" s="63" t="str">
        <x:v>单状态</x:v>
      </x:c>
      <x:c r="S590" s="63" t="str">
        <x:v>无约束</x:v>
      </x:c>
      <x:c r="T590" s="63" t="str">
        <x:v>无</x:v>
      </x:c>
      <x:c r="U590" s="63" t="str">
        <x:v>无</x:v>
      </x:c>
      <x:c r="V590" s="63" t="str">
        <x:v>简单因果推理</x:v>
      </x:c>
    </x:row>
    <x:row r="591">
      <x:c r="A591" s="64" t="str">
        <x:v>​3665218894630068224</x:v>
      </x:c>
      <x:c r="B591" s="65" t="str">
        <x:v>基础题</x:v>
      </x:c>
      <x:c r="C591" s="65" t="str">
        <x:v>基础题</x:v>
      </x:c>
      <x:c r="D591" s="65" t="str">
        <x:v>基础题</x:v>
      </x:c>
      <x:c r="E591" s="65" t="str">
        <x:v>保留原GPT裁定</x:v>
      </x:c>
      <x:c r="F591" s="65" t="str">
        <x:v>高</x:v>
      </x:c>
      <x:c r="G591" s="65" t="str">
        <x:v>基础题</x:v>
      </x:c>
      <x:c r="H591" s="65" t="str">
        <x:v>送分题</x:v>
      </x:c>
      <x:c r="I591" s="65" t="str">
        <x:v>题干、解析与结构证据支持基础题：step=1-2步，题型=概念判断，状态=单状态，约束=无约束，推理=简单因果推理。教师、盲评和多次模型证据中未形成足以推翻原裁定的同向结构证据。</x:v>
      </x:c>
      <x:c r="J591" s="65" t="str">
        <x:v>未进入三次错题并集；逐题结构一致性复核</x:v>
      </x:c>
      <x:c r="K591" s="63" t="str">
        <x:v>某款可计数的握力训练器结构如图。握、放把手带动线圈在磁场中运动产生电流，使得计数器计数。该握力训练器线圈中产生电流（ ）</x:v>
      </x:c>
      <x:c r="L591" s="63" t="str">
        <x:v>A. 应用了电流的磁效应 B. 应用了电流的热效应 C. 原理与电动机相同 D. 原理与发电机相同</x:v>
      </x:c>
      <x:c r="M591" s="63" t="str">
        <x:v>该装置的工作过程：握放把手带动线圈在磁场中做切割磁感线运动，闭合的线圈中产生感应电流，使计数器工作，原理是电磁感应现象，与发电机原理相同。故选D。</x:v>
      </x:c>
      <x:c r="N591" s="63" t="str">
        <x:v>https://k12static.xdf.cn/k12/image/externalized/101c84f1-c4c5-4adc-bfd0-270289ad318c.png</x:v>
      </x:c>
      <x:c r="O591" s="63" t="str">
        <x:v>https://k12static.xdf.cn/k12/image/externalized/830b4498-8c93-44e3-a35f-f7b8ca34d423.png</x:v>
      </x:c>
      <x:c r="P591" s="63" t="str">
        <x:v>1-2步</x:v>
      </x:c>
      <x:c r="Q591" s="63" t="str">
        <x:v>概念判断</x:v>
      </x:c>
      <x:c r="R591" s="63" t="str">
        <x:v>单状态</x:v>
      </x:c>
      <x:c r="S591" s="63" t="str">
        <x:v>无约束</x:v>
      </x:c>
      <x:c r="T591" s="63" t="str">
        <x:v>无</x:v>
      </x:c>
      <x:c r="U591" s="63" t="str">
        <x:v>无</x:v>
      </x:c>
      <x:c r="V591" s="63" t="str">
        <x:v>简单因果推理</x:v>
      </x:c>
    </x:row>
    <x:row r="592">
      <x:c r="A592" s="64" t="str">
        <x:v>​3665218911770034176</x:v>
      </x:c>
      <x:c r="B592" s="65" t="str">
        <x:v>基础题</x:v>
      </x:c>
      <x:c r="C592" s="65" t="str">
        <x:v>基础题</x:v>
      </x:c>
      <x:c r="D592" s="65" t="str">
        <x:v>基础题</x:v>
      </x:c>
      <x:c r="E592" s="65" t="str">
        <x:v>保留原GPT裁定</x:v>
      </x:c>
      <x:c r="F592" s="65" t="str">
        <x:v>高</x:v>
      </x:c>
      <x:c r="G592" s="65" t="str">
        <x:v>中等题</x:v>
      </x:c>
      <x:c r="H592" s="65" t="str">
        <x:v>基础题</x:v>
      </x:c>
      <x:c r="I592" s="65" t="str">
        <x:v>题干、解析与结构证据支持基础题：step=1-2步，题型=概念判断，状态=单状态，约束=无约束，推理=简单因果推理。教师、盲评和多次模型证据中未形成足以推翻原裁定的同向结构证据。</x:v>
      </x:c>
      <x:c r="J592" s="65" t="str">
        <x:v>未进入三次错题并集；逐题结构一致性复核</x:v>
      </x:c>
      <x:c r="K592" s="63" t="str">
        <x:v>某同学坐着滑草板从斜坡滑至水平面，每隔相等时间对该同学拍照一次，记录其在各时刻的位置如图。若水平面各处粗糙程度相同，则该同学和滑草板（ ）</x:v>
      </x:c>
      <x:c r="L592" s="63" t="str">
        <x:v>A. 沿斜坡下滑时做匀速直线运动 B. 沿斜坡下滑时所受重力越来越小 C. 沿水平面继续滑行是由于惯性 D. 沿水平面滑行时所受摩擦力越来越小</x:v>
      </x:c>
      <x:c r="M592" s="63" t="str">
        <x:v>A．由题意和图可知，斜坡上相邻两次拍照的时间间隔相等，相邻位置间的路程逐渐增大，说明下滑时速度逐渐增大，是加速运动，故A错误；B．重力大小满足$G=mg$，该同学和滑草板的总质量$m$不变，$g$是定值，因此重力大小不变，故B错误；C．一切物体都具有保持原来运动状态不变的性质，即惯性，该同学滑到水平面后，由于惯性会保持原来的运动状态继续向前滑行，故C正确；D．滑动摩擦力大小与压力大小、接触面粗糙程度有关；沿水平面滑行时，该同学和滑草板对水平面的压力等于总重力，大小不变，且水平面粗糙程度相同，因此滑动摩擦力大小不变，故D错误。故选C。</x:v>
      </x:c>
      <x:c r="N592" s="63" t="str">
        <x:v>https://k12static.xdf.cn/k12/image/externalized/f2e8de4e-423c-4438-8e5f-beecc66d0c29.png</x:v>
      </x:c>
      <x:c r="O592" s="63" t="str">
        <x:v>https://k12static.xdf.cn/k12/image/externalized/680fe38d-6c81-48ea-9a87-db7730fde9d5.png</x:v>
      </x:c>
      <x:c r="P592" s="63" t="str">
        <x:v>1-2步</x:v>
      </x:c>
      <x:c r="Q592" s="63" t="str">
        <x:v>概念判断</x:v>
      </x:c>
      <x:c r="R592" s="63" t="str">
        <x:v>单状态</x:v>
      </x:c>
      <x:c r="S592" s="63" t="str">
        <x:v>无约束</x:v>
      </x:c>
      <x:c r="T592" s="63" t="str">
        <x:v>无</x:v>
      </x:c>
      <x:c r="U592" s="63" t="str">
        <x:v>直接读数</x:v>
      </x:c>
      <x:c r="V592" s="63" t="str">
        <x:v>简单因果推理</x:v>
      </x:c>
    </x:row>
    <x:row r="593">
      <x:c r="A593" s="64" t="str">
        <x:v>​3665218963398545408</x:v>
      </x:c>
      <x:c r="B593" s="65" t="str">
        <x:v>基础题</x:v>
      </x:c>
      <x:c r="C593" s="65" t="str">
        <x:v>基础题</x:v>
      </x:c>
      <x:c r="D593" s="65" t="str">
        <x:v>基础题</x:v>
      </x:c>
      <x:c r="E593" s="65" t="str">
        <x:v>保留原GPT裁定</x:v>
      </x:c>
      <x:c r="F593" s="65" t="str">
        <x:v>中</x:v>
      </x:c>
      <x:c r="G593" s="65" t="str">
        <x:v>基础题</x:v>
      </x:c>
      <x:c r="H593" s="65" t="str">
        <x:v>中等题</x:v>
      </x:c>
      <x:c r="I593" s="65" t="str">
        <x:v>题干、解析与结构证据支持基础题：step=1-2步，题型=跨模块综合，状态=单状态，约束=无约束，推理=简单因果推理。教师、盲评和多次模型证据中未形成足以推翻原裁定的同向结构证据。</x:v>
      </x:c>
      <x:c r="J593" s="65" t="str">
        <x:v>未进入三次错题并集；逐题结构一致性复核</x:v>
      </x:c>
      <x:c r="K593" s="63" t="str">
        <x:v>如图为某跨学科实践小组制作的电动晾衣装置模型简图。</x:v>
      </x:c>
      <x:c r="L593" s="63" t="str"/>
      <x:c r="M593" s="63" t="str"/>
      <x:c r="N593" s="63" t="str">
        <x:v>https://k12static.xdf.cn/k12/image/externalized/60d6f4bd-cfe6-4fe9-b9e4-9b386e1494da.png</x:v>
      </x:c>
      <x:c r="O593" s="63" t="str">
        <x:v>https://k12static.xdf.cn/k12/image/externalized/ffed874f-df86-4ed8-9bb9-8a615978cc56.png</x:v>
      </x:c>
      <x:c r="P593" s="63" t="str">
        <x:v>1-2步</x:v>
      </x:c>
      <x:c r="Q593" s="63" t="str">
        <x:v>跨模块综合</x:v>
      </x:c>
      <x:c r="R593" s="63" t="str">
        <x:v>单状态</x:v>
      </x:c>
      <x:c r="S593" s="63" t="str">
        <x:v>无约束</x:v>
      </x:c>
      <x:c r="T593" s="63" t="str">
        <x:v>无</x:v>
      </x:c>
      <x:c r="U593" s="63" t="str">
        <x:v>无</x:v>
      </x:c>
      <x:c r="V593" s="63" t="str">
        <x:v>简单因果推理</x:v>
      </x:c>
    </x:row>
    <x:row r="594">
      <x:c r="A594" s="64" t="str">
        <x:v>​3665218997103972352</x:v>
      </x:c>
      <x:c r="B594" s="65" t="str">
        <x:v>中等题</x:v>
      </x:c>
      <x:c r="C594" s="65" t="str">
        <x:v>中等题</x:v>
      </x:c>
      <x:c r="D594" s="65" t="str">
        <x:v>中等题</x:v>
      </x:c>
      <x:c r="E594" s="65" t="str">
        <x:v>保留原GPT裁定</x:v>
      </x:c>
      <x:c r="F594" s="65" t="str">
        <x:v>高</x:v>
      </x:c>
      <x:c r="G594" s="65" t="str">
        <x:v>拔高题</x:v>
      </x:c>
      <x:c r="H594" s="65" t="str">
        <x:v>中等题</x:v>
      </x:c>
      <x:c r="I594" s="65" t="str">
        <x:v>题干、解析与结构证据支持中等题：step=3-5步，题型=力学综合，状态=单状态，约束=单一约束，推理=多层因果推理。教师、盲评和多次模型证据中未形成足以推翻原裁定的同向结构证据。</x:v>
      </x:c>
      <x:c r="J594" s="65" t="str">
        <x:v>未进入三次错题并集；逐题结构一致性复核</x:v>
      </x:c>
      <x:c r="K594" s="63" t="str">
        <x:v>如图，用手端起一个餐盘并保持水平静止。</x:v>
      </x:c>
      <x:c r="L594" s="63" t="str"/>
      <x:c r="M594" s="63" t="str"/>
      <x:c r="N594" s="63" t="str">
        <x:v>https://k12static.xdf.cn/k12/image/externalized/87b2c312-fccf-405b-bcb1-1ac700475ae6.png</x:v>
      </x:c>
      <x:c r="O594" s="63" t="str">
        <x:v>https://k12static.xdf.cn/k12/image/externalized/c535cdd6-083c-4318-b67d-0d5ebbff8f4e.png</x:v>
      </x:c>
      <x:c r="P594" s="63" t="str">
        <x:v>3-5步</x:v>
      </x:c>
      <x:c r="Q594" s="63" t="str">
        <x:v>力学综合</x:v>
      </x:c>
      <x:c r="R594" s="63" t="str">
        <x:v>单状态</x:v>
      </x:c>
      <x:c r="S594" s="63" t="str">
        <x:v>单一约束</x:v>
      </x:c>
      <x:c r="T594" s="63" t="str">
        <x:v>无</x:v>
      </x:c>
      <x:c r="U594" s="63" t="str">
        <x:v>无</x:v>
      </x:c>
      <x:c r="V594" s="63" t="str">
        <x:v>多层因果推理</x:v>
      </x:c>
    </x:row>
    <x:row r="595">
      <x:c r="A595" s="64" t="str">
        <x:v>​3665219099528105984</x:v>
      </x:c>
      <x:c r="B595" s="65" t="str">
        <x:v>中等题</x:v>
      </x:c>
      <x:c r="C595" s="65" t="str">
        <x:v>中等题</x:v>
      </x:c>
      <x:c r="D595" s="65" t="str">
        <x:v>中等题</x:v>
      </x:c>
      <x:c r="E595" s="65" t="str">
        <x:v>保留原GPT裁定</x:v>
      </x:c>
      <x:c r="F595" s="65" t="str">
        <x:v>高</x:v>
      </x:c>
      <x:c r="G595" s="65" t="str">
        <x:v>中等题</x:v>
      </x:c>
      <x:c r="H595" s="65" t="str">
        <x:v>拔高题</x:v>
      </x:c>
      <x:c r="I595" s="65" t="str">
        <x:v>题干、解析与结构证据支持中等题：step=3-5步，题型=实验探究，状态=双状态，约束=无约束，推理=多层因果推理。教师、盲评和多次模型证据中未形成足以推翻原裁定的同向结构证据。</x:v>
      </x:c>
      <x:c r="J595" s="65" t="str">
        <x:v>未进入三次错题并集；逐题结构一致性复核</x:v>
      </x:c>
      <x:c r="K595" s="63" t="str">
        <x:v>物理实验中常用放大法将微小变化放大，使实验现象易于观察。</x:v>
      </x:c>
      <x:c r="L595" s="63" t="str"/>
      <x:c r="M595" s="63" t="str"/>
      <x:c r="N595" s="63" t="str">
        <x:v>https://k12static.xdf.cn/k12/image/externalized/98d587f7-6dd9-4272-ab7f-340dc29e0285.png</x:v>
      </x:c>
      <x:c r="O595" s="63" t="str">
        <x:v>https://k12static.xdf.cn/k12/image/externalized/34c55721-24fe-485b-b53e-155faf702c04.png</x:v>
      </x:c>
      <x:c r="P595" s="63" t="str">
        <x:v>3-5步</x:v>
      </x:c>
      <x:c r="Q595" s="63" t="str">
        <x:v>实验探究</x:v>
      </x:c>
      <x:c r="R595" s="63" t="str">
        <x:v>双状态</x:v>
      </x:c>
      <x:c r="S595" s="63" t="str">
        <x:v>无约束</x:v>
      </x:c>
      <x:c r="T595" s="63" t="str">
        <x:v>控制变量或故障分析</x:v>
      </x:c>
      <x:c r="U595" s="63" t="str">
        <x:v>无</x:v>
      </x:c>
      <x:c r="V595" s="63" t="str">
        <x:v>多层因果推理</x:v>
      </x:c>
    </x:row>
    <x:row r="596">
      <x:c r="A596" s="64" t="str">
        <x:v>​3665219172020871168</x:v>
      </x:c>
      <x:c r="B596" s="65" t="str">
        <x:v>中等题</x:v>
      </x:c>
      <x:c r="C596" s="65" t="str">
        <x:v>中等题</x:v>
      </x:c>
      <x:c r="D596" s="65" t="str">
        <x:v>中等题</x:v>
      </x:c>
      <x:c r="E596" s="65" t="str">
        <x:v>保留原GPT裁定</x:v>
      </x:c>
      <x:c r="F596" s="65" t="str">
        <x:v>高</x:v>
      </x:c>
      <x:c r="G596" s="65" t="str">
        <x:v>中等题</x:v>
      </x:c>
      <x:c r="H596" s="65" t="str">
        <x:v>拔高题</x:v>
      </x:c>
      <x:c r="I596" s="65" t="str">
        <x:v>题干、解析与结构证据支持中等题：step=3-5步，题型=实验探究，状态=单状态，约束=单一约束，推理=多层因果推理。教师、盲评和多次模型证据中未形成足以推翻原裁定的同向结构证据。</x:v>
      </x:c>
      <x:c r="J596" s="65" t="str">
        <x:v>未进入三次错题并集；逐题结构一致性复核</x:v>
      </x:c>
      <x:c r="K596" s="63" t="str">
        <x:v>某实验小组测量额定电压为2.5 V的小灯泡的电阻。</x:v>
      </x:c>
      <x:c r="L596" s="63" t="str"/>
      <x:c r="M596" s="63" t="str"/>
      <x:c r="N596" s="63" t="str">
        <x:v>https://k12static.xdf.cn/k12/image/externalized/d68a0849-4471-4010-b384-37d27d43c78c.png</x:v>
      </x:c>
      <x:c r="O596" s="63" t="str">
        <x:v>https://k12static.xdf.cn/k12/image/externalized/dd9825ff-cf18-4224-b441-4a83db3ca068.png</x:v>
      </x:c>
      <x:c r="P596" s="63" t="str">
        <x:v>3-5步</x:v>
      </x:c>
      <x:c r="Q596" s="63" t="str">
        <x:v>实验探究</x:v>
      </x:c>
      <x:c r="R596" s="63" t="str">
        <x:v>单状态</x:v>
      </x:c>
      <x:c r="S596" s="63" t="str">
        <x:v>单一约束</x:v>
      </x:c>
      <x:c r="T596" s="63" t="str">
        <x:v>控制变量或故障分析</x:v>
      </x:c>
      <x:c r="U596" s="63" t="str">
        <x:v>直接读数</x:v>
      </x:c>
      <x:c r="V596" s="63" t="str">
        <x:v>多层因果推理</x:v>
      </x:c>
    </x:row>
    <x:row r="597">
      <x:c r="A597" s="64" t="str">
        <x:v>​3669836875325329408</x:v>
      </x:c>
      <x:c r="B597" s="65" t="str">
        <x:v>拔高题</x:v>
      </x:c>
      <x:c r="C597" s="65" t="str">
        <x:v>拔高题</x:v>
      </x:c>
      <x:c r="D597" s="65" t="str">
        <x:v>拔高题</x:v>
      </x:c>
      <x:c r="E597" s="65" t="str">
        <x:v>保留原GPT裁定</x:v>
      </x:c>
      <x:c r="F597" s="65" t="str">
        <x:v>高</x:v>
      </x:c>
      <x:c r="G597" s="65" t="str">
        <x:v>拔高题</x:v>
      </x:c>
      <x:c r="H597" s="65" t="str">
        <x:v>压轴题</x:v>
      </x:c>
      <x:c r="I597" s="65" t="str">
        <x:v>题干、解析与结构证据支持拔高题：step=3-5步，题型=跨模块综合，状态=双状态，约束=多约束，推理=多层因果推理。教师、盲评和多次模型证据中未形成足以推翻原裁定的同向结构证据。</x:v>
      </x:c>
      <x:c r="J597" s="65" t="str">
        <x:v>未进入三次错题并集；逐题结构一致性复核</x:v>
      </x:c>
      <x:c r="K597" s="63" t="str">
        <x:v>某仿生诱捕灭蚊器通过释放二氧化碳气体和发出紫外线诱蚊。小明猜想当灭蚊器的温度和人体温度接近时诱蚊效果更好，于是设计了如图甲所示的自动控温电路。其中，工作电路由加热器等元件构成；控制电路中，电源电压$U=9\mathrm{V}$，滑动变阻器R的最大阻值为$50\Omega$，热敏电阻$R_{\mathrm{t}}$的阻值随其温度t变化的图像如图乙，忽略电磁铁的电阻。初始时，室温为25℃，电磁继电器触点接通。闭合所有开关，加热器开始工作，热敏电阻温度随之升高。当控制电路中的电流$I_{\mathrm{控}}\geq 60\,\mathrm{mA}$时，衔铁被吸下，工作电路断开。工作电路断开后，当$I_{\mathrm{控}}\leq 50\,\mathrm{mA}$时，衔铁被释放，工作电路再次接通。如此往复将温度维持在最低控制温度$t_{\mathrm{低}}$和最高控制温度$t_{\mathrm{高}}$之间。</x:v>
      </x:c>
      <x:c r="L597" s="63" t="str"/>
      <x:c r="M597" s="63" t="str"/>
      <x:c r="N597" s="63" t="str">
        <x:v>https://k12static.xdf.cn/k12/image/externalized/6dec7630-9183-4c12-8ed1-e0f9a8430c86.png</x:v>
      </x:c>
      <x:c r="O597" s="63" t="str">
        <x:v>https://k12static.xdf.cn/k12/image/externalized/62533a63-9477-473d-9f06-5f1209ddef68.png</x:v>
      </x:c>
      <x:c r="P597" s="63" t="str">
        <x:v>3-5步</x:v>
      </x:c>
      <x:c r="Q597" s="63" t="str">
        <x:v>跨模块综合</x:v>
      </x:c>
      <x:c r="R597" s="63" t="str">
        <x:v>双状态</x:v>
      </x:c>
      <x:c r="S597" s="63" t="str">
        <x:v>多约束</x:v>
      </x:c>
      <x:c r="T597" s="63" t="str">
        <x:v>无</x:v>
      </x:c>
      <x:c r="U597" s="63" t="str">
        <x:v>图像反推或外推</x:v>
      </x:c>
      <x:c r="V597" s="63" t="str">
        <x:v>多层因果推理</x:v>
      </x:c>
    </x:row>
    <x:row r="598">
      <x:c r="A598" s="64" t="str">
        <x:v>​3670061256279695360</x:v>
      </x:c>
      <x:c r="B598" s="65" t="str">
        <x:v>压轴题</x:v>
      </x:c>
      <x:c r="C598" s="65" t="str">
        <x:v>压轴题</x:v>
      </x:c>
      <x:c r="D598" s="65" t="str">
        <x:v>压轴题</x:v>
      </x:c>
      <x:c r="E598" s="65" t="str">
        <x:v>逐题复核后保留GPT裁定</x:v>
      </x:c>
      <x:c r="F598" s="65" t="str">
        <x:v>高</x:v>
      </x:c>
      <x:c r="G598" s="65" t="str">
        <x:v>压轴题</x:v>
      </x:c>
      <x:c r="H598" s="65" t="str">
        <x:v>压轴题</x:v>
      </x:c>
      <x:c r="I598" s="65" t="str">
        <x:v>题目把实验方案、误差/评价或改进任务组织成多对象、多状态、多约束的共享模型网络，后续任务依赖前述状态/参数，并要求分类、临界/边界、有效解筛选或可行性验证，属于7步以上的完整耦合链。</x:v>
      </x:c>
      <x:c r="J598" s="65" t="str">
        <x:v>三次运行错题并集逐题复核</x:v>
      </x:c>
      <x:c r="K598" s="63" t="str">
        <x:v>近日，科学家提出了“冰川消亡峰值”这一具有重大警示意义的概念。研究表明，在全球升温幅度达到2.7℃的情景下，2040年至2060年间，全球平均每天或将有大约8座冰川消失。冰川的消亡不仅会导致海平面上升，还将对社会经济发展、自然环境及生态系统造成深远影响。为验证冰山消融后海平面是否上升，某物理兴趣小组设计了如下模拟实验：取一个底面积$S_{\mathrm{杯}}=200\mathrm{c}\mathrm{m}^{2}$且足够高的薄壁圆柱形玻璃杯容器，内装密度为$\rho _{\mathrm{盐水}}=1.1\mathrm{g}/\mathrm{c}\mathrm{m}^{3}$的盐水6600g。在盐水中放入一个底面积$S_{\mathrm{冰}}=100\mathrm{c}\mathrm{m}^{2}$、高6cm、密度$\rho _{\mathrm{冰}}=0.9\mathrm{g}/\mathrm{c}\mathrm{m}^{3}$的长方体冰块，冰块上表面放置一个重为1.2N、体积为80$\mathrm{cm}^{3}$的石块，此时冰块和石块整体漂浮在盐水中，如图甲所示。待液面静止后，在杯壁上标记此时液面的位置A。一段时间后，冰块完全熔化成水（石块沉入杯底），如图乙所示。（$g$取$10\mathrm{N/kg}$）</x:v>
      </x:c>
      <x:c r="L598" s="63" t="str"/>
      <x:c r="M598" s="63" t="str"/>
      <x:c r="N598" s="63" t="str">
        <x:v>https://k12static.xdf.cn/k12/image/externalized/c1e2058b-671d-41c2-a8c6-d18afd1ecd5a.png</x:v>
      </x:c>
      <x:c r="O598" s="63" t="str">
        <x:v>https://k12static.xdf.cn/k12/image/externalized/cca4c963-4d78-4e36-8e5d-e874d2af2473.png</x:v>
      </x:c>
      <x:c r="P598" s="63" t="str">
        <x:v>6-8步</x:v>
      </x:c>
      <x:c r="Q598" s="63" t="str">
        <x:v>力学综合</x:v>
      </x:c>
      <x:c r="R598" s="63" t="str">
        <x:v>双状态</x:v>
      </x:c>
      <x:c r="S598" s="63" t="str">
        <x:v>单一约束</x:v>
      </x:c>
      <x:c r="T598" s="63" t="str">
        <x:v>无</x:v>
      </x:c>
      <x:c r="U598" s="63" t="str">
        <x:v>无</x:v>
      </x:c>
      <x:c r="V598" s="63" t="str">
        <x:v>多层因果推理</x:v>
      </x:c>
    </x:row>
    <x:row r="599">
      <x:c r="A599" s="64" t="str">
        <x:v>​3670061342944444416</x:v>
      </x:c>
      <x:c r="B599" s="65" t="str">
        <x:v>压轴题</x:v>
      </x:c>
      <x:c r="C599" s="65" t="str">
        <x:v>压轴题</x:v>
      </x:c>
      <x:c r="D599" s="65" t="str">
        <x:v>压轴题</x:v>
      </x:c>
      <x:c r="E599" s="65" t="str">
        <x:v>逐题复核后保留GPT裁定</x:v>
      </x:c>
      <x:c r="F599" s="65" t="str">
        <x:v>高</x:v>
      </x:c>
      <x:c r="G599" s="65" t="str">
        <x:v>压轴题</x:v>
      </x:c>
      <x:c r="H599" s="65" t="str">
        <x:v>压轴题</x:v>
      </x:c>
      <x:c r="I599" s="65" t="str">
        <x:v>题目把受力、浮力/压强与状态变化组织成多对象、多状态、多约束的共享模型网络，后续任务依赖前述状态/参数，并要求分类、临界/边界、有效解筛选或可行性验证，属于7步以上的完整耦合链。</x:v>
      </x:c>
      <x:c r="J599" s="65" t="str">
        <x:v>三次运行错题并集逐题复核</x:v>
      </x:c>
      <x:c r="K599" s="63" t="str">
        <x:v>学习了浮力知识后，学校科技小组用一定厚度的空心塑料球模拟潜水艇进行“水下打捞”的实践活动。空心塑料球A的质量为720 g，整个塑料球体的体积为$1200\mathrm{~ cm}^{3}$，通过其内部的气压装置（未画出，忽略其质量与体积）可实现进水和排水。将A放入装有水、底面积为$200\mathrm{~ cm}^{2}$且足够高的柱形容器中漂浮，容器底部放有密度为$1.3\mathrm{~ g}/\mathrm{cm}^{3}$，边长为10 cm的正方体物块B，模拟沉底物体，B的下表面与容器底不密合，此时容器中水深为28 cm，如图甲所示。已知水的密度$\rho _{\mathrm{水}}=1.0\times 10^{3}\mathrm{~ kg}/\mathrm{m}^{3}$，g取$10\mathrm{~ N}/\mathrm{kg}$。求：</x:v>
      </x:c>
      <x:c r="L599" s="63" t="str"/>
      <x:c r="M599" s="63" t="str"/>
      <x:c r="N599" s="63" t="str">
        <x:v>https://k12static.xdf.cn/k12/image/externalized/81f4b373-4cae-4055-b055-26f0e1f2e62d.png</x:v>
      </x:c>
      <x:c r="O599" s="63" t="str">
        <x:v>https://k12static.xdf.cn/k12/image/externalized/57546dbf-d3aa-415a-8a17-c01aea825089.png</x:v>
      </x:c>
      <x:c r="P599" s="63" t="str">
        <x:v>6-8步</x:v>
      </x:c>
      <x:c r="Q599" s="63" t="str">
        <x:v>力学综合</x:v>
      </x:c>
      <x:c r="R599" s="63" t="str">
        <x:v>多状态</x:v>
      </x:c>
      <x:c r="S599" s="63" t="str">
        <x:v>多约束</x:v>
      </x:c>
      <x:c r="T599" s="63" t="str">
        <x:v>无</x:v>
      </x:c>
      <x:c r="U599" s="63" t="str">
        <x:v>无</x:v>
      </x:c>
      <x:c r="V599" s="63" t="str">
        <x:v>逆向推理或临界分析</x:v>
      </x:c>
    </x:row>
    <x:row r="600">
      <x:c r="A600" s="64" t="str">
        <x:v>​3670225466485743616</x:v>
      </x:c>
      <x:c r="B600" s="65" t="str">
        <x:v>拔高题</x:v>
      </x:c>
      <x:c r="C600" s="65" t="str">
        <x:v>拔高题</x:v>
      </x:c>
      <x:c r="D600" s="65" t="str">
        <x:v>拔高题</x:v>
      </x:c>
      <x:c r="E600" s="65" t="str">
        <x:v>逐题复核后保留GPT裁定</x:v>
      </x:c>
      <x:c r="F600" s="65" t="str">
        <x:v>高</x:v>
      </x:c>
      <x:c r="G600" s="65" t="str">
        <x:v>拔高题</x:v>
      </x:c>
      <x:c r="H600" s="65" t="str">
        <x:v>压轴题</x:v>
      </x:c>
      <x:c r="I600" s="65" t="str">
        <x:v>最高难任务在受力、浮力/压强与状态变化中包含图线反推、状态转换、误差评价、几何/等效转换、方程联立或参数反求等决定性卡点，整体约5—6个有效决策；尚未形成压轴所需的完整复杂约束网络。</x:v>
      </x:c>
      <x:c r="J600" s="65" t="str">
        <x:v>三次运行错题并集逐题复核</x:v>
      </x:c>
      <x:c r="K600" s="63" t="str">
        <x:v>如图甲所示，装修师傅在贴瓷砖前会先把瓷砖完全浸泡在水中“养”一段时间后再取出。由于浮力的影响，人们发现取出瓷砖所用的力在瓷砖上升的不同阶段中有所不同，并且在瓷砖从露出水面到完全离开水面的过程中，水槽中水位会有所下降。针对这一现象，小林设计了如图乙所示的模型，探究物体在水中上升时受到的浮力及容器中水位变化情况。将重为$16\mathrm{~ N}$的物体A放进装有一定量水的柱形容器中并沉底，$t=0\mathrm{~ s}$时开始以$6\mathrm{~ cm}/\mathrm{s}$的速度匀速直线拉升物体A，直至完全将物体A拉离水面，此过程中A所受浮力$F_{\mathrm{浮}}$随时间$t$的变化关系如图丙所示。已知柱形容器的底面积为$50\mathrm{~ cm}^{2}$，物体A不吸水，不考虑物体A出水时附带水的影响。求：（g取10N/kg）</x:v>
      </x:c>
      <x:c r="L600" s="63" t="str"/>
      <x:c r="M600" s="63" t="str"/>
      <x:c r="N600" s="63" t="str">
        <x:v>https://k12static.xdf.cn/k12/image/externalized/97a0d438-826c-42f9-8fbf-da61a20ceebb.png</x:v>
      </x:c>
      <x:c r="O600" s="63" t="str">
        <x:v>https://k12static.xdf.cn/k12/image/externalized/6e141034-2ceb-49d9-a00f-fe18fdbf7d6c.png</x:v>
      </x:c>
      <x:c r="P600" s="63" t="str">
        <x:v>6-8步</x:v>
      </x:c>
      <x:c r="Q600" s="63" t="str">
        <x:v>力学综合</x:v>
      </x:c>
      <x:c r="R600" s="63" t="str">
        <x:v>多状态</x:v>
      </x:c>
      <x:c r="S600" s="63" t="str">
        <x:v>多约束</x:v>
      </x:c>
      <x:c r="T600" s="63" t="str">
        <x:v>无</x:v>
      </x:c>
      <x:c r="U600" s="63" t="str">
        <x:v>图像反推或外推</x:v>
      </x:c>
      <x:c r="V600" s="63" t="str">
        <x:v>多层因果推理</x:v>
      </x:c>
    </x:row>
    <x:row r="601">
      <x:c r="A601" s="64" t="str">
        <x:v>​3672240166403395584</x:v>
      </x:c>
      <x:c r="B601" s="65" t="str">
        <x:v>中等题</x:v>
      </x:c>
      <x:c r="C601" s="65" t="str">
        <x:v>中等题</x:v>
      </x:c>
      <x:c r="D601" s="65" t="str">
        <x:v>中等题</x:v>
      </x:c>
      <x:c r="E601" s="65" t="str">
        <x:v>保留原GPT裁定</x:v>
      </x:c>
      <x:c r="F601" s="65" t="str">
        <x:v>高</x:v>
      </x:c>
      <x:c r="G601" s="65" t="str">
        <x:v>拔高题</x:v>
      </x:c>
      <x:c r="H601" s="65" t="str">
        <x:v>中等题</x:v>
      </x:c>
      <x:c r="I601" s="65" t="str">
        <x:v>题干、解析与结构证据支持中等题：step=3-5步，题型=力学综合，状态=双状态，约束=单一约束，推理=多层因果推理。教师、盲评和多次模型证据中未形成足以推翻原裁定的同向结构证据。</x:v>
      </x:c>
      <x:c r="J601" s="65" t="str">
        <x:v>未进入三次错题并集；逐题结构一致性复核</x:v>
      </x:c>
      <x:c r="K601" s="63" t="str">
        <x:v>如图甲所示，放在水平桌面上底面积为$100\mathrm{cm}^{2}$的薄壁柱状容器盛有水，塑料块A漂浮在水面，金属块B浸没在水中。已知塑料块A的质量为140g，体积为$300\mathrm{cm}^{3}$；金属块B的质量为120g，体积为$60\mathrm{cm}^{3}$。（g取$10\mathrm{N}/\mathrm{kg}$，$\rho _{\mathrm{水}}=1.0\times 10^{3}\mathrm{kg}/\mathrm{m}^{3}$）</x:v>
      </x:c>
      <x:c r="L601" s="63" t="str"/>
      <x:c r="M601" s="63" t="str"/>
      <x:c r="N601" s="63" t="str">
        <x:v>https://k12static.xdf.cn/k12/image/externalized/0a8163a8-5a3d-431f-b077-ad98125a53cf.png</x:v>
      </x:c>
      <x:c r="O601" s="63" t="str">
        <x:v>https://k12static.xdf.cn/k12/image/externalized/b0e294eb-52a6-44d4-a51b-9ff34e5a0dd3.png</x:v>
      </x:c>
      <x:c r="P601" s="63" t="str">
        <x:v>3-5步</x:v>
      </x:c>
      <x:c r="Q601" s="63" t="str">
        <x:v>力学综合</x:v>
      </x:c>
      <x:c r="R601" s="63" t="str">
        <x:v>双状态</x:v>
      </x:c>
      <x:c r="S601" s="63" t="str">
        <x:v>单一约束</x:v>
      </x:c>
      <x:c r="T601" s="63" t="str">
        <x:v>无</x:v>
      </x:c>
      <x:c r="U601" s="63" t="str">
        <x:v>无</x:v>
      </x:c>
      <x:c r="V601" s="63" t="str">
        <x:v>多层因果推理</x:v>
      </x:c>
    </x:row>
    <x:row r="602">
      <x:c r="A602" s="64" t="str">
        <x:v>​3672255661403885568</x:v>
      </x:c>
      <x:c r="B602" s="65" t="str">
        <x:v>中等题</x:v>
      </x:c>
      <x:c r="C602" s="65" t="str">
        <x:v>中等题</x:v>
      </x:c>
      <x:c r="D602" s="65" t="str">
        <x:v>中等题</x:v>
      </x:c>
      <x:c r="E602" s="65" t="str">
        <x:v>保留原GPT裁定</x:v>
      </x:c>
      <x:c r="F602" s="65" t="str">
        <x:v>高</x:v>
      </x:c>
      <x:c r="G602" s="65" t="str">
        <x:v>中等题</x:v>
      </x:c>
      <x:c r="H602" s="65" t="str">
        <x:v>拔高题</x:v>
      </x:c>
      <x:c r="I602" s="65" t="str">
        <x:v>题干、解析与结构证据支持中等题：step=3-5步，题型=力学综合，状态=单状态，约束=单一约束，推理=多层因果推理。教师、盲评和多次模型证据中未形成足以推翻原裁定的同向结构证据。</x:v>
      </x:c>
      <x:c r="J602" s="65" t="str">
        <x:v>未进入三次错题并集；逐题结构一致性复核</x:v>
      </x:c>
      <x:c r="K602" s="63" t="str">
        <x:v>“海琴”号ROV是由上海交通大学自主研发的自主遥控水下机器人，其搭载的机械手可采集海底沉积物等深海样品。某物理学习小组阅读新闻后深受启发，动手设计了ROV的简化力学模型，如图乙所示为模型的俯视图。该模型总重G=600 N，体积为7.2×10-2 m3，A为缆绳挂钩位置，B为几何中心。（$\rho _{\mathrm{水}}=1.0\times 10^{3}\mathrm{~ kg}/\mathrm{m}^{3}$，g=10 N/kg）求：</x:v>
      </x:c>
      <x:c r="L602" s="63" t="str"/>
      <x:c r="M602" s="63" t="str"/>
      <x:c r="N602" s="63" t="str">
        <x:v>https://k12static.xdf.cn/k12/image/externalized/a3770055-4a28-4357-a401-8e7a3841f977.png</x:v>
      </x:c>
      <x:c r="O602" s="63" t="str">
        <x:v>https://k12static.xdf.cn/k12/image/externalized/4e01133c-bb65-413e-bdd9-a4cf9977811c.png</x:v>
      </x:c>
      <x:c r="P602" s="63" t="str">
        <x:v>3-5步</x:v>
      </x:c>
      <x:c r="Q602" s="63" t="str">
        <x:v>力学综合</x:v>
      </x:c>
      <x:c r="R602" s="63" t="str">
        <x:v>单状态</x:v>
      </x:c>
      <x:c r="S602" s="63" t="str">
        <x:v>单一约束</x:v>
      </x:c>
      <x:c r="T602" s="63" t="str">
        <x:v>无</x:v>
      </x:c>
      <x:c r="U602" s="63" t="str">
        <x:v>无</x:v>
      </x:c>
      <x:c r="V602" s="63" t="str">
        <x:v>多层因果推理</x:v>
      </x:c>
    </x:row>
    <x:row r="603">
      <x:c r="A603" s="64" t="str">
        <x:v>​3672383491973595136</x:v>
      </x:c>
      <x:c r="B603" s="65" t="str">
        <x:v>中等题</x:v>
      </x:c>
      <x:c r="C603" s="65" t="str">
        <x:v>中等题</x:v>
      </x:c>
      <x:c r="D603" s="65" t="str">
        <x:v>中等题</x:v>
      </x:c>
      <x:c r="E603" s="65" t="str">
        <x:v>保留原GPT裁定</x:v>
      </x:c>
      <x:c r="F603" s="65" t="str">
        <x:v>高</x:v>
      </x:c>
      <x:c r="G603" s="65" t="str">
        <x:v>中等题</x:v>
      </x:c>
      <x:c r="H603" s="65" t="str">
        <x:v>拔高题</x:v>
      </x:c>
      <x:c r="I603" s="65" t="str">
        <x:v>题干、解析与结构证据支持中等题：step=3-5步，题型=力学综合，状态=双状态，约束=单一约束，推理=多层因果推理。教师、盲评和多次模型证据中未形成足以推翻原裁定的同向结构证据。</x:v>
      </x:c>
      <x:c r="J603" s="65" t="str">
        <x:v>未进入三次错题并集；逐题结构一致性复核</x:v>
      </x:c>
      <x:c r="K603" s="63" t="str">
        <x:v>深中通道建成世界规模最大的沉管隧道。建造海底水下隧道时，先将两端密封的沉管漂浮于海面，拖至预定位置后灌水使其下沉，再进行海底组装．如图所示，某节密封沉管质量为8×104 t，体积为8.5×104 m3，组装完成时沉管上表面处的海水深度为42 m．g取10 N/kg，海水的密度取$1\times 10^{3}\,\mathrm{kg}/\mathrm{m}^{3}$．大气压强$P_{0}=1.0\times 10^{5}\,\mathrm{Pa}$．求：</x:v>
      </x:c>
      <x:c r="L603" s="63" t="str"/>
      <x:c r="M603" s="63" t="str"/>
      <x:c r="N603" s="63" t="str">
        <x:v>https://k12static.xdf.cn/k12/image/externalized/6c1403d7-d4cf-4a62-b736-5771682fdee3.png</x:v>
      </x:c>
      <x:c r="O603" s="63" t="str">
        <x:v>https://k12static.xdf.cn/k12/image/externalized/009639c7-729e-4502-a251-8077119dc9be.png</x:v>
      </x:c>
      <x:c r="P603" s="63" t="str">
        <x:v>3-5步</x:v>
      </x:c>
      <x:c r="Q603" s="63" t="str">
        <x:v>力学综合</x:v>
      </x:c>
      <x:c r="R603" s="63" t="str">
        <x:v>双状态</x:v>
      </x:c>
      <x:c r="S603" s="63" t="str">
        <x:v>单一约束</x:v>
      </x:c>
      <x:c r="T603" s="63" t="str">
        <x:v>无</x:v>
      </x:c>
      <x:c r="U603" s="63" t="str">
        <x:v>无</x:v>
      </x:c>
      <x:c r="V603" s="63" t="str">
        <x:v>多层因果推理</x:v>
      </x:c>
    </x:row>
    <x:row r="604">
      <x:c r="A604" s="64" t="str">
        <x:v>​3673099762009743360</x:v>
      </x:c>
      <x:c r="B604" s="65" t="str">
        <x:v>中等题</x:v>
      </x:c>
      <x:c r="C604" s="65" t="str">
        <x:v>中等题</x:v>
      </x:c>
      <x:c r="D604" s="65" t="str">
        <x:v>中等题</x:v>
      </x:c>
      <x:c r="E604" s="65" t="str">
        <x:v>保留原GPT裁定</x:v>
      </x:c>
      <x:c r="F604" s="65" t="str">
        <x:v>高</x:v>
      </x:c>
      <x:c r="G604" s="65" t="str">
        <x:v>中等题</x:v>
      </x:c>
      <x:c r="H604" s="65" t="str">
        <x:v>拔高题</x:v>
      </x:c>
      <x:c r="I604" s="65" t="str">
        <x:v>题干、解析与结构证据支持中等题：step=3-5步，题型=实验探究，状态=单状态，约束=单一约束，推理=多层因果推理。教师、盲评和多次模型证据中未形成足以推翻原裁定的同向结构证据。</x:v>
      </x:c>
      <x:c r="J604" s="65" t="str">
        <x:v>未进入三次错题并集；逐题结构一致性复核</x:v>
      </x:c>
      <x:c r="K604" s="63" t="str">
        <x:v>【问题】小江同学在学习潜水时，发现自己越向下潜，耳膜和鼻腔受到的压迫感会越强烈。教练告诉她是液体压强导致的结果，而且同样的情况下，这种感觉在深海里比深水里会更强烈。小江想知道液体压强与哪些因素有关？ 【猜想】 (1)猜想1:液体压强与液体的深度有关。 (2)猜想2:液体压强与液体的密度有关。 【证据】为验证猜想，小江同学做了如图甲、乙、丙所示的实验。</x:v>
      </x:c>
      <x:c r="L604" s="63" t="str"/>
      <x:c r="M604" s="63" t="str"/>
      <x:c r="N604" s="63" t="str">
        <x:v>https://k12static.xdf.cn/k12/image/externalized/f46e9e66-4109-4442-bfd9-439527d782ca.png</x:v>
      </x:c>
      <x:c r="O604" s="63" t="str">
        <x:v>https://k12static.xdf.cn/k12/image/externalized/2da2fa5d-beb8-404f-990b-fb388c734f06.png</x:v>
      </x:c>
      <x:c r="P604" s="63" t="str">
        <x:v>3-5步</x:v>
      </x:c>
      <x:c r="Q604" s="63" t="str">
        <x:v>实验探究</x:v>
      </x:c>
      <x:c r="R604" s="63" t="str">
        <x:v>单状态</x:v>
      </x:c>
      <x:c r="S604" s="63" t="str">
        <x:v>单一约束</x:v>
      </x:c>
      <x:c r="T604" s="63" t="str">
        <x:v>控制变量或故障分析</x:v>
      </x:c>
      <x:c r="U604" s="63" t="str">
        <x:v>无</x:v>
      </x:c>
      <x:c r="V604" s="63" t="str">
        <x:v>多层因果推理</x:v>
      </x:c>
    </x:row>
    <x:row r="605">
      <x:c r="A605" s="64" t="str">
        <x:v>​3673792458882355200</x:v>
      </x:c>
      <x:c r="B605" s="65" t="str">
        <x:v>拔高题</x:v>
      </x:c>
      <x:c r="C605" s="65" t="str">
        <x:v>拔高题</x:v>
      </x:c>
      <x:c r="D605" s="65" t="str">
        <x:v>拔高题</x:v>
      </x:c>
      <x:c r="E605" s="65" t="str">
        <x:v>保留原GPT裁定</x:v>
      </x:c>
      <x:c r="F605" s="65" t="str">
        <x:v>高</x:v>
      </x:c>
      <x:c r="G605" s="65" t="str">
        <x:v>压轴题</x:v>
      </x:c>
      <x:c r="H605" s="65" t="str">
        <x:v>拔高题</x:v>
      </x:c>
      <x:c r="I605" s="65" t="str">
        <x:v>题干、解析与结构证据支持拔高题：step=3-5步，题型=力学综合，状态=双状态，约束=单一约束，推理=多层因果推理。教师、盲评和多次模型证据中未形成足以推翻原裁定的同向结构证据。</x:v>
      </x:c>
      <x:c r="J605" s="65" t="str">
        <x:v>未进入三次错题并集；逐题结构一致性复核</x:v>
      </x:c>
      <x:c r="K605" s="63" t="str">
        <x:v>如图甲所示，竖直细杆（质量不计）的上端通过力传感器固定在铁架台上，力传感器可以显示出细杆上端受到的作用力的大小，下端与质量为400g，底面积为40cm2的实心均匀圆柱体$\mathrm{M}$相连，底面积100cm2的薄壁柱形水箱（足够高）放在水平升降台上，装有30cm深的水，如图甲所示。升降台以恒定速度上升，力传感器的示数$F$随升降台上升的时间$t$的变化图像如图乙所示，$\mathrm{M}$始终保持竖直，且不吸水（$\rho _{\mathrm{水}}=1.0\times 10^{3}\mathrm{kg}/\mathrm{m}^{3}$），求：（g=10N/kg）</x:v>
      </x:c>
      <x:c r="L605" s="63" t="str"/>
      <x:c r="M605" s="63" t="str"/>
      <x:c r="N605" s="63" t="str">
        <x:v>https://k12static.xdf.cn/k12/image/externalized/930a78db-2c36-4c92-a2c4-318b5d98672d.png</x:v>
      </x:c>
      <x:c r="O605" s="63" t="str">
        <x:v>https://k12static.xdf.cn/k12/image/externalized/932e74c6-04f7-4893-b87d-20344603c4ff.png</x:v>
      </x:c>
      <x:c r="P605" s="63" t="str">
        <x:v>3-5步</x:v>
      </x:c>
      <x:c r="Q605" s="63" t="str">
        <x:v>力学综合</x:v>
      </x:c>
      <x:c r="R605" s="63" t="str">
        <x:v>双状态</x:v>
      </x:c>
      <x:c r="S605" s="63" t="str">
        <x:v>单一约束</x:v>
      </x:c>
      <x:c r="T605" s="63" t="str">
        <x:v>无</x:v>
      </x:c>
      <x:c r="U605" s="63" t="str">
        <x:v>多组比较归纳</x:v>
      </x:c>
      <x:c r="V605" s="63" t="str">
        <x:v>多层因果推理</x:v>
      </x:c>
    </x:row>
    <x:row r="606">
      <x:c r="A606" s="64" t="str">
        <x:v>​3674220825334886400</x:v>
      </x:c>
      <x:c r="B606" s="65" t="str">
        <x:v>拔高题</x:v>
      </x:c>
      <x:c r="C606" s="65" t="str">
        <x:v>拔高题</x:v>
      </x:c>
      <x:c r="D606" s="65" t="str">
        <x:v>拔高题</x:v>
      </x:c>
      <x:c r="E606" s="65" t="str">
        <x:v>逐题复核后保留GPT裁定</x:v>
      </x:c>
      <x:c r="F606" s="65" t="str">
        <x:v>中</x:v>
      </x:c>
      <x:c r="G606" s="65" t="str">
        <x:v>拔高题</x:v>
      </x:c>
      <x:c r="H606" s="65" t="str">
        <x:v>压轴题</x:v>
      </x:c>
      <x:c r="I606" s="65" t="str">
        <x:v>存在决定性反推/等效/误差/几何转换，或同一装置中的5—6步高密度综合链。 题目证据：最高难小问（小题3）实际有效物理决策为4步，五维锚定：知识量涉及电功、电功率、电阻串并联规律三个跨知识点综合；过程/对象存在三个功率挡位需要对应不同串并联状态，模型需要自主识别；数学工具为多步公式计算与推导；情境为半陌生自制保暖电路，需要理解旋钮开关的连接方式；思维层次为常规应用到综合推理之间。任务台账显示三个挡位分别对应不同电阻连接方式，需要先根据最大速热功率推导R1阻值，再验证加热挡符合铭牌，最后计算保温功率，属于连续递进的推理链。</x:v>
      </x:c>
      <x:c r="J606" s="65" t="str">
        <x:v>三次运行错题并集逐题复核</x:v>
      </x:c>
      <x:c r="K606" s="63" t="str">
        <x:v>如图1、2，全国第三、世界第七的黄陂区甘露山国际滑雪场自开业以来，吸引了全国各地冰雪运动爱好者前来游玩，引爆区域冰雪经济蓬勃发展。滑雪场内的冰雪之所以“四季不化”，原因在于场内布置有13台间歇性运行（日均运行4小时）的造雪机和72台24小时不间断运行的大型冷风机，营造了-6℃的四季恒温环境，不仅能够快速大量造雪，还能精准控制温度、湿度以保证雪粒大小，为滑雪者提供最佳的运动体验。</x:v>
      </x:c>
      <x:c r="L606" s="63" t="str"/>
      <x:c r="M606" s="63" t="str"/>
      <x:c r="N606" s="63" t="str">
        <x:v>https://k12static.xdf.cn/k12/image/externalized/62fd282b-c2e4-494f-81e1-287211e86d93.png</x:v>
      </x:c>
      <x:c r="O606" s="63" t="str">
        <x:v>https://k12static.xdf.cn/k12/image/externalized/0b32ac23-7c98-4ee8-a610-48ff7cec778c.png</x:v>
      </x:c>
      <x:c r="P606" s="63" t="str">
        <x:v>3-5步</x:v>
      </x:c>
      <x:c r="Q606" s="63" t="str">
        <x:v>跨模块综合</x:v>
      </x:c>
      <x:c r="R606" s="63" t="str">
        <x:v>多状态</x:v>
      </x:c>
      <x:c r="S606" s="63" t="str">
        <x:v>单一约束</x:v>
      </x:c>
      <x:c r="T606" s="63" t="str">
        <x:v>无</x:v>
      </x:c>
      <x:c r="U606" s="63" t="str">
        <x:v>无</x:v>
      </x:c>
      <x:c r="V606" s="63" t="str">
        <x:v>多层因果推理</x:v>
      </x:c>
    </x:row>
    <x:row r="607">
      <x:c r="A607" s="64" t="str">
        <x:v>​3674874932240367616</x:v>
      </x:c>
      <x:c r="B607" s="65" t="str">
        <x:v>中等题</x:v>
      </x:c>
      <x:c r="C607" s="65" t="str">
        <x:v>中等题</x:v>
      </x:c>
      <x:c r="D607" s="65" t="str">
        <x:v>中等题</x:v>
      </x:c>
      <x:c r="E607" s="65" t="str">
        <x:v>保留原GPT裁定</x:v>
      </x:c>
      <x:c r="F607" s="65" t="str">
        <x:v>高</x:v>
      </x:c>
      <x:c r="G607" s="65" t="str">
        <x:v>基础题</x:v>
      </x:c>
      <x:c r="H607" s="65" t="str">
        <x:v>拔高题</x:v>
      </x:c>
      <x:c r="I607" s="65" t="str">
        <x:v>题干、解析与结构证据支持中等题：step=3-5步，题型=实验探究，状态=单状态，约束=无约束，推理=多层因果推理。教师、盲评和多次模型证据中未形成足以推翻原裁定的同向结构证据。</x:v>
      </x:c>
      <x:c r="J607" s="65" t="str">
        <x:v>未进入三次错题并集；逐题结构一致性复核</x:v>
      </x:c>
      <x:c r="K607" s="63" t="str">
        <x:v>按要求完成下列填空。</x:v>
      </x:c>
      <x:c r="L607" s="63" t="str"/>
      <x:c r="M607" s="63" t="str"/>
      <x:c r="N607" s="63" t="str">
        <x:v>https://k12static.xdf.cn/k12/image/externalized/c9f68652-1f80-4081-a6ff-a255dad9f9c8.png</x:v>
      </x:c>
      <x:c r="O607" s="63" t="str">
        <x:v>https://k12static.xdf.cn/k12/image/externalized/1adfd460-04f6-44b4-b651-e1aadc32cf31.png</x:v>
      </x:c>
      <x:c r="P607" s="63" t="str">
        <x:v>3-5步</x:v>
      </x:c>
      <x:c r="Q607" s="63" t="str">
        <x:v>实验探究</x:v>
      </x:c>
      <x:c r="R607" s="63" t="str">
        <x:v>单状态</x:v>
      </x:c>
      <x:c r="S607" s="63" t="str">
        <x:v>无约束</x:v>
      </x:c>
      <x:c r="T607" s="63" t="str">
        <x:v>控制变量或故障分析</x:v>
      </x:c>
      <x:c r="U607" s="63" t="str">
        <x:v>直接读数</x:v>
      </x:c>
      <x:c r="V607" s="63" t="str">
        <x:v>多层因果推理</x:v>
      </x:c>
    </x:row>
    <x:row r="608">
      <x:c r="A608" s="64" t="str">
        <x:v>​3676865996118925312</x:v>
      </x:c>
      <x:c r="B608" s="65" t="str">
        <x:v>中等题</x:v>
      </x:c>
      <x:c r="C608" s="65" t="str">
        <x:v>中等题</x:v>
      </x:c>
      <x:c r="D608" s="65" t="str">
        <x:v>中等题</x:v>
      </x:c>
      <x:c r="E608" s="65" t="str">
        <x:v>保留原GPT裁定</x:v>
      </x:c>
      <x:c r="F608" s="65" t="str">
        <x:v>高</x:v>
      </x:c>
      <x:c r="G608" s="65" t="str">
        <x:v>中等题</x:v>
      </x:c>
      <x:c r="H608" s="65" t="str">
        <x:v>拔高题</x:v>
      </x:c>
      <x:c r="I608" s="65" t="str">
        <x:v>题干、解析与结构证据支持中等题：step=3-5步，题型=实验探究，状态=双状态，约束=无约束，推理=多层因果推理。教师、盲评和多次模型证据中未形成足以推翻原裁定的同向结构证据。</x:v>
      </x:c>
      <x:c r="J608" s="65" t="str">
        <x:v>未进入三次错题并集；逐题结构一致性复核</x:v>
      </x:c>
      <x:c r="K608" s="63" t="str">
        <x:v>小明观察到飞机在空中飞行时都有一定的迎角（机翼轴线与水平气流的夹角），飞机飞行时的升力除了与机翼形状有关外是否还与迎角大小有关？为了研究这一问题，在老师的帮助下，小明利用电风扇、升力测力计、飞机模型，按图甲方式进行实验并得出数据。挡位弱风中风强风升力F/N256</x:v>
      </x:c>
      <x:c r="L608" s="63" t="str"/>
      <x:c r="M608" s="63" t="str"/>
      <x:c r="N608" s="63" t="str">
        <x:v>https://k12static.xdf.cn/k12/image/externalized/ab8ae740-3a6b-4892-995c-96ee3481d2bd.png</x:v>
      </x:c>
      <x:c r="O608" s="63" t="str">
        <x:v>https://k12static.xdf.cn/k12/image/externalized/e21e0da6-034f-43e9-87b6-dbb7af2eb2bf.png</x:v>
      </x:c>
      <x:c r="P608" s="63" t="str">
        <x:v>3-5步</x:v>
      </x:c>
      <x:c r="Q608" s="63" t="str">
        <x:v>实验探究</x:v>
      </x:c>
      <x:c r="R608" s="63" t="str">
        <x:v>双状态</x:v>
      </x:c>
      <x:c r="S608" s="63" t="str">
        <x:v>无约束</x:v>
      </x:c>
      <x:c r="T608" s="63" t="str">
        <x:v>控制变量或故障分析</x:v>
      </x:c>
      <x:c r="U608" s="63" t="str">
        <x:v>多组比较归纳</x:v>
      </x:c>
      <x:c r="V608" s="63" t="str">
        <x:v>多层因果推理</x:v>
      </x:c>
    </x:row>
    <x:row r="609">
      <x:c r="A609" s="64" t="str">
        <x:v>​3676898461470445568</x:v>
      </x:c>
      <x:c r="B609" s="65" t="str">
        <x:v>中等题</x:v>
      </x:c>
      <x:c r="C609" s="65" t="str">
        <x:v>中等题</x:v>
      </x:c>
      <x:c r="D609" s="65" t="str">
        <x:v>中等题</x:v>
      </x:c>
      <x:c r="E609" s="65" t="str">
        <x:v>保留原GPT裁定</x:v>
      </x:c>
      <x:c r="F609" s="65" t="str">
        <x:v>高</x:v>
      </x:c>
      <x:c r="G609" s="65" t="str">
        <x:v>中等题</x:v>
      </x:c>
      <x:c r="H609" s="65" t="str">
        <x:v>压轴题</x:v>
      </x:c>
      <x:c r="I609" s="65" t="str">
        <x:v>题干、解析与结构证据支持中等题：step=3-5步，题型=跨模块综合，状态=单状态，约束=单一约束，推理=多层因果推理。教师、盲评和多次模型证据中未形成足以推翻原裁定的同向结构证据。</x:v>
      </x:c>
      <x:c r="J609" s="65" t="str">
        <x:v>未进入三次错题并集；逐题结构一致性复核</x:v>
      </x:c>
      <x:c r="K609" s="63" t="str">
        <x:v>2026年5月29日我国建造的世界最大土压平衡盾构机“焦平一号”正式下线，并将投用于世界上最大直径的土压平衡盾构高铁隧道——焦平铁路邙山隧道建设，如图甲，“焦平一号”盾构机总长约110米，总重约3500吨，装机功率高达10000千瓦。针对黄土丘陵复合地层、文物区毫米级沉降控制、近5公里独头掘进这一国内罕见的组合难题，在刀盘适应性、动力系统设计、分体始发技术、沉降控制等多个维度实现了系统性突破。</x:v>
      </x:c>
      <x:c r="L609" s="63" t="str"/>
      <x:c r="M609" s="63" t="str"/>
      <x:c r="N609" s="63" t="str">
        <x:v>https://k12static.xdf.cn/k12/image/externalized/7415aac9-e4a1-45f6-8a2b-d1ac8efc7ada.png</x:v>
      </x:c>
      <x:c r="O609" s="63" t="str">
        <x:v>https://k12static.xdf.cn/k12/image/externalized/ebae434f-c83a-41e7-ad08-5892f23a3516.png</x:v>
      </x:c>
      <x:c r="P609" s="63" t="str">
        <x:v>3-5步</x:v>
      </x:c>
      <x:c r="Q609" s="63" t="str">
        <x:v>跨模块综合</x:v>
      </x:c>
      <x:c r="R609" s="63" t="str">
        <x:v>单状态</x:v>
      </x:c>
      <x:c r="S609" s="63" t="str">
        <x:v>单一约束</x:v>
      </x:c>
      <x:c r="T609" s="63" t="str">
        <x:v>无</x:v>
      </x:c>
      <x:c r="U609" s="63" t="str">
        <x:v>无</x:v>
      </x:c>
      <x:c r="V609" s="63" t="str">
        <x:v>多层因果推理</x:v>
      </x:c>
    </x:row>
    <x:row r="610">
      <x:c r="A610" s="64" t="str">
        <x:v>​3676909170992455680</x:v>
      </x:c>
      <x:c r="B610" s="65" t="str">
        <x:v>压轴题</x:v>
      </x:c>
      <x:c r="C610" s="65" t="str">
        <x:v>压轴题</x:v>
      </x:c>
      <x:c r="D610" s="65" t="str">
        <x:v>压轴题</x:v>
      </x:c>
      <x:c r="E610" s="65" t="str">
        <x:v>逐题复核后保留GPT裁定</x:v>
      </x:c>
      <x:c r="F610" s="65" t="str">
        <x:v>高</x:v>
      </x:c>
      <x:c r="G610" s="65" t="str">
        <x:v>压轴题</x:v>
      </x:c>
      <x:c r="H610" s="65" t="str">
        <x:v>压轴题</x:v>
      </x:c>
      <x:c r="I610" s="65" t="str">
        <x:v>题目把实验方案、误差/评价或改进任务组织成多对象、多状态、多约束的共享模型网络，后续任务依赖前述状态/参数，并要求分类、临界/边界、有效解筛选或可行性验证，属于7步以上的完整耦合链。</x:v>
      </x:c>
      <x:c r="J610" s="65" t="str">
        <x:v>三次运行错题并集逐题复核</x:v>
      </x:c>
      <x:c r="K610" s="63" t="str">
        <x:v>中国海军航空母舰福建舰是我国自主建造的航空母舰，满载排水量可达8万吨。舰载机是航母战斗力的核心装备，已知空载的舰载机质量为10吨。舰载机起飞需要相对于空气达到一定的速度，因此要在甲板跑道上滑跑加速，滑跑过程中舰载机的速度ν与滑跑距离s之间的关系如图1所示。为了研究舰载机的起飞性能，技术人员通过风洞进行模拟实验，测得舰载机获得的升力F与相对空气的速度v之间的关系如图2所示。（g取10N/kg）</x:v>
      </x:c>
      <x:c r="L610" s="63" t="str"/>
      <x:c r="M610" s="63" t="str"/>
      <x:c r="N610" s="63" t="str">
        <x:v>https://k12static.xdf.cn/k12/image/externalized/2360c1d8-e9af-4bf2-8a31-51df46b6d8e1.png</x:v>
      </x:c>
      <x:c r="O610" s="63" t="str">
        <x:v>https://k12static.xdf.cn/k12/image/externalized/2e944dcb-cadd-4428-b37e-5a4163d1ee07.png</x:v>
      </x:c>
      <x:c r="P610" s="63" t="str">
        <x:v>3-5步</x:v>
      </x:c>
      <x:c r="Q610" s="63" t="str">
        <x:v>力学综合</x:v>
      </x:c>
      <x:c r="R610" s="63" t="str">
        <x:v>单状态</x:v>
      </x:c>
      <x:c r="S610" s="63" t="str">
        <x:v>单一约束</x:v>
      </x:c>
      <x:c r="T610" s="63" t="str">
        <x:v>无</x:v>
      </x:c>
      <x:c r="U610" s="63" t="str">
        <x:v>直接读数</x:v>
      </x:c>
      <x:c r="V610" s="63" t="str">
        <x:v>多层因果推理</x:v>
      </x:c>
    </x:row>
    <x:row r="611">
      <x:c r="A611" s="64" t="str">
        <x:v>​3676924369101479936</x:v>
      </x:c>
      <x:c r="B611" s="65" t="str">
        <x:v>中等题</x:v>
      </x:c>
      <x:c r="C611" s="65" t="str">
        <x:v>中等题</x:v>
      </x:c>
      <x:c r="D611" s="65" t="str">
        <x:v>中等题</x:v>
      </x:c>
      <x:c r="E611" s="65" t="str">
        <x:v>保留原GPT裁定</x:v>
      </x:c>
      <x:c r="F611" s="65" t="str">
        <x:v>高</x:v>
      </x:c>
      <x:c r="G611" s="65" t="str">
        <x:v>拔高题</x:v>
      </x:c>
      <x:c r="H611" s="65" t="str">
        <x:v>压轴题</x:v>
      </x:c>
      <x:c r="I611" s="65" t="str">
        <x:v>题干、解析与结构证据支持中等题：step=3-5步，题型=力学综合，状态=双状态，约束=单一约束，推理=多层因果推理。教师、盲评和多次模型证据中未形成足以推翻原裁定的同向结构证据。</x:v>
      </x:c>
      <x:c r="J611" s="65" t="str">
        <x:v>未进入三次错题并集；逐题结构一致性复核</x:v>
      </x:c>
      <x:c r="K611" s="63" t="str">
        <x:v>2025年“奋斗者”号载人潜水器在南海执行科考任务。潜水器通过水舱的进水和排水来改变自身重力。在某次下潜中，潜水器通过水舱注水实现了在海水中悬浮（即静止在水中任意深度）已知此时潜水器的总质量为$5.0\times 10^{4}\,\mathrm{kg}$。（海水密度取$\rho _{\mathrm{海水}}=1.1\times 10^{3}\mathrm{kg}/\mathrm{m}^{3}$，g=10N/kg，计算结果保留两位小数）</x:v>
      </x:c>
      <x:c r="L611" s="63" t="str"/>
      <x:c r="M611" s="63" t="str"/>
      <x:c r="N611" s="63" t="str">
        <x:v>https://k12static.xdf.cn/k12/image/externalized/60f1e2be-b883-47a1-91d8-62d62ad12cb8.png</x:v>
      </x:c>
      <x:c r="O611" s="63" t="str">
        <x:v>https://k12static.xdf.cn/k12/image/externalized/bb85349f-a256-4a2f-bb23-993cbde6cdca.png</x:v>
      </x:c>
      <x:c r="P611" s="63" t="str">
        <x:v>3-5步</x:v>
      </x:c>
      <x:c r="Q611" s="63" t="str">
        <x:v>力学综合</x:v>
      </x:c>
      <x:c r="R611" s="63" t="str">
        <x:v>双状态</x:v>
      </x:c>
      <x:c r="S611" s="63" t="str">
        <x:v>单一约束</x:v>
      </x:c>
      <x:c r="T611" s="63" t="str">
        <x:v>无</x:v>
      </x:c>
      <x:c r="U611" s="63" t="str">
        <x:v>无</x:v>
      </x:c>
      <x:c r="V611" s="63" t="str">
        <x:v>多层因果推理</x:v>
      </x:c>
    </x:row>
    <x:row r="612">
      <x:c r="A612" s="64" t="str">
        <x:v>​3678077259843457024</x:v>
      </x:c>
      <x:c r="B612" s="65" t="str">
        <x:v>压轴题</x:v>
      </x:c>
      <x:c r="C612" s="65" t="str">
        <x:v>压轴题</x:v>
      </x:c>
      <x:c r="D612" s="65" t="str">
        <x:v>压轴题</x:v>
      </x:c>
      <x:c r="E612" s="65" t="str">
        <x:v>逐题复核后保留GPT裁定</x:v>
      </x:c>
      <x:c r="F612" s="65" t="str">
        <x:v>高</x:v>
      </x:c>
      <x:c r="G612" s="65" t="str">
        <x:v>压轴题</x:v>
      </x:c>
      <x:c r="H612" s="65" t="str">
        <x:v>压轴题</x:v>
      </x:c>
      <x:c r="I612" s="65" t="str">
        <x:v>题目把力学模型、运动/受力与能量关系组织成多对象、多状态、多约束的共享模型网络，后续任务依赖前述状态/参数，并要求分类、临界/边界、有效解筛选或可行性验证，属于7步以上的完整耦合链。</x:v>
      </x:c>
      <x:c r="J612" s="65" t="str">
        <x:v>三次运行错题并集逐题复核</x:v>
      </x:c>
      <x:c r="K612" s="63" t="str">
        <x:v>如图所示是汽车起重机，其中定滑轮A和动滑轮B组成滑轮组，其重力分别为$G_{\mathrm{A}}$、$G_{\mathrm{B}}$。C杆伸缩可改变吊臂的长短，液压机D杆伸缩可改变吊臂与水平面的角度，O为吊臂的转动轴，装在E里的电动机牵引钢丝绳，利用滑轮组提升重物。H为在车身外侧增加的支柱，共有4个，每个支柱底面积为S，支柱可以顶起整个汽车起重机，使轮胎离开地面。某次作业中，OA杆固定，电动机工作，电动机将重为G的货物以v的速度竖直向上匀速吊起，吊起高度为h，此时电动机输出功率为P。接着在液压机D杆作用下，OA杆绕支点O逆时针旋转，液压机D杆对OA杆的作用力始终竖直向上。下列有关的叙述正确的是（ ）</x:v>
      </x:c>
      <x:c r="L612" s="63" t="str">
        <x:v>A. 起重机吊起重物G时，钢丝绳拉力$F=\dfrac{G+G_{\mathrm{B}}}{3}$ B. 起重机吊起重物G时，起重机的机械效率$\eta =\dfrac{Gv}{P}$ C. OA杆以O为支点转动过程中，液压机D杆对OA杆的作用力大小始终不变 D. 若起重机吊起的货物增加$\Delta G$，起重机对地面的压强增加$\dfrac{\Delta G}{S}$</x:v>
      </x:c>
      <x:c r="M612" s="63" t="str">
        <x:v>A．由图可知滑轮组承担物重的绳子股数 $n=3$。若不计绳重和摩擦，钢丝绳拉力 $F=\dfrac{G+G_{\mathrm{B}}}{3}$。题目未说明不计绳重和摩擦，故A错误；B．货物上升速度为 $v$，有用功的功率 $P_{\text{有}}=Gv$，电动机输出功率即总功率 $P_{\text{总}}=P$，机械效率 $\eta=\dfrac{W_{\text{有}}}{W_{\text{总}}}=\dfrac{P_{\text{有}}t}{P_{\text{总}}t}=\dfrac{Gv}{P}$故B正确；C．设 $OA$ 长为 $L_{\mathrm{A}}$，$OD$ 长为 $L_{\mathrm{D}}$，杆与水平面夹角为 $\theta$。则动力臂为$L_{\mathrm{D}}\cos \theta$，阻力臂为$L_{\mathrm{A}}\cos \theta$。滑轮组及重物对杆端的拉力 $F_{\text{阻}}$ 竖直向下，大小为 $F_{\mathrm{阻}}=G+G_{\mathrm{A}}+G_{\mathrm{B}}$液压机作用力 $F_{\text{动}}$ 竖直向上。根据杠杆平衡条件可得 $F_{\text{动}} L_{D} \cos\theta = F_{\text{阻}} L_{A} \cos\theta$则$F_{\mathrm{动}}=F_{\mathrm{阻}}\dfrac{L_{A}}{L_{D}}=\left(G+G_{\mathrm{A}}+G_{\mathrm{B}}\right)\times \dfrac{L_{\mathrm{A}}}{L_{\mathrm{D}}}$因 $F_{\text{阻}}$、$L_{\mathrm{A}}$、$L_{\mathrm{D}}$ 均不变，故 $F_{\text{动}}$ 大小始终不变，故C正确；D．起重机被4个支柱顶起，总受力面积 $S_{\text{总}}=4S$。货物增加 $\Delta G$，对地面压力增加 $\Delta F=\Delta G$，压强增加量 $\Delta p=\dfrac{\Delta F}{S_{\mathrm{总}}}=\dfrac{\Delta G}{4S}$故D错误。故选BC。</x:v>
      </x:c>
      <x:c r="N612" s="63" t="str">
        <x:v>https://k12static.xdf.cn/k12/image/externalized/36029587-e8c8-4e91-a701-56ee6b153fd1.png</x:v>
      </x:c>
      <x:c r="O612" s="63" t="str">
        <x:v>https://k12static.xdf.cn/k12/image/externalized/8ff380e6-531a-461a-bb48-c7d78cd7f5fe.png</x:v>
      </x:c>
      <x:c r="P612" s="63" t="str">
        <x:v>3-5步</x:v>
      </x:c>
      <x:c r="Q612" s="63" t="str">
        <x:v>概念判断</x:v>
      </x:c>
      <x:c r="R612" s="63" t="str">
        <x:v>双状态</x:v>
      </x:c>
      <x:c r="S612" s="63" t="str">
        <x:v>单一约束</x:v>
      </x:c>
      <x:c r="T612" s="63" t="str">
        <x:v>无</x:v>
      </x:c>
      <x:c r="U612" s="63" t="str">
        <x:v>无</x:v>
      </x:c>
      <x:c r="V612" s="63" t="str">
        <x:v>多层因果推理</x:v>
      </x:c>
    </x:row>
    <x:row r="613">
      <x:c r="A613" s="64" t="str">
        <x:v>​3678625215174500352</x:v>
      </x:c>
      <x:c r="B613" s="65" t="str">
        <x:v>中等题</x:v>
      </x:c>
      <x:c r="C613" s="65" t="str">
        <x:v>中等题</x:v>
      </x:c>
      <x:c r="D613" s="65" t="str">
        <x:v>中等题</x:v>
      </x:c>
      <x:c r="E613" s="65" t="str">
        <x:v>保留原GPT裁定</x:v>
      </x:c>
      <x:c r="F613" s="65" t="str">
        <x:v>高</x:v>
      </x:c>
      <x:c r="G613" s="65" t="str">
        <x:v>中等题</x:v>
      </x:c>
      <x:c r="H613" s="65" t="str">
        <x:v>拔高题</x:v>
      </x:c>
      <x:c r="I613" s="65" t="str">
        <x:v>题干、解析与结构证据支持中等题：step=3-5步，题型=实验探究，状态=双状态，约束=单一约束，推理=多层因果推理。教师、盲评和多次模型证据中未形成足以推翻原裁定的同向结构证据。</x:v>
      </x:c>
      <x:c r="J613" s="65" t="str">
        <x:v>未进入三次错题并集；逐题结构一致性复核</x:v>
      </x:c>
      <x:c r="K613" s="63" t="str">
        <x:v>探究“电流与电阻的关系”时，实验器材有：三节新的干电池（电压为4.5V）、电流表、电压表、滑动变阻器（标有“20Ω 2A”字样）、定值电阻5个（5Ω、10Ω、15Ω、20Ω、50Ω）、开关一个，导线若干。</x:v>
      </x:c>
      <x:c r="L613" s="63" t="str"/>
      <x:c r="M613" s="63" t="str"/>
      <x:c r="N613" s="63" t="str">
        <x:v>https://k12static.xdf.cn/k12/image/externalized/18accdb7-3e61-493e-9721-e338ffd4b753.png</x:v>
      </x:c>
      <x:c r="O613" s="63" t="str">
        <x:v>https://k12static.xdf.cn/k12/image/externalized/0e3e6155-71f9-4a42-8416-b108a21c21b7.png</x:v>
      </x:c>
      <x:c r="P613" s="63" t="str">
        <x:v>3-5步</x:v>
      </x:c>
      <x:c r="Q613" s="63" t="str">
        <x:v>实验探究</x:v>
      </x:c>
      <x:c r="R613" s="63" t="str">
        <x:v>双状态</x:v>
      </x:c>
      <x:c r="S613" s="63" t="str">
        <x:v>单一约束</x:v>
      </x:c>
      <x:c r="T613" s="63" t="str">
        <x:v>控制变量或故障分析</x:v>
      </x:c>
      <x:c r="U613" s="63" t="str">
        <x:v>多组比较归纳</x:v>
      </x:c>
      <x:c r="V613" s="63" t="str">
        <x:v>多层因果推理</x:v>
      </x:c>
    </x:row>
    <x:row r="614">
      <x:c r="A614" s="64" t="str">
        <x:v>​3678642226216914944</x:v>
      </x:c>
      <x:c r="B614" s="65" t="str">
        <x:v>中等题</x:v>
      </x:c>
      <x:c r="C614" s="65" t="str">
        <x:v>中等题</x:v>
      </x:c>
      <x:c r="D614" s="65" t="str">
        <x:v>中等题</x:v>
      </x:c>
      <x:c r="E614" s="65" t="str">
        <x:v>保留原GPT裁定</x:v>
      </x:c>
      <x:c r="F614" s="65" t="str">
        <x:v>高</x:v>
      </x:c>
      <x:c r="G614" s="65" t="str">
        <x:v>中等题</x:v>
      </x:c>
      <x:c r="H614" s="65" t="str">
        <x:v>拔高题</x:v>
      </x:c>
      <x:c r="I614" s="65" t="str">
        <x:v>题干、解析与结构证据支持中等题：step=3-5步，题型=电路综合，状态=双状态，约束=单一约束，推理=多层因果推理。教师、盲评和多次模型证据中未形成足以推翻原裁定的同向结构证据。</x:v>
      </x:c>
      <x:c r="J614" s="65" t="str">
        <x:v>未进入三次错题并集；逐题结构一致性复核</x:v>
      </x:c>
      <x:c r="K614" s="63" t="str">
        <x:v>如图，这是物理科创小组设计的金属电阻温度计简易原理图。图中电源电压U恒为3V，电流表的量程为0~15mA（不计电阻），R为滑动变阻器，金属电阻$R_{\mathrm{t}}$为温度计的测温探头。在t≥0℃时，电阻$R_{\mathrm{t}}$随温度t变化的关系为$R_{\mathrm{t}}=100+0.5t$。使用时，先把电阻$R_{\mathrm{t}}$置于温度为0℃的环境进行测量，调节滑动变阻器R的滑片P，使电流表的示数刚好达到最大测量值，并保持滑动变阻器R接入电路的阻值不变求：</x:v>
      </x:c>
      <x:c r="L614" s="63" t="str"/>
      <x:c r="M614" s="63" t="str"/>
      <x:c r="N614" s="63" t="str">
        <x:v>https://k12static.xdf.cn/k12/image/externalized/a3496d59-7736-4da4-bf3d-b6bda824a884.png</x:v>
      </x:c>
      <x:c r="O614" s="63" t="str">
        <x:v>https://k12static.xdf.cn/k12/image/externalized/a1e1c86b-f74e-4d81-8cbf-516fe5a95f4b.png</x:v>
      </x:c>
      <x:c r="P614" s="63" t="str">
        <x:v>3-5步</x:v>
      </x:c>
      <x:c r="Q614" s="63" t="str">
        <x:v>电路综合</x:v>
      </x:c>
      <x:c r="R614" s="63" t="str">
        <x:v>双状态</x:v>
      </x:c>
      <x:c r="S614" s="63" t="str">
        <x:v>单一约束</x:v>
      </x:c>
      <x:c r="T614" s="63" t="str">
        <x:v>无</x:v>
      </x:c>
      <x:c r="U614" s="63" t="str">
        <x:v>无</x:v>
      </x:c>
      <x:c r="V614" s="63" t="str">
        <x:v>多层因果推理</x:v>
      </x:c>
    </x:row>
    <x:row r="615">
      <x:c r="A615" s="64" t="str">
        <x:v>​3678642560535994368</x:v>
      </x:c>
      <x:c r="B615" s="65" t="str">
        <x:v>拔高题</x:v>
      </x:c>
      <x:c r="C615" s="65" t="str">
        <x:v>拔高题</x:v>
      </x:c>
      <x:c r="D615" s="65" t="str">
        <x:v>拔高题</x:v>
      </x:c>
      <x:c r="E615" s="65" t="str">
        <x:v>逐题复核后保留GPT裁定</x:v>
      </x:c>
      <x:c r="F615" s="65" t="str">
        <x:v>高</x:v>
      </x:c>
      <x:c r="G615" s="65" t="str">
        <x:v>拔高题</x:v>
      </x:c>
      <x:c r="H615" s="65" t="str">
        <x:v>压轴题</x:v>
      </x:c>
      <x:c r="I615" s="65" t="str">
        <x:v>存在决定性反推/等效/误差/几何转换，或同一装置中的5—6步高密度综合链。 题目证据：最长连续链实际有效物理决策共4步：1. 由压强变化和液面上升高度反求液体密度；2. 由液面上升体积得到物体一半体积，进而得到物体总体积；3. 对比甲乙两图电子秤示数的差值，推导得到物体重力与一半体积浮力的关系；4. 依次求出浮力、物体重力、密度，再逐一验证四个选项。五维锚定：知识量为力学密度、压强、浮力的关联综合，过程/对象为甲、乙两个不同状态需要分别建立受力关系，数学工具为多公式联立和代数计算，情境为常规浮力题变式，思维层次为多层因果推理。整体为双状态受力分析，多个公式联立推导，没有全链耦合或多约束筛选。</x:v>
      </x:c>
      <x:c r="J615" s="65" t="str">
        <x:v>三次运行错题并集逐题复核</x:v>
      </x:c>
      <x:c r="K615" s="63" t="str">
        <x:v>在底面积为$20\mathrm{cm}^{2}$的圆柱形容器中装适量的液体，用细线悬挂物体A，当它有一半体积浸入液体中静止时，电子秤的示数为220g，如图甲所示。当把细线剪断，物体A全部浸入液体中且沉于容器底部时，电子秤的示数为300g，如图乙所示。若前、后两次容器内液体未溢出，且液面上升了2cm，容器底部所受液体的压强增加了250Pa。g取10N/kg。下列说法正确的是（ ）</x:v>
      </x:c>
      <x:c r="L615" s="63" t="str">
        <x:v>A. 物体A的密度为$1.625\mathrm{g}/\mathrm{cm}^{3}$ B. 物体A全部放入液体中时，所受液体的浮力为0.8N C. 物体A沉在容器底部时，它对容器底的压力为0.4N D. 物体A沉在容器底部与物体A悬挂时相比，电子秤对桌面的压力增加了0.4N</x:v>
      </x:c>
      <x:c r="M615" s="63" t="str">
        <x:v>计算浮力压强时，需要液体的密度，故根据压强变化情况先求出液体密度，再根据液面上升的体积等于物体A一半的体积，求出物体A的总体积。对比甲、乙两次电子秤的示数，因为甲中电子秤示数对应容器、液体和物体A一半体积的浮力的总重力，乙中对应容器、液体和物体A的总重力，所以可据此求出物体A的重力，进而求出物体A的密度。A．容器底压强增加量$\Delta p=250\mathrm{Pa}$，液面上升高度$\Delta h=2\mathrm{cm}=0.02\mathrm{m}$则液体密度 $\rho _{\mathrm{液}}=\dfrac{\Delta p}{g\Delta h}=\dfrac{250\mathrm{Pa}}{10\mathrm{N/kg}\times 0.02\mathrm{m}}=1.25\times 10^{3}\mathrm{kg/}\mathrm{m}^{3}=1.25\mathrm{g/c}\mathrm{m}^{3}$从一半体积浸入到全部体积浸入，液面上升的体积等于A一半的体积，即$\dfrac{V_{\mathrm{A}}}{2}=S\Delta h=20\mathrm{c}\mathrm{m}^{2}\times 2\mathrm{cm}=40\mathrm{c}\mathrm{m}^{3}$因此得$V_{\mathrm{A}}=80\mathrm{c}\mathrm{m}^{3}$。根据相互作用力可知，甲中，A对液体的向下作用力等于A受到的浮力$F_{\mathrm{浮}1}$，因此电子秤的示数满足$G_{\mathrm{容}}+G_{\mathrm{液}}+F_{\mathrm{浮}1}=m_{\mathrm{甲}}g$①乙中总重力满足$G_{\mathrm{容}}+G_{\mathrm{液}}+G_{\mathrm{A}}=m_{\mathrm{乙}}g$②②式减①式得$G_{\mathrm{A}}-F_{\mathrm{浮}1}=(m_{\mathrm{乙}}-m_{\mathrm{甲}})g=(0.3\mathrm{kg}-0.22\mathrm{kg})\times 10\mathrm{N/kg}=0.8\mathrm{N}$③A一半体积浸入时，A受到的浮力$F_{\mathrm{浮}1}=\rho _{\mathrm{液}}g\cdot \dfrac{V_{\mathrm{A}}}{2}=1.25\times 10^{3}\mathrm{kg/}\mathrm{m}^{3}\times 10\mathrm{N/kg}\times 40\times 10^{-6}\mathrm{m}^{3}=0.5\mathrm{N}$代入③式得A的重力 $G_{\mathrm{A}}=0.8\mathrm{N}+F_{浮1}=0.8\mathrm{N}+0.5\mathrm{N}=1.3\mathrm{N}$则A的质量$m_{\mathrm{A}}=\dfrac{G_{\mathrm{A}}}{g}=0.13\mathrm{kg}=130\mathrm{g}$ A的密度$\rho _{A}=\dfrac{m_{A}}{V_{A}}=\dfrac{130\mathrm{g}}{80\mathrm{c}\mathrm{m}^{3}}=1.625\mathrm{g/c}\mathrm{m}^{3}$故A正确；B．A全部浸入时浮力$F_{\mathrm{浮}}=\rho _{\mathrm{液}}gV_{\mathrm{A}}=2F_{\mathrm{浮}1}=1\mathrm{N}$故B错误；C．A沉底时，对容器底的压力$F_{\mathrm{压}}=G_{\mathrm{A}}-F_{\mathrm{浮}}=1.3\mathrm{N}-1\mathrm{N}=0.3\mathrm{N}$故C错误；D．电子秤对桌面的压力增加量等于绳子拉力的大小，$\Delta F=T=G_{\mathrm{A}}-F_{\mathrm{浮}1}=0.8\mathrm{N}$故D错误。故选A。</x:v>
      </x:c>
      <x:c r="N615" s="63" t="str">
        <x:v>https://k12static.xdf.cn/k12/image/externalized/21e46ac3-4a52-4731-b97b-3cc70ae3caaf.png</x:v>
      </x:c>
      <x:c r="O615" s="63" t="str">
        <x:v>https://k12static.xdf.cn/k12/image/externalized/669e39f9-60ea-4e59-91bb-256170e4f007.png</x:v>
      </x:c>
      <x:c r="P615" s="63" t="str">
        <x:v>6-8步</x:v>
      </x:c>
      <x:c r="Q615" s="63" t="str">
        <x:v>力学综合</x:v>
      </x:c>
      <x:c r="R615" s="63" t="str">
        <x:v>双状态</x:v>
      </x:c>
      <x:c r="S615" s="63" t="str">
        <x:v>单一约束</x:v>
      </x:c>
      <x:c r="T615" s="63" t="str">
        <x:v>无</x:v>
      </x:c>
      <x:c r="U615" s="63" t="str">
        <x:v>无</x:v>
      </x:c>
      <x:c r="V615" s="63" t="str">
        <x:v>逆向推理或临界分析</x:v>
      </x:c>
    </x:row>
    <x:row r="616">
      <x:c r="A616" s="64" t="str">
        <x:v>​3678666541213175808</x:v>
      </x:c>
      <x:c r="B616" s="65" t="str">
        <x:v>中等题</x:v>
      </x:c>
      <x:c r="C616" s="65" t="str">
        <x:v>中等题</x:v>
      </x:c>
      <x:c r="D616" s="65" t="str">
        <x:v>中等题</x:v>
      </x:c>
      <x:c r="E616" s="65" t="str">
        <x:v>保留原GPT裁定</x:v>
      </x:c>
      <x:c r="F616" s="65" t="str">
        <x:v>高</x:v>
      </x:c>
      <x:c r="G616" s="65" t="str">
        <x:v>中等题</x:v>
      </x:c>
      <x:c r="H616" s="65" t="str">
        <x:v>拔高题</x:v>
      </x:c>
      <x:c r="I616" s="65" t="str">
        <x:v>题干、解析与结构证据支持中等题：step=3-5步，题型=实验探究，状态=单状态，约束=无约束，推理=多层因果推理。教师、盲评和多次模型证据中未形成足以推翻原裁定的同向结构证据。</x:v>
      </x:c>
      <x:c r="J616" s="65" t="str">
        <x:v>未进入三次错题并集；逐题结构一致性复核</x:v>
      </x:c>
      <x:c r="K616" s="63" t="str">
        <x:v>在学校“物理创新实验”社团的项目式探究活动中，同学们围绕“液体压强与浮力的关联”开展自制教具实验研究。同学们自制了双探头U形管压强计（如图甲），两个探头分别独立连接U形管A、B，可同步测量不同位置的液体压强。</x:v>
      </x:c>
      <x:c r="L616" s="63" t="str"/>
      <x:c r="M616" s="63" t="str"/>
      <x:c r="N616" s="63" t="str">
        <x:v>https://k12static.xdf.cn/k12/image/externalized/86891c1c-9f14-47df-a38f-af0aa850aabb.png</x:v>
      </x:c>
      <x:c r="O616" s="63" t="str">
        <x:v>https://k12static.xdf.cn/k12/image/externalized/6ff31b4a-f8ed-466a-a34a-35c355ea8201.png</x:v>
      </x:c>
      <x:c r="P616" s="63" t="str">
        <x:v>3-5步</x:v>
      </x:c>
      <x:c r="Q616" s="63" t="str">
        <x:v>实验探究</x:v>
      </x:c>
      <x:c r="R616" s="63" t="str">
        <x:v>单状态</x:v>
      </x:c>
      <x:c r="S616" s="63" t="str">
        <x:v>无约束</x:v>
      </x:c>
      <x:c r="T616" s="63" t="str">
        <x:v>控制变量或故障分析</x:v>
      </x:c>
      <x:c r="U616" s="63" t="str">
        <x:v>多组比较归纳</x:v>
      </x:c>
      <x:c r="V616" s="63" t="str">
        <x:v>多层因果推理</x:v>
      </x:c>
    </x:row>
    <x:row r="617">
      <x:c r="A617" s="64" t="str">
        <x:v>​3678666616429715456</x:v>
      </x:c>
      <x:c r="B617" s="65" t="str">
        <x:v>中等题</x:v>
      </x:c>
      <x:c r="C617" s="65" t="str">
        <x:v>中等题</x:v>
      </x:c>
      <x:c r="D617" s="65" t="str">
        <x:v>中等题</x:v>
      </x:c>
      <x:c r="E617" s="65" t="str">
        <x:v>保留原GPT裁定</x:v>
      </x:c>
      <x:c r="F617" s="65" t="str">
        <x:v>高</x:v>
      </x:c>
      <x:c r="G617" s="65" t="str">
        <x:v>基础题</x:v>
      </x:c>
      <x:c r="H617" s="65" t="str">
        <x:v>中等题</x:v>
      </x:c>
      <x:c r="I617" s="65" t="str">
        <x:v>题干、解析与结构证据支持中等题：step=3-5步，题型=力学综合，状态=单状态，约束=单一约束，推理=多层因果推理。教师、盲评和多次模型证据中未形成足以推翻原裁定的同向结构证据。</x:v>
      </x:c>
      <x:c r="J617" s="65" t="str">
        <x:v>未进入三次错题并集；逐题结构一致性复核</x:v>
      </x:c>
      <x:c r="K617" s="63" t="str">
        <x:v>2026年3月，青岛崂山实验室自主研发的“问海6000h”深海重载作业级ROV（遥控无人潜水器），圆满完成科考任务，最大下潜深度6523米，刷新世界6000米级ROV作业深度纪录，标志我国深海装备达到世界领先水平。已知该ROV的外形总体积为$6.0\mathrm{m}^{3}$，海水密度$\rho _{~\mathrm{海水}}=1.03\times 10^{3}\,\mathrm{kg}/\mathrm{m}^{3}$，$g$取$10\,\mathrm{N}/\mathrm{kg}$，忽略海水密度随深度的变化、缆绳拉力及浮力的微小变化，完成下列计算：</x:v>
      </x:c>
      <x:c r="L617" s="63" t="str"/>
      <x:c r="M617" s="63" t="str"/>
      <x:c r="N617" s="63" t="str">
        <x:v>https://k12static.xdf.cn/k12/image/externalized/5a542727-11ff-4d30-88e1-7b6c0f7ee611.png</x:v>
      </x:c>
      <x:c r="O617" s="63" t="str">
        <x:v>https://k12static.xdf.cn/k12/image/externalized/f87a43af-eebe-4362-b2c9-0f95986c31c7.png</x:v>
      </x:c>
      <x:c r="P617" s="63" t="str">
        <x:v>3-5步</x:v>
      </x:c>
      <x:c r="Q617" s="63" t="str">
        <x:v>力学综合</x:v>
      </x:c>
      <x:c r="R617" s="63" t="str">
        <x:v>单状态</x:v>
      </x:c>
      <x:c r="S617" s="63" t="str">
        <x:v>单一约束</x:v>
      </x:c>
      <x:c r="T617" s="63" t="str">
        <x:v>无</x:v>
      </x:c>
      <x:c r="U617" s="63" t="str">
        <x:v>无</x:v>
      </x:c>
      <x:c r="V617" s="63" t="str">
        <x:v>多层因果推理</x:v>
      </x:c>
    </x:row>
    <x:row r="618">
      <x:c r="A618" s="64" t="str">
        <x:v>​3678668549278158848</x:v>
      </x:c>
      <x:c r="B618" s="65" t="str">
        <x:v>中等题</x:v>
      </x:c>
      <x:c r="C618" s="65" t="str">
        <x:v>中等题</x:v>
      </x:c>
      <x:c r="D618" s="65" t="str">
        <x:v>中等题</x:v>
      </x:c>
      <x:c r="E618" s="65" t="str">
        <x:v>保留原GPT裁定</x:v>
      </x:c>
      <x:c r="F618" s="65" t="str">
        <x:v>高</x:v>
      </x:c>
      <x:c r="G618" s="65" t="str">
        <x:v>基础题</x:v>
      </x:c>
      <x:c r="H618" s="65" t="str">
        <x:v>拔高题</x:v>
      </x:c>
      <x:c r="I618" s="65" t="str">
        <x:v>题干、解析与结构证据支持中等题：step=3-5步，题型=实验探究，状态=单状态，约束=无约束，推理=多层因果推理。教师、盲评和多次模型证据中未形成足以推翻原裁定的同向结构证据。</x:v>
      </x:c>
      <x:c r="J618" s="65" t="str">
        <x:v>未进入三次错题并集；逐题结构一致性复核</x:v>
      </x:c>
      <x:c r="K618" s="63" t="str">
        <x:v>在学习“液体的压强”时，同学们了解到“液体内部向各个方向都有压强”后，老师把底部有小孔的无盖空透明矿泉水瓶竖直压入水中，瓶中形成了图甲中的“喷泉”。</x:v>
      </x:c>
      <x:c r="L618" s="63" t="str"/>
      <x:c r="M618" s="63" t="str"/>
      <x:c r="N618" s="63" t="str">
        <x:v>https://k12static.xdf.cn/k12/image/externalized/37dbd4d6-23ec-4789-9be8-6c9c63cadb21.png</x:v>
      </x:c>
      <x:c r="O618" s="63" t="str">
        <x:v>https://k12static.xdf.cn/k12/image/externalized/47f5b07b-9873-4d57-9f63-745674b71a02.png</x:v>
      </x:c>
      <x:c r="P618" s="63" t="str">
        <x:v>3-5步</x:v>
      </x:c>
      <x:c r="Q618" s="63" t="str">
        <x:v>实验探究</x:v>
      </x:c>
      <x:c r="R618" s="63" t="str">
        <x:v>单状态</x:v>
      </x:c>
      <x:c r="S618" s="63" t="str">
        <x:v>无约束</x:v>
      </x:c>
      <x:c r="T618" s="63" t="str">
        <x:v>控制变量或故障分析</x:v>
      </x:c>
      <x:c r="U618" s="63" t="str">
        <x:v>多组比较归纳</x:v>
      </x:c>
      <x:c r="V618" s="63" t="str">
        <x:v>多层因果推理</x:v>
      </x:c>
    </x:row>
    <x:row r="619">
      <x:c r="A619" s="64" t="str">
        <x:v>​2139833091540885506</x:v>
      </x:c>
      <x:c r="B619" s="65" t="str">
        <x:v>基础题</x:v>
      </x:c>
      <x:c r="C619" s="65" t="str">
        <x:v>基础题</x:v>
      </x:c>
      <x:c r="D619" s="65" t="str">
        <x:v>基础题</x:v>
      </x:c>
      <x:c r="E619" s="65" t="str">
        <x:v>保留原GPT裁定</x:v>
      </x:c>
      <x:c r="F619" s="65" t="str">
        <x:v>高</x:v>
      </x:c>
      <x:c r="G619" s="65" t="str">
        <x:v>基础题</x:v>
      </x:c>
      <x:c r="H619" s="65" t="str">
        <x:v>基础题</x:v>
      </x:c>
      <x:c r="I619" s="65" t="str">
        <x:v>题干、解析与结构证据支持基础题：step=1-2步，题型=概念判断，状态=单状态，约束=无约束，推理=简单因果推理。教师、盲评和多次模型证据中未形成足以推翻原裁定的同向结构证据。</x:v>
      </x:c>
      <x:c r="J619" s="65" t="str">
        <x:v>未进入三次错题并集；逐题结构一致性复核</x:v>
      </x:c>
      <x:c r="K619" s="63" t="str">
        <x:v>下面现象中是由于双耳效应产生的有$(\qquad)$</x:v>
      </x:c>
      <x:c r="L619" s="63" t="str">
        <x:v>A. 雷电来临时，电光一闪即逝，但雷声却隆隆不断 B. 将双眼蒙上，也能大致确定发声体的方位 C. 大象判断声源的位置比人判断更准确 D. 舞台上的立体声，使人有身临其境的感觉</x:v>
      </x:c>
      <x:c r="M619" s="63" t="str">
        <x:v>双耳效应：当声源偏向左耳或右耳，即偏离两耳正前方的中轴线时，声源到达左、右耳的距离存在差距，这将导致到达两耳的声音在强度、时间、相位上存在差异。</x:v>
      </x:c>
      <x:c r="N619" s="63" t="str">
        <x:v>https://k12static.xdf.cn/k12/image/externalized/89427b28-d69b-4592-afc8-4979fc03436c.png</x:v>
      </x:c>
      <x:c r="O619" s="63" t="str">
        <x:v>https://k12static.xdf.cn/k12/image/externalized/eb481012-118c-4c9a-a44c-7e06f9d45cb9.png</x:v>
      </x:c>
      <x:c r="P619" s="63" t="str">
        <x:v>1-2步</x:v>
      </x:c>
      <x:c r="Q619" s="63" t="str">
        <x:v>概念判断</x:v>
      </x:c>
      <x:c r="R619" s="63" t="str">
        <x:v>单状态</x:v>
      </x:c>
      <x:c r="S619" s="63" t="str">
        <x:v>无约束</x:v>
      </x:c>
      <x:c r="T619" s="63" t="str">
        <x:v>无</x:v>
      </x:c>
      <x:c r="U619" s="63" t="str">
        <x:v>无</x:v>
      </x:c>
      <x:c r="V619" s="63" t="str">
        <x:v>简单因果推理</x:v>
      </x:c>
    </x:row>
    <x:row r="620">
      <x:c r="A620" s="64" t="str">
        <x:v>​2139834545681850370</x:v>
      </x:c>
      <x:c r="B620" s="65" t="str">
        <x:v>中等题</x:v>
      </x:c>
      <x:c r="C620" s="65" t="str">
        <x:v>中等题</x:v>
      </x:c>
      <x:c r="D620" s="65" t="str">
        <x:v>中等题</x:v>
      </x:c>
      <x:c r="E620" s="65" t="str">
        <x:v>保留原GPT裁定</x:v>
      </x:c>
      <x:c r="F620" s="65" t="str">
        <x:v>高</x:v>
      </x:c>
      <x:c r="G620" s="65" t="str">
        <x:v>中等题</x:v>
      </x:c>
      <x:c r="H620" s="65" t="str">
        <x:v>中等题</x:v>
      </x:c>
      <x:c r="I620" s="65" t="str">
        <x:v>题干、解析与结构证据支持中等题：step=1-2步，题型=概念判断，状态=单状态，约束=无约束，推理=多层因果推理。教师、盲评和多次模型证据中未形成足以推翻原裁定的同向结构证据。</x:v>
      </x:c>
      <x:c r="J620" s="65" t="str">
        <x:v>未进入三次错题并集；逐题结构一致性复核</x:v>
      </x:c>
      <x:c r="K620" s="63" t="str">
        <x:v>下列有关摩擦力的说法中正确的是 $(\qquad)$</x:v>
      </x:c>
      <x:c r="L620" s="63" t="str">
        <x:v>A. 只有相互接触的物体间才可能产生摩擦力 B. 只要两个物体相互接触，则这两个物体间一定存在摩擦力 C. 摩擦力总是与物体的运动方向相反 D. 摩擦力总是有害的 E. 相互压紧的粗糙物体之间总是有摩擦力 F. 只要运动的物体，一定受到摩擦力的作用 G. 发生相对运动的两个物体，一定存在摩擦力 H. 运动的物体也可能产生静摩擦力 I. 有相对运动趋势的物体间有可能产生静摩擦力 J. 产生静摩擦力的两个物体间一定相对静止 K. 两个相对静止的物体间一定有静摩擦力产生 L. 有压力一定有滑动摩擦力 M. 有滑动摩擦力一定有压力 N. 滑动摩擦力总是与接触面上的压力垂直 O. 只有运动物体才受滑动摩擦力</x:v>
      </x:c>
      <x:c r="M620" s="63" t="str">
        <x:v>H 选项，举反例进行讲解，如果两个物体同时向一个方向运动，两个物体之间有相对运动趋势的话，那么运动的物体也具有静摩擦力． 产生摩擦力的必要条件（缺一不可）： $ ① $ 两个物体相互接触并挤压 $ ② $ 两个物体接触面粗糙 $ ③ $ 两个物体有相对运动趋势（静摩擦）或者相对运动（滑动摩擦） 注意总结: 摩擦力的种类与运动状态,没有必然联系； 摩擦力的方向与运动方向无必然关系。</x:v>
      </x:c>
      <x:c r="N620" s="63" t="str">
        <x:v>https://k12static.xdf.cn/k12/image/externalized/dcf70a56-138f-4f1e-b680-93f5bfb5ad63.png</x:v>
      </x:c>
      <x:c r="O620" s="63" t="str">
        <x:v>https://k12static.xdf.cn/k12/image/externalized/7c4093ef-84e6-4e1a-8e17-005d1a93549a.png</x:v>
      </x:c>
      <x:c r="P620" s="63" t="str">
        <x:v>1-2步</x:v>
      </x:c>
      <x:c r="Q620" s="63" t="str">
        <x:v>概念判断</x:v>
      </x:c>
      <x:c r="R620" s="63" t="str">
        <x:v>单状态</x:v>
      </x:c>
      <x:c r="S620" s="63" t="str">
        <x:v>无约束</x:v>
      </x:c>
      <x:c r="T620" s="63" t="str">
        <x:v>无</x:v>
      </x:c>
      <x:c r="U620" s="63" t="str">
        <x:v>无</x:v>
      </x:c>
      <x:c r="V620" s="63" t="str">
        <x:v>多层因果推理</x:v>
      </x:c>
    </x:row>
    <x:row r="621">
      <x:c r="A621" s="64" t="str">
        <x:v>​2139835289483481088</x:v>
      </x:c>
      <x:c r="B621" s="65" t="str">
        <x:v>中等题</x:v>
      </x:c>
      <x:c r="C621" s="65" t="str">
        <x:v>中等题</x:v>
      </x:c>
      <x:c r="D621" s="65" t="str">
        <x:v>中等题</x:v>
      </x:c>
      <x:c r="E621" s="65" t="str">
        <x:v>逐题复核后保留GPT裁定</x:v>
      </x:c>
      <x:c r="F621" s="65" t="str">
        <x:v>高</x:v>
      </x:c>
      <x:c r="G621" s="65" t="str">
        <x:v>中等题</x:v>
      </x:c>
      <x:c r="H621" s="65" t="str">
        <x:v>中等题</x:v>
      </x:c>
      <x:c r="I621" s="65" t="str">
        <x:v>需要围绕标准实验流程、读数与数据归纳完成常规的3—4个有效决策，或完成一套完整标准实验/共享过程分析。关系仍显性、方法常规，没有决定性隐含转换、复杂边界筛选或多状态强耦合。</x:v>
      </x:c>
      <x:c r="J621" s="65" t="str">
        <x:v>三次运行错题并集逐题复核</x:v>
      </x:c>
      <x:c r="K621" s="63" t="str">
        <x:v>如图甲所示是小华研究弹簧测力计的示数$ F$与正方体金属块$A$下表面离液面的距离$h$的关系实验装置．用弹簧测力计提着金属块$A$，使其缓慢浸入液体中（液体未溢出），得到$F$与$h$的关系图象如图乙所示．则金属块$A$一半浸在液体中受到的浮力和金属块$A$的密度分别为$(\qquad)$</x:v>
      </x:c>
      <x:c r="L621" s="63" t="str">
        <x:v>A. $4\text{N},2.5\times 1{{0}^{3}}\text{kg/}{{\text{m}}^{3}}$ B. $2\text{N},2.5\times 1{{0}^{3}}\text{kg/}{{\text{m}}^{3}}$ C. $2\text{N},2.5\times 1{{0}^{3}}\text{kg/}{{\text{m}}^{3}}$ D. $2\text{N},8.0\times 1{{0}^{3}}\text{kg/}{{\text{m}}^{3}}$</x:v>
      </x:c>
      <x:c r="M621" s="63" t="str">
        <x:v>$ （1） $ 由图知，当$h=0$时，弹簧测力计的示数为$10\text{N}$，即物体$A$的重力$G=10\text{N}$，完全浸没在液体中时，$A$受到液体的浮力：${{F}_{}}=G-F=10\text{N}-6\text{N}=4\text{N}$，故一半浸入液体中时受到的浮力为$2\text{N}$； $ （2） $ 由图可知，物体的边长为$5\text{cm}$，体积为：$V=5\text{cm}\times 5\text{cm}\times 5\text{cm=}125\text{c}{{\text{m}}^{3}}=1.25\times 1{{0}^{4}}{{\text{m}}^{3}}$物体$\text{A}$的质量：${m=}\dfrac{{G}}{{g}}=\dfrac{\text{10N}}{{\text{10N}}/{\text{kg}}\;}\text{=1kg}$物体$\text{A}$的密度：$r=\dfrac{m}{V}=\dfrac{1\text{kg}}{1.25\times 1{{0}^{-4}}{{\text{m}}^{3}}}=8\times 1{{0}^{3}}\text{kg/}{{\text{m}}^{3}}$ 故选D．</x:v>
      </x:c>
      <x:c r="N621" s="63" t="str">
        <x:v>https://k12static.xdf.cn/k12/image/externalized/5fbbdfb9-7dc1-45f0-92a5-9677eb9900f5.png</x:v>
      </x:c>
      <x:c r="O621" s="63" t="str">
        <x:v>https://k12static.xdf.cn/k12/image/externalized/03de1364-3a07-4329-9afc-25024eef051e.png</x:v>
      </x:c>
      <x:c r="P621" s="63" t="str">
        <x:v>3-5步</x:v>
      </x:c>
      <x:c r="Q621" s="63" t="str">
        <x:v>力学综合</x:v>
      </x:c>
      <x:c r="R621" s="63" t="str">
        <x:v>双状态</x:v>
      </x:c>
      <x:c r="S621" s="63" t="str">
        <x:v>单一约束</x:v>
      </x:c>
      <x:c r="T621" s="63" t="str">
        <x:v>无</x:v>
      </x:c>
      <x:c r="U621" s="63" t="str">
        <x:v>直接读数</x:v>
      </x:c>
      <x:c r="V621" s="63" t="str">
        <x:v>多层因果推理</x:v>
      </x:c>
    </x:row>
    <x:row r="622">
      <x:c r="A622" s="64" t="str">
        <x:v>​2139836038730514435</x:v>
      </x:c>
      <x:c r="B622" s="65" t="str">
        <x:v>送分题</x:v>
      </x:c>
      <x:c r="C622" s="65" t="str">
        <x:v>送分题</x:v>
      </x:c>
      <x:c r="D622" s="65" t="str">
        <x:v>送分题</x:v>
      </x:c>
      <x:c r="E622" s="65" t="str">
        <x:v>逐题复核后保留GPT裁定</x:v>
      </x:c>
      <x:c r="F622" s="65" t="str">
        <x:v>高</x:v>
      </x:c>
      <x:c r="G622" s="65" t="str">
        <x:v>送分题</x:v>
      </x:c>
      <x:c r="H622" s="65" t="str">
        <x:v>送分题</x:v>
      </x:c>
      <x:c r="I622" s="65" t="str">
        <x:v>核心只需识别一个唯一、熟悉且关系显性的教材模板（教材概念与常规物理关系），没有第二次独立物理决策；背景、选项数量或机械作答动作不增加难度。</x:v>
      </x:c>
      <x:c r="J622" s="65" t="str">
        <x:v>三次运行错题并集逐题复核</x:v>
      </x:c>
      <x:c r="K622" s="63" t="str">
        <x:v>北方的冬天往往会在玻璃窗上出现冰花，非常美丽．下列关于冰花的说法正确的是$(\qquad)$</x:v>
      </x:c>
      <x:c r="L622" s="63" t="str">
        <x:v>A. 冰花出现在室外，是凝华现象 B. 冰花出现在室内，是升华现象 C. 冰花出现在室外，是升华现象 D. 冰花出现在室内，是凝华现象</x:v>
      </x:c>
      <x:c r="M622" s="63" t="str">
        <x:v>冰花的形成是室内的温度较高的水蒸气遇到较冷的窗户上放热凝华成小冰晶形成的．</x:v>
      </x:c>
      <x:c r="N622" s="63" t="str">
        <x:v>https://k12static.xdf.cn/k12/image/externalized/2867733a-e116-4643-b3c4-0dbabb5654a0.png</x:v>
      </x:c>
      <x:c r="O622" s="63" t="str">
        <x:v>https://k12static.xdf.cn/k12/image/externalized/6bc34d2d-a4ec-4261-a4b2-ed5b46af999d.png</x:v>
      </x:c>
      <x:c r="P622" s="63" t="str">
        <x:v>1-2步</x:v>
      </x:c>
      <x:c r="Q622" s="63" t="str">
        <x:v>概念判断</x:v>
      </x:c>
      <x:c r="R622" s="63" t="str">
        <x:v>单状态</x:v>
      </x:c>
      <x:c r="S622" s="63" t="str">
        <x:v>无约束</x:v>
      </x:c>
      <x:c r="T622" s="63" t="str">
        <x:v>无</x:v>
      </x:c>
      <x:c r="U622" s="63" t="str">
        <x:v>无</x:v>
      </x:c>
      <x:c r="V622" s="63" t="str">
        <x:v>直接套用</x:v>
      </x:c>
    </x:row>
    <x:row r="623">
      <x:c r="A623" s="64" t="str">
        <x:v>​2139836203355213825</x:v>
      </x:c>
      <x:c r="B623" s="65" t="str">
        <x:v>基础题</x:v>
      </x:c>
      <x:c r="C623" s="65" t="str">
        <x:v>基础题</x:v>
      </x:c>
      <x:c r="D623" s="65" t="str">
        <x:v>基础题</x:v>
      </x:c>
      <x:c r="E623" s="65" t="str">
        <x:v>保留原GPT裁定</x:v>
      </x:c>
      <x:c r="F623" s="65" t="str">
        <x:v>高</x:v>
      </x:c>
      <x:c r="G623" s="65" t="str">
        <x:v>基础题</x:v>
      </x:c>
      <x:c r="H623" s="65" t="str">
        <x:v>基础题</x:v>
      </x:c>
      <x:c r="I623" s="65" t="str">
        <x:v>题干、解析与结构证据支持基础题：step=1-2步，题型=概念判断，状态=单状态，约束=无约束，推理=简单因果推理。教师、盲评和多次模型证据中未形成足以推翻原裁定的同向结构证据。</x:v>
      </x:c>
      <x:c r="J623" s="65" t="str">
        <x:v>未进入三次错题并集；逐题结构一致性复核</x:v>
      </x:c>
      <x:c r="K623" s="63" t="str">
        <x:v>请画出下图中小球所受弹力的力的示意图．</x:v>
      </x:c>
      <x:c r="L623" s="63" t="str"/>
      <x:c r="M623" s="63" t="str">
        <x:v>利用去除法，判断是否有弹力，图 $ 2 $ 斜面对小球也有弹力． 拆除法： ① 假设去除接触物体，判断物体运动状态是否发生变化； ② 若运动状态改变，则说明物体间存在弹力； ③ 否则，物体间不存在弹力．</x:v>
      </x:c>
      <x:c r="N623" s="63" t="str">
        <x:v>https://k12static.xdf.cn/k12/image/externalized/618849ee-a22f-4287-bd03-82f66320c1f9.png</x:v>
      </x:c>
      <x:c r="O623" s="63" t="str">
        <x:v>https://k12static.xdf.cn/k12/image/externalized/4e809277-a6f0-44ac-82f5-f183a9dd57cd.png</x:v>
      </x:c>
      <x:c r="P623" s="63" t="str">
        <x:v>1-2步</x:v>
      </x:c>
      <x:c r="Q623" s="63" t="str">
        <x:v>概念判断</x:v>
      </x:c>
      <x:c r="R623" s="63" t="str">
        <x:v>单状态</x:v>
      </x:c>
      <x:c r="S623" s="63" t="str">
        <x:v>无约束</x:v>
      </x:c>
      <x:c r="T623" s="63" t="str">
        <x:v>无</x:v>
      </x:c>
      <x:c r="U623" s="63" t="str">
        <x:v>无</x:v>
      </x:c>
      <x:c r="V623" s="63" t="str">
        <x:v>简单因果推理</x:v>
      </x:c>
    </x:row>
    <x:row r="624">
      <x:c r="A624" s="64" t="str">
        <x:v>​2139841273327095808</x:v>
      </x:c>
      <x:c r="B624" s="65" t="str">
        <x:v>基础题</x:v>
      </x:c>
      <x:c r="C624" s="65" t="str">
        <x:v>基础题</x:v>
      </x:c>
      <x:c r="D624" s="65" t="str">
        <x:v>基础题</x:v>
      </x:c>
      <x:c r="E624" s="65" t="str">
        <x:v>逐题复核后保留GPT裁定</x:v>
      </x:c>
      <x:c r="F624" s="65" t="str">
        <x:v>高</x:v>
      </x:c>
      <x:c r="G624" s="65" t="str">
        <x:v>基础题</x:v>
      </x:c>
      <x:c r="H624" s="65" t="str">
        <x:v>基础题</x:v>
      </x:c>
      <x:c r="I624" s="65" t="str">
        <x:v>多个空/选项彼此独立，不形成连续链；最高难任务属于教材概念与常规物理关系中的1—2步直接应用、规范操作或简单因果判断。需要理解/应用而非纯识记，但没有共享中间结论、完整连续过程或隐含转换。</x:v>
      </x:c>
      <x:c r="J624" s="65" t="str">
        <x:v>三次运行错题并集逐题复核</x:v>
      </x:c>
      <x:c r="K624" s="63" t="str">
        <x:v>小星同学用天平称量一个小苹果的质量时，用了一架准确的天平，其砝码盒中有以 ${\rm g}$ 为单位的 $10/20/20/50/100/100/200$ 的砝码 $7$ 个，估计小苹果的质量 $150\ {\rm g}$ 左右，测量结果为 $145\ {\rm g}$，则他加减砝码顺序正确的操作是$(\qquad)$</x:v>
      </x:c>
      <x:c r="L624" s="63" t="str">
        <x:v>A. 先加 $100\ {\rm g}$，再加 $20\ {\rm g}$，加 $20\ {\rm g}$、再将游码移到 $5\ {\rm g}$ B. 先加 $100\ {\rm g}$，再加 $50\ {\rm g}$，退 $50\ {\rm g}$，加 $20\ {\rm g}$，加 $20\ {\rm g}$、再将游码移到 $5g$ C. 先加 $100\ {\rm g}$，再加 $50\ {\rm g}$，退 $50\ {\rm g}$，加 $20\ {\rm g}$，加 $20\ {\rm g}$，加 $10\ {\rm g}$，退 $10\ {\rm g}$、再将游码移到 $5\ {\rm g}$ D. 先加 $50\ {\rm g}$，再加 $100\ {\rm g}$，退 $50\ {\rm g}$，加 $20\ {\rm g}$，加 $20\ {\rm g}$、再将游码移到 $5\ {\rm g}$</x:v>
      </x:c>
      <x:c r="M624" s="63" t="str">
        <x:v>因为天平测量物体质量时，应将砝码从大到小的顺序增减，由于估计被测物体大约为 $150\ {\rm g}$，所以应放置 $100\ {\rm g}$ 砝码，然后放置 $50\ {\rm g}$，$50\ {\rm g}$ 砝码偏大，应取下，再依次放置 $20\ {\rm g}$、$20\ {\rm g}$ 砝码，随后放置 $5\ {\rm g}$ 砝码，或移动游码，使天平平衡，ABD 错误，C 最后通过移动游码使天平平衡，也正确． 故选 C</x:v>
      </x:c>
      <x:c r="N624" s="63" t="str">
        <x:v>https://k12static.xdf.cn/k12/image/externalized/569be4cd-a826-4b3a-bb24-3ed8b5742cbe.png</x:v>
      </x:c>
      <x:c r="O624" s="63" t="str">
        <x:v>https://k12static.xdf.cn/k12/image/externalized/6cbf45ca-7553-48f2-b821-1b855bc8fbc1.png</x:v>
      </x:c>
      <x:c r="P624" s="63" t="str">
        <x:v>1-2步</x:v>
      </x:c>
      <x:c r="Q624" s="63" t="str">
        <x:v>概念判断</x:v>
      </x:c>
      <x:c r="R624" s="63" t="str">
        <x:v>单状态</x:v>
      </x:c>
      <x:c r="S624" s="63" t="str">
        <x:v>无约束</x:v>
      </x:c>
      <x:c r="T624" s="63" t="str">
        <x:v>基础操作或读数</x:v>
      </x:c>
      <x:c r="U624" s="63" t="str">
        <x:v>无</x:v>
      </x:c>
      <x:c r="V624" s="63" t="str">
        <x:v>简单因果推理</x:v>
      </x:c>
    </x:row>
    <x:row r="625">
      <x:c r="A625" s="64" t="str">
        <x:v>​2139849546469769216</x:v>
      </x:c>
      <x:c r="B625" s="65" t="str">
        <x:v>基础题</x:v>
      </x:c>
      <x:c r="C625" s="65" t="str">
        <x:v>基础题</x:v>
      </x:c>
      <x:c r="D625" s="65" t="str">
        <x:v>基础题</x:v>
      </x:c>
      <x:c r="E625" s="65" t="str">
        <x:v>保留原GPT裁定</x:v>
      </x:c>
      <x:c r="F625" s="65" t="str">
        <x:v>高</x:v>
      </x:c>
      <x:c r="G625" s="65" t="str">
        <x:v>基础题</x:v>
      </x:c>
      <x:c r="H625" s="65" t="str">
        <x:v>基础题</x:v>
      </x:c>
      <x:c r="I625" s="65" t="str">
        <x:v>题干、解析与结构证据支持基础题：step=1-2步，题型=概念判断，状态=单状态，约束=无约束，推理=简单因果推理。教师、盲评和多次模型证据中未形成足以推翻原裁定的同向结构证据。</x:v>
      </x:c>
      <x:c r="J625" s="65" t="str">
        <x:v>未进入三次错题并集；逐题结构一致性复核</x:v>
      </x:c>
      <x:c r="K625" s="63" t="str">
        <x:v>用分子动理论的观点对下列现象进行解释，其中不正确的是$(\qquad)$</x:v>
      </x:c>
      <x:c r="L625" s="63" t="str">
        <x:v>A. 两块表面光滑的铅块紧压后会结合起来—分子间存在引力 B. 破碎的玻璃无法复原—分子间存在斥力 C. 将氧气压缩装入钢瓶—分子在不停的运动 D. 刚出锅的饭菜很香—分子运动剧烈程度与温度有关</x:v>
      </x:c>
      <x:c r="M625" s="63" t="str">
        <x:v>A．两块表面平滑的铅块紧压后会结合起来，是因为分子间存在引力，故 A 正确； B．由于玻璃破裂处的绝大多数分子间距离较大，大于分子直径的 $10$ 倍，分子间的作用力就十分微弱，所以无法复原；不是因为分子之间的斥力，故 B 错误； C．氧气被压缩，说明分子之间有间隔，不能说明分子在不停的运动，故 C 错误； D．刚出锅的饭菜很香，是因为饭菜分子不停地做无规则运动带来的，且温度越高，分子无规则运动越快，故 D 正确． 故选 BC</x:v>
      </x:c>
      <x:c r="N625" s="63" t="str">
        <x:v>https://k12static.xdf.cn/k12/image/externalized/bb4a7f8f-0192-4e4b-89d8-0954a623e139.png</x:v>
      </x:c>
      <x:c r="O625" s="63" t="str">
        <x:v>https://k12static.xdf.cn/k12/image/externalized/99e940cc-1a53-4463-8a6f-12c132851ee3.png</x:v>
      </x:c>
      <x:c r="P625" s="63" t="str">
        <x:v>1-2步</x:v>
      </x:c>
      <x:c r="Q625" s="63" t="str">
        <x:v>概念判断</x:v>
      </x:c>
      <x:c r="R625" s="63" t="str">
        <x:v>单状态</x:v>
      </x:c>
      <x:c r="S625" s="63" t="str">
        <x:v>无约束</x:v>
      </x:c>
      <x:c r="T625" s="63" t="str">
        <x:v>无</x:v>
      </x:c>
      <x:c r="U625" s="63" t="str">
        <x:v>无</x:v>
      </x:c>
      <x:c r="V625" s="63" t="str">
        <x:v>简单因果推理</x:v>
      </x:c>
    </x:row>
    <x:row r="626">
      <x:c r="A626" s="64" t="str">
        <x:v>​2139853921840140288</x:v>
      </x:c>
      <x:c r="B626" s="65" t="str">
        <x:v>基础题</x:v>
      </x:c>
      <x:c r="C626" s="65" t="str">
        <x:v>基础题</x:v>
      </x:c>
      <x:c r="D626" s="65" t="str">
        <x:v>基础题</x:v>
      </x:c>
      <x:c r="E626" s="65" t="str">
        <x:v>保留原GPT裁定</x:v>
      </x:c>
      <x:c r="F626" s="65" t="str">
        <x:v>高</x:v>
      </x:c>
      <x:c r="G626" s="65" t="str">
        <x:v>基础题</x:v>
      </x:c>
      <x:c r="H626" s="65" t="str">
        <x:v>基础题</x:v>
      </x:c>
      <x:c r="I626" s="65" t="str">
        <x:v>题干、解析与结构证据支持基础题：step=1-2步，题型=光学声学综合，状态=单状态，约束=无约束，推理=简单因果推理。教师、盲评和多次模型证据中未形成足以推翻原裁定的同向结构证据。</x:v>
      </x:c>
      <x:c r="J626" s="65" t="str">
        <x:v>未进入三次错题并集；逐题结构一致性复核</x:v>
      </x:c>
      <x:c r="K626" s="63" t="str">
        <x:v>光从空气垂直射入水中，折射光线与反射光线的夹角为$(\qquad)$</x:v>
      </x:c>
      <x:c r="L626" s="63" t="str">
        <x:v>A. $0^{\circ}$ B. $90^{\circ}$ C. $45^{\circ}$ D. $180^{\circ}$</x:v>
      </x:c>
      <x:c r="M626" s="63" t="str">
        <x:v>光从空气垂直射入水中，入射角为 $0^{\circ}$，反射角等于入射角等于 $0^{\circ}$，此时传播方向不变，折射角也为 $0^{\circ}$，但折射光线与反射光线的传播方向相反所以折射光线与反射光线的夹角为 $180^{\circ}$ ．</x:v>
      </x:c>
      <x:c r="N626" s="63" t="str">
        <x:v>https://k12static.xdf.cn/k12/image/externalized/ba8cecbb-90d3-4a71-85cf-dda6243a7811.png</x:v>
      </x:c>
      <x:c r="O626" s="63" t="str">
        <x:v>https://k12static.xdf.cn/k12/image/externalized/d2baebaf-0ff0-42b8-9ea5-351499f967e9.png</x:v>
      </x:c>
      <x:c r="P626" s="63" t="str">
        <x:v>1-2步</x:v>
      </x:c>
      <x:c r="Q626" s="63" t="str">
        <x:v>光学声学综合</x:v>
      </x:c>
      <x:c r="R626" s="63" t="str">
        <x:v>单状态</x:v>
      </x:c>
      <x:c r="S626" s="63" t="str">
        <x:v>无约束</x:v>
      </x:c>
      <x:c r="T626" s="63" t="str">
        <x:v>无</x:v>
      </x:c>
      <x:c r="U626" s="63" t="str">
        <x:v>无</x:v>
      </x:c>
      <x:c r="V626" s="63" t="str">
        <x:v>简单因果推理</x:v>
      </x:c>
    </x:row>
    <x:row r="627">
      <x:c r="A627" s="64" t="str">
        <x:v>​2139863727785218048</x:v>
      </x:c>
      <x:c r="B627" s="65" t="str">
        <x:v>中等题</x:v>
      </x:c>
      <x:c r="C627" s="65" t="str">
        <x:v>中等题</x:v>
      </x:c>
      <x:c r="D627" s="65" t="str">
        <x:v>中等题</x:v>
      </x:c>
      <x:c r="E627" s="65" t="str">
        <x:v>保留原GPT裁定</x:v>
      </x:c>
      <x:c r="F627" s="65" t="str">
        <x:v>高</x:v>
      </x:c>
      <x:c r="G627" s="65" t="str">
        <x:v>中等题</x:v>
      </x:c>
      <x:c r="H627" s="65" t="str">
        <x:v>中等题</x:v>
      </x:c>
      <x:c r="I627" s="65" t="str">
        <x:v>题干、解析与结构证据支持中等题：step=3-5步，题型=力学综合，状态=双状态，约束=单一约束，推理=多层因果推理。教师、盲评和多次模型证据中未形成足以推翻原裁定的同向结构证据。</x:v>
      </x:c>
      <x:c r="J627" s="65" t="str">
        <x:v>未进入三次错题并集；逐题结构一致性复核</x:v>
      </x:c>
      <x:c r="K627" s="63" t="str">
        <x:v>某同学乘坐小船对着对面的一座高山大喊一声，$ 5\ \text{s} $ 后听到回声，已知声音在空气中的传播速度为 $ 340\ \text{m/s} $． ​​​</x:v>
      </x:c>
      <x:c r="L627" s="63" t="str"/>
      <x:c r="M627" s="63" t="str"/>
      <x:c r="N627" s="63" t="str">
        <x:v>https://k12static.xdf.cn/k12/image/externalized/d0ef58f6-b0d3-4a08-9b04-1cc26e91e2eb.png</x:v>
      </x:c>
      <x:c r="O627" s="63" t="str">
        <x:v>https://k12static.xdf.cn/k12/image/externalized/35117808-2fcf-405a-9bc6-6bee44f2c2a2.png</x:v>
      </x:c>
      <x:c r="P627" s="63" t="str">
        <x:v>3-5步</x:v>
      </x:c>
      <x:c r="Q627" s="63" t="str">
        <x:v>力学综合</x:v>
      </x:c>
      <x:c r="R627" s="63" t="str">
        <x:v>双状态</x:v>
      </x:c>
      <x:c r="S627" s="63" t="str">
        <x:v>单一约束</x:v>
      </x:c>
      <x:c r="T627" s="63" t="str">
        <x:v>无</x:v>
      </x:c>
      <x:c r="U627" s="63" t="str">
        <x:v>无</x:v>
      </x:c>
      <x:c r="V627" s="63" t="str">
        <x:v>多层因果推理</x:v>
      </x:c>
    </x:row>
    <x:row r="628">
      <x:c r="A628" s="64" t="str">
        <x:v>​2139872143004012544</x:v>
      </x:c>
      <x:c r="B628" s="65" t="str">
        <x:v>基础题</x:v>
      </x:c>
      <x:c r="C628" s="65" t="str">
        <x:v>基础题</x:v>
      </x:c>
      <x:c r="D628" s="65" t="str">
        <x:v>基础题</x:v>
      </x:c>
      <x:c r="E628" s="65" t="str">
        <x:v>逐题复核后保留GPT裁定</x:v>
      </x:c>
      <x:c r="F628" s="65" t="str">
        <x:v>高</x:v>
      </x:c>
      <x:c r="G628" s="65" t="str">
        <x:v>基础题</x:v>
      </x:c>
      <x:c r="H628" s="65" t="str">
        <x:v>基础题</x:v>
      </x:c>
      <x:c r="I628" s="65" t="str">
        <x:v>最高难任务属于光路、成像条件与几何关系中的1—2步直接应用、规范操作或简单因果判断。需要理解/应用而非纯识记，但没有共享中间结论、完整连续过程或隐含转换。</x:v>
      </x:c>
      <x:c r="J628" s="65" t="str">
        <x:v>三次运行错题并集逐题复核</x:v>
      </x:c>
      <x:c r="K628" s="63" t="str">
        <x:v>凸透镜对光有会聚作用，所以凸透镜又叫做会聚透镜．下列各图是光通过透镜前后的光路图，据此判断图中的透镜不属于凸透镜的是$(\qquad)$</x:v>
      </x:c>
      <x:c r="L628" s="63" t="str"/>
      <x:c r="M628" s="63" t="str">
        <x:v>A．据图可知，此时平行光线，经过透镜后会聚，所以对光线有会聚作用，所以是凸透镜，故 A 正确； B．据图可知，此时入射光线，经过透镜后与原来光线相比会聚，所以对光线有会聚作用，所以是凸透镜，故 B 正确； C．据图可知，此时入射光线，经过透镜后与原来光线相比发散，所以对光线有发散作用，所以是凹透镜，故 C 错误； D．据图可知，此时入射光线，经过透镜后与原来光线相比会聚，所以对光线有会聚作用，所以是凸透镜，故 D 正确．</x:v>
      </x:c>
      <x:c r="N628" s="63" t="str">
        <x:v>https://k12static.xdf.cn/k12/image/externalized/1b28a1b1-dab2-400d-9baa-1e83a271cfcb.png</x:v>
      </x:c>
      <x:c r="O628" s="63" t="str">
        <x:v>https://k12static.xdf.cn/k12/image/externalized/242eccb1-700c-45ed-a473-abdc10b3a099.png</x:v>
      </x:c>
      <x:c r="P628" s="63" t="str">
        <x:v>1-2步</x:v>
      </x:c>
      <x:c r="Q628" s="63" t="str">
        <x:v>概念判断</x:v>
      </x:c>
      <x:c r="R628" s="63" t="str">
        <x:v>单状态</x:v>
      </x:c>
      <x:c r="S628" s="63" t="str">
        <x:v>无约束</x:v>
      </x:c>
      <x:c r="T628" s="63" t="str">
        <x:v>无</x:v>
      </x:c>
      <x:c r="U628" s="63" t="str">
        <x:v>无</x:v>
      </x:c>
      <x:c r="V628" s="63" t="str">
        <x:v>直接套用</x:v>
      </x:c>
    </x:row>
    <x:row r="629">
      <x:c r="A629" s="64" t="str">
        <x:v>​2141132904058400768</x:v>
      </x:c>
      <x:c r="B629" s="65" t="str">
        <x:v>基础题</x:v>
      </x:c>
      <x:c r="C629" s="65" t="str">
        <x:v>基础题</x:v>
      </x:c>
      <x:c r="D629" s="65" t="str">
        <x:v>基础题</x:v>
      </x:c>
      <x:c r="E629" s="65" t="str">
        <x:v>保留原GPT裁定</x:v>
      </x:c>
      <x:c r="F629" s="65" t="str">
        <x:v>高</x:v>
      </x:c>
      <x:c r="G629" s="65" t="str">
        <x:v>基础题</x:v>
      </x:c>
      <x:c r="H629" s="65" t="str">
        <x:v>基础题</x:v>
      </x:c>
      <x:c r="I629" s="65" t="str">
        <x:v>题干、解析与结构证据支持基础题：step=1-2步，题型=实验探究，状态=单状态，约束=无约束，推理=直接套用。教师、盲评和多次模型证据中未形成足以推翻原裁定的同向结构证据。</x:v>
      </x:c>
      <x:c r="J629" s="65" t="str">
        <x:v>未进入三次错题并集；逐题结构一致性复核</x:v>
      </x:c>
      <x:c r="K629" s="63" t="str">
        <x:v>某同学在探究音调与什么因素有关系时，做了以下实验：</x:v>
      </x:c>
      <x:c r="L629" s="63" t="str"/>
      <x:c r="M629" s="63" t="str"/>
      <x:c r="N629" s="63" t="str">
        <x:v>https://k12static.xdf.cn/k12/image/externalized/a7be87e9-679a-48c7-9316-f715d71cd5b9.png</x:v>
      </x:c>
      <x:c r="O629" s="63" t="str">
        <x:v>https://k12static.xdf.cn/k12/image/externalized/5cd4be96-4a26-440a-a474-53b4643696e6.png</x:v>
      </x:c>
      <x:c r="P629" s="63" t="str">
        <x:v>1-2步</x:v>
      </x:c>
      <x:c r="Q629" s="63" t="str">
        <x:v>实验探究</x:v>
      </x:c>
      <x:c r="R629" s="63" t="str">
        <x:v>单状态</x:v>
      </x:c>
      <x:c r="S629" s="63" t="str">
        <x:v>无约束</x:v>
      </x:c>
      <x:c r="T629" s="63" t="str">
        <x:v>基础操作或读数</x:v>
      </x:c>
      <x:c r="U629" s="63" t="str">
        <x:v>无</x:v>
      </x:c>
      <x:c r="V629" s="63" t="str">
        <x:v>直接套用</x:v>
      </x:c>
    </x:row>
    <x:row r="630">
      <x:c r="A630" s="64" t="str">
        <x:v>​2141356039168929792</x:v>
      </x:c>
      <x:c r="B630" s="65" t="str">
        <x:v>基础题</x:v>
      </x:c>
      <x:c r="C630" s="65" t="str">
        <x:v>基础题</x:v>
      </x:c>
      <x:c r="D630" s="65" t="str">
        <x:v>基础题</x:v>
      </x:c>
      <x:c r="E630" s="65" t="str">
        <x:v>保留原GPT裁定</x:v>
      </x:c>
      <x:c r="F630" s="65" t="str">
        <x:v>高</x:v>
      </x:c>
      <x:c r="G630" s="65" t="str">
        <x:v>基础题</x:v>
      </x:c>
      <x:c r="H630" s="65" t="str">
        <x:v>基础题</x:v>
      </x:c>
      <x:c r="I630" s="65" t="str">
        <x:v>题干、解析与结构证据支持基础题：step=1-2步，题型=概念判断，状态=单状态，约束=无约束，推理=简单因果推理。教师、盲评和多次模型证据中未形成足以推翻原裁定的同向结构证据。</x:v>
      </x:c>
      <x:c r="J630" s="65" t="str">
        <x:v>未进入三次错题并集；逐题结构一致性复核</x:v>
      </x:c>
      <x:c r="K630" s="63" t="str">
        <x:v>每年都有一大批丹顶鹤从北方迁徙到我市滩涂越冬，如图所示，一只丹顶鹤正沿直线朝斜向下方向匀速滑翔，此过程中，空气对它作用力的方向$(\qquad)$</x:v>
      </x:c>
      <x:c r="L630" s="63" t="str">
        <x:v>A. 竖直向上 B. 竖直向下 C. 与运动方向相同 D. 与运动方向相反</x:v>
      </x:c>
      <x:c r="M630" s="63" t="str">
        <x:v>丹顶鹤正沿着直线斜向下方向匀速滑翔，处于平衡状态，则丹顶鹤的重力和空气对它的作用力是一对平衡力，因为重力的方向始终竖直向下，所以空气对它的作用力竖直向上． 故选 A</x:v>
      </x:c>
      <x:c r="N630" s="63" t="str">
        <x:v>https://k12static.xdf.cn/k12/image/externalized/a24a507b-a641-48fb-826d-223c45cc9f67.png</x:v>
      </x:c>
      <x:c r="O630" s="63" t="str">
        <x:v>https://k12static.xdf.cn/k12/image/externalized/78d20b09-3e03-480b-91d9-b778c0aa1f17.png</x:v>
      </x:c>
      <x:c r="P630" s="63" t="str">
        <x:v>1-2步</x:v>
      </x:c>
      <x:c r="Q630" s="63" t="str">
        <x:v>概念判断</x:v>
      </x:c>
      <x:c r="R630" s="63" t="str">
        <x:v>单状态</x:v>
      </x:c>
      <x:c r="S630" s="63" t="str">
        <x:v>无约束</x:v>
      </x:c>
      <x:c r="T630" s="63" t="str">
        <x:v>无</x:v>
      </x:c>
      <x:c r="U630" s="63" t="str">
        <x:v>无</x:v>
      </x:c>
      <x:c r="V630" s="63" t="str">
        <x:v>简单因果推理</x:v>
      </x:c>
    </x:row>
    <x:row r="631">
      <x:c r="A631" s="64" t="str">
        <x:v>​2141370671971512320</x:v>
      </x:c>
      <x:c r="B631" s="65" t="str">
        <x:v>中等题</x:v>
      </x:c>
      <x:c r="C631" s="65" t="str">
        <x:v>中等题</x:v>
      </x:c>
      <x:c r="D631" s="65" t="str">
        <x:v>中等题</x:v>
      </x:c>
      <x:c r="E631" s="65" t="str">
        <x:v>逐题复核后保留GPT裁定</x:v>
      </x:c>
      <x:c r="F631" s="65" t="str">
        <x:v>高</x:v>
      </x:c>
      <x:c r="G631" s="65" t="str">
        <x:v>中等题</x:v>
      </x:c>
      <x:c r="H631" s="65" t="str">
        <x:v>中等题</x:v>
      </x:c>
      <x:c r="I631" s="65" t="str">
        <x:v>需要围绕教材概念与常规物理关系完成常规的3—4个有效决策，或完成一套完整标准实验/共享过程分析。关系仍显性、方法常规，没有决定性隐含转换、复杂边界筛选或多状态强耦合。</x:v>
      </x:c>
      <x:c r="J631" s="65" t="str">
        <x:v>三次运行错题并集逐题复核</x:v>
      </x:c>
      <x:c r="K631" s="63" t="str">
        <x:v>如图为潜望镜工作原理图．若现有一军舰位于 $S$ 点处，则潜水艇中的人通过潜望镜看到的像的位置$(\qquad)$</x:v>
      </x:c>
      <x:c r="L631" s="63" t="str">
        <x:v>A. 在图中的 $A$ 处 B. 在图中的 $B$ 处 C. 在图中的 $C$ 处 D. 在图中的 $D$ 处</x:v>
      </x:c>
      <x:c r="M631" s="63" t="str">
        <x:v>如分析中的图，根据物体在平面镜中成像，物像到平面镜的距离相等，军舰在平面镜 $MM^\prime$ 中成像，像在A处，军舰的像又在平面镜 $NN^\prime $ 中成像，像在 $B$ 处．</x:v>
      </x:c>
      <x:c r="N631" s="63" t="str">
        <x:v>https://k12static.xdf.cn/k12/image/externalized/944bf07e-aae2-40f5-a77a-43e3c9421d46.png</x:v>
      </x:c>
      <x:c r="O631" s="63" t="str">
        <x:v>https://k12static.xdf.cn/k12/image/externalized/4d3319bd-56bc-45c3-af8f-d7e6be3bf4cd.png</x:v>
      </x:c>
      <x:c r="P631" s="63" t="str">
        <x:v>1-2步</x:v>
      </x:c>
      <x:c r="Q631" s="63" t="str">
        <x:v>光学声学综合</x:v>
      </x:c>
      <x:c r="R631" s="63" t="str">
        <x:v>单状态</x:v>
      </x:c>
      <x:c r="S631" s="63" t="str">
        <x:v>无约束</x:v>
      </x:c>
      <x:c r="T631" s="63" t="str">
        <x:v>无</x:v>
      </x:c>
      <x:c r="U631" s="63" t="str">
        <x:v>无</x:v>
      </x:c>
      <x:c r="V631" s="63" t="str">
        <x:v>简单因果推理</x:v>
      </x:c>
    </x:row>
    <x:row r="632">
      <x:c r="A632" s="64" t="str">
        <x:v>​2141597480285712384</x:v>
      </x:c>
      <x:c r="B632" s="65" t="str">
        <x:v>基础题</x:v>
      </x:c>
      <x:c r="C632" s="65" t="str">
        <x:v>基础题</x:v>
      </x:c>
      <x:c r="D632" s="65" t="str">
        <x:v>基础题</x:v>
      </x:c>
      <x:c r="E632" s="65" t="str">
        <x:v>逐题复核后保留GPT裁定</x:v>
      </x:c>
      <x:c r="F632" s="65" t="str">
        <x:v>高</x:v>
      </x:c>
      <x:c r="G632" s="65" t="str">
        <x:v>基础题</x:v>
      </x:c>
      <x:c r="H632" s="65" t="str">
        <x:v>基础题</x:v>
      </x:c>
      <x:c r="I632" s="65" t="str">
        <x:v>最高难任务为1—2步显性应用、规范操作或简单因果，没有连续模型转换。 题目证据：最长连续链实际有效物理决策为1步，五维锚定：知识量为单个知识点，过程为单对象单状态，无运算要求，情境为教材原型规律变式，思维层次为简单应用。核心任务是结合题干隐含的物重不变条件，判断两次拉力下弹簧总伸长量的变化，不属于直接识别的送分题，也达不到中等题要求。</x:v>
      </x:c>
      <x:c r="J632" s="65" t="str">
        <x:v>三次运行错题并集逐题复核</x:v>
      </x:c>
      <x:c r="K632" s="63" t="str">
        <x:v>弹簧所受到的拉力 $F$ 与弹簧的伸长量 $x$ 成正比，即 $F = kx$，$k$ 为常量，如图所示，已知当物体受到拉力 $F$ 作用时，弹簧伸长量为 $x$，则当拉力变为 $2F$ 时，弹簧伸长量为$(\qquad)$</x:v>
      </x:c>
      <x:c r="L632" s="63" t="str">
        <x:v>A. 小于 $2x$ B. 大于 $2x$ C. 等于 $2x$ D. 无法判断</x:v>
      </x:c>
      <x:c r="M632" s="63" t="str">
        <x:v>已知当物体受到拉力 $F$ 和重物 $G$ 作用时，弹簧伸长量为 $x$，如果在弹簧的弹性限度内，则当拉力变为 $2F$ 时，弹簧受到的拉力变为 $F$ 的两倍，物重不变，不计弹簧自重，根据胡克定律 $F = k\Delta x$ 可知，弹簧伸长量小于 $2x$，所以 A 正确．</x:v>
      </x:c>
      <x:c r="N632" s="63" t="str">
        <x:v>https://k12static.xdf.cn/k12/image/externalized/1f76382d-fc33-4437-b4d1-41100be53ec0.png</x:v>
      </x:c>
      <x:c r="O632" s="63" t="str">
        <x:v>https://k12static.xdf.cn/k12/image/externalized/2fe4da1e-8528-4ea2-8ea8-cae914bb58d9.png</x:v>
      </x:c>
      <x:c r="P632" s="63" t="str">
        <x:v>1-2步</x:v>
      </x:c>
      <x:c r="Q632" s="63" t="str">
        <x:v>概念判断</x:v>
      </x:c>
      <x:c r="R632" s="63" t="str">
        <x:v>双状态</x:v>
      </x:c>
      <x:c r="S632" s="63" t="str">
        <x:v>无约束</x:v>
      </x:c>
      <x:c r="T632" s="63" t="str">
        <x:v>无</x:v>
      </x:c>
      <x:c r="U632" s="63" t="str">
        <x:v>无</x:v>
      </x:c>
      <x:c r="V632" s="63" t="str">
        <x:v>简单因果推理</x:v>
      </x:c>
    </x:row>
    <x:row r="633">
      <x:c r="A633" s="64" t="str">
        <x:v>​2141922268531208192</x:v>
      </x:c>
      <x:c r="B633" s="65" t="str">
        <x:v>中等题</x:v>
      </x:c>
      <x:c r="C633" s="65" t="str">
        <x:v>中等题</x:v>
      </x:c>
      <x:c r="D633" s="65" t="str">
        <x:v>中等题</x:v>
      </x:c>
      <x:c r="E633" s="65" t="str">
        <x:v>保留原GPT裁定</x:v>
      </x:c>
      <x:c r="F633" s="65" t="str">
        <x:v>高</x:v>
      </x:c>
      <x:c r="G633" s="65" t="str">
        <x:v>中等题</x:v>
      </x:c>
      <x:c r="H633" s="65" t="str">
        <x:v>中等题</x:v>
      </x:c>
      <x:c r="I633" s="65" t="str">
        <x:v>题干、解析与结构证据支持中等题：step=3-5步，题型=热学综合，状态=双状态，约束=单一约束，推理=多层因果推理。教师、盲评和多次模型证据中未形成足以推翻原裁定的同向结构证据。</x:v>
      </x:c>
      <x:c r="J633" s="65" t="str">
        <x:v>未进入三次错题并集；逐题结构一致性复核</x:v>
      </x:c>
      <x:c r="K633" s="63" t="str">
        <x:v>质量相同的 $A$、$B$ 两金属块，把它们都加热到 $100^\circ\rm C$，然后分别投入装有质量相同、初温都为 $0^\circ\rm C$ 的 $C$、$D$ 两杯水中，测量的结果：金属块 $A$ 使 $C$ 杯的水温升高了 $10^\circ\rm C$，金属块 $B$ 使 $D$ 杯的水温升高了 $20^\circ\rm C$（不计热损失）．设两金属块比热容为 ${{c}_{\small A}}$ 和 ${{c}_{\small B}}$，则 ${{c}_{\small A}}$ 与 ${{c}_{\small B}}$ 的比值为$(\qquad)$</x:v>
      </x:c>
      <x:c r="L633" s="63" t="str">
        <x:v>A. $4:9$ B. $9:4$ C. $19:9$ D. $9:19$</x:v>
      </x:c>
      <x:c r="M633" s="63" t="str">
        <x:v>根据热平衡公式 ${{Q}_{吸}}={{Q}_{放}}$，可得到两个热平衡公式：${{c}_{\small A}}{{m}_{\small A}}\Delta {{t}_{\small A}}={{c}_{水}}{{m}_{水}}\Delta {{t}_{水}}$、${{c}_{\small B}}{{m}_{\small B}}\Delta {{t}_{\small B}}={{c}_{水}}^{\prime}{{m}_{水}}^{\prime}\Delta {{t}_{水}}^{\prime}$，依题意，金属块 $A$ 使 $C$ 杯的水温升高了 $10^\circ\rm C$，得 ${{c}_{\small A}}{{m}_{\small A}}(100^\circ\rm C-10^\circ\rm C)={{c}_{水}}{{m}_{水}}(10^\circ\rm C-0^\circ\rm C)$，化简得 ${{c}_{\small A}}{{m}_{\small A}}=\dfrac{1}{9}{{c}_{水}}{{m}_{水}}$；金属块 $B$ 使 $D$ 杯的水温升高了 $20^\circ\rm C$，得 ${{c}_{\small B}}{{m}_{\small B}}(100^\circ\rm C-20^\circ\rm C)={{c}_{水}}^{\prime}{{m}_{水}}^{\prime}(20^\circ\rm C-0^\circ\rm C)$，化简得 ${{c}_{\small B}}{{m}_{\small B}}=\dfrac{1}{4}{{c}_{水}}^{\prime}{{m}_{水}}^{\prime}$；又因为 $A$、$B$ 两金属块质量相同，$C$、$D$ 两杯水质量相同、初温都相同，所以 $\dfrac{{{c}_{\small A}}}{{{c}_{\small B}}}=\dfrac{\dfrac{1}{9}{{c}_{水}}{{m}_{水}}}{\dfrac{1}{4}{{c}_{水}}^{\prime}{{m}_{水}}^{\prime}}=\dfrac{4}{9}$，所以 A 正确．</x:v>
      </x:c>
      <x:c r="N633" s="63" t="str">
        <x:v>https://k12static.xdf.cn/k12/image/externalized/d25351c4-1410-4012-9db8-a12cfc91b337.png</x:v>
      </x:c>
      <x:c r="O633" s="63" t="str">
        <x:v>https://k12static.xdf.cn/k12/image/externalized/9ba951aa-aa52-44b0-8ed4-e1099ed49e61.png</x:v>
      </x:c>
      <x:c r="P633" s="63" t="str">
        <x:v>3-5步</x:v>
      </x:c>
      <x:c r="Q633" s="63" t="str">
        <x:v>热学综合</x:v>
      </x:c>
      <x:c r="R633" s="63" t="str">
        <x:v>双状态</x:v>
      </x:c>
      <x:c r="S633" s="63" t="str">
        <x:v>单一约束</x:v>
      </x:c>
      <x:c r="T633" s="63" t="str">
        <x:v>无</x:v>
      </x:c>
      <x:c r="U633" s="63" t="str">
        <x:v>无</x:v>
      </x:c>
      <x:c r="V633" s="63" t="str">
        <x:v>多层因果推理</x:v>
      </x:c>
    </x:row>
    <x:row r="634">
      <x:c r="A634" s="64" t="str">
        <x:v>​2142913623805730816</x:v>
      </x:c>
      <x:c r="B634" s="65" t="str">
        <x:v>基础题</x:v>
      </x:c>
      <x:c r="C634" s="65" t="str">
        <x:v>基础题</x:v>
      </x:c>
      <x:c r="D634" s="65" t="str">
        <x:v>基础题</x:v>
      </x:c>
      <x:c r="E634" s="65" t="str">
        <x:v>保留原GPT裁定</x:v>
      </x:c>
      <x:c r="F634" s="65" t="str">
        <x:v>高</x:v>
      </x:c>
      <x:c r="G634" s="65" t="str">
        <x:v>基础题</x:v>
      </x:c>
      <x:c r="H634" s="65" t="str">
        <x:v>基础题</x:v>
      </x:c>
      <x:c r="I634" s="65" t="str">
        <x:v>题干、解析与结构证据支持基础题：step=1-2步，题型=概念判断，状态=单状态，约束=无约束，推理=简单因果推理。教师、盲评和多次模型证据中未形成足以推翻原裁定的同向结构证据。</x:v>
      </x:c>
      <x:c r="J634" s="65" t="str">
        <x:v>未进入三次错题并集；逐题结构一致性复核</x:v>
      </x:c>
      <x:c r="K634" s="63" t="str">
        <x:v>1．对比图中我国2017年发电量和2030年预测发电量，预测$(\qquad)$</x:v>
      </x:c>
      <x:c r="L634" s="63" t="str">
        <x:v>A. 火电发电量将减少 B. 水电发电量将增加 C. 我国将以核能发电为主 D. 风电发电量占总发电量的比例将减小</x:v>
      </x:c>
      <x:c r="M634" s="63" t="str">
        <x:v>有两个图可以看出A. 火电发电量将减少有46627亿千瓦时增加为47570亿千瓦时，故A错误；B.2017年水电发电量是11898亿千瓦时，2030年是15900亿千瓦时，故 水电发电量将增加正确；C. 由图可以看出我国还是以火力发电为主 ，故C错误； D. 风电发电量占总发电量的比例由5%变为了12%，所以风电发电量占总发电量的比例将增加．故答案为B.</x:v>
      </x:c>
      <x:c r="N634" s="63" t="str">
        <x:v>https://k12static.xdf.cn/k12/image/externalized/de0a441e-c527-40ba-81c2-b966f262d497.png</x:v>
      </x:c>
      <x:c r="O634" s="63" t="str">
        <x:v>https://k12static.xdf.cn/k12/image/externalized/55cadf30-b512-4e4a-9b18-f8ba40554b72.png</x:v>
      </x:c>
      <x:c r="P634" s="63" t="str">
        <x:v>1-2步</x:v>
      </x:c>
      <x:c r="Q634" s="63" t="str">
        <x:v>概念判断</x:v>
      </x:c>
      <x:c r="R634" s="63" t="str">
        <x:v>单状态</x:v>
      </x:c>
      <x:c r="S634" s="63" t="str">
        <x:v>无约束</x:v>
      </x:c>
      <x:c r="T634" s="63" t="str">
        <x:v>无</x:v>
      </x:c>
      <x:c r="U634" s="63" t="str">
        <x:v>直接读数</x:v>
      </x:c>
      <x:c r="V634" s="63" t="str">
        <x:v>简单因果推理</x:v>
      </x:c>
    </x:row>
    <x:row r="635">
      <x:c r="A635" s="64" t="str">
        <x:v>​2222328728959791104</x:v>
      </x:c>
      <x:c r="B635" s="65" t="str">
        <x:v>中等题</x:v>
      </x:c>
      <x:c r="C635" s="65" t="str">
        <x:v>中等题</x:v>
      </x:c>
      <x:c r="D635" s="65" t="str">
        <x:v>中等题</x:v>
      </x:c>
      <x:c r="E635" s="65" t="str">
        <x:v>保留原GPT裁定</x:v>
      </x:c>
      <x:c r="F635" s="65" t="str">
        <x:v>高</x:v>
      </x:c>
      <x:c r="G635" s="65" t="str">
        <x:v>中等题</x:v>
      </x:c>
      <x:c r="H635" s="65" t="str">
        <x:v>中等题</x:v>
      </x:c>
      <x:c r="I635" s="65" t="str">
        <x:v>题干、解析与结构证据支持中等题：step=3-5步，题型=力学综合，状态=双状态，约束=单一约束，推理=多层因果推理。教师、盲评和多次模型证据中未形成足以推翻原裁定的同向结构证据。</x:v>
      </x:c>
      <x:c r="J635" s="65" t="str">
        <x:v>未进入三次错题并集；逐题结构一致性复核</x:v>
      </x:c>
      <x:c r="K635" s="63" t="str">
        <x:v>如图所示，甲是放在水平桌面上的重为10N的木块，重为6N钩码乙通过细绳绕过定滑轮带动甲做匀速直线运动，若要用力将甲物块向左水平匀速拉动，拉力大小为（ ）</x:v>
      </x:c>
      <x:c r="L635" s="63" t="str">
        <x:v>A. 4N B. 6N C. 12N D. 16N</x:v>
      </x:c>
      <x:c r="M635" s="63" t="str">
        <x:v>解： 钩码通过定滑轮拉着木块向右进行匀速直线运动，木块水平方向上受到水平向右6N的拉力和水平向左的滑动摩擦力作用，这两个力是平衡力，大小相等，所以滑动摩擦力是f=6N； 对木块施加一个水平向左的拉力F左，使木块拉动钩码匀速上升，木块向左匀速直线运动，木块水平方向上受到水平向左的拉力F、水平向右的滑动摩擦力、水平向右的拉力F=6N，水平向左的拉力F与水平向右的拉力F、滑动摩擦力是平衡力，所以F左=F+f=6N+6N=12N，故C正确。 故选：C。</x:v>
      </x:c>
      <x:c r="N635" s="63" t="str">
        <x:v>https://k12static.xdf.cn/k12/image/externalized/3cda133e-0b15-4e28-a32a-7cd5df2c4d20.png</x:v>
      </x:c>
      <x:c r="O635" s="63" t="str">
        <x:v>https://k12static.xdf.cn/k12/image/externalized/27cf08ae-3862-4cb6-b6d7-722f3388b48d.png</x:v>
      </x:c>
      <x:c r="P635" s="63" t="str">
        <x:v>3-5步</x:v>
      </x:c>
      <x:c r="Q635" s="63" t="str">
        <x:v>力学综合</x:v>
      </x:c>
      <x:c r="R635" s="63" t="str">
        <x:v>双状态</x:v>
      </x:c>
      <x:c r="S635" s="63" t="str">
        <x:v>单一约束</x:v>
      </x:c>
      <x:c r="T635" s="63" t="str">
        <x:v>无</x:v>
      </x:c>
      <x:c r="U635" s="63" t="str">
        <x:v>无</x:v>
      </x:c>
      <x:c r="V635" s="63" t="str">
        <x:v>多层因果推理</x:v>
      </x:c>
    </x:row>
    <x:row r="636">
      <x:c r="A636" s="64" t="str">
        <x:v>​2222429182004248576</x:v>
      </x:c>
      <x:c r="B636" s="65" t="str">
        <x:v>中等题</x:v>
      </x:c>
      <x:c r="C636" s="65" t="str">
        <x:v>中等题</x:v>
      </x:c>
      <x:c r="D636" s="65" t="str">
        <x:v>中等题</x:v>
      </x:c>
      <x:c r="E636" s="65" t="str">
        <x:v>逐题复核后保留GPT裁定</x:v>
      </x:c>
      <x:c r="F636" s="65" t="str">
        <x:v>高</x:v>
      </x:c>
      <x:c r="G636" s="65" t="str">
        <x:v>中等题</x:v>
      </x:c>
      <x:c r="H636" s="65" t="str">
        <x:v>中等题</x:v>
      </x:c>
      <x:c r="I636" s="65" t="str">
        <x:v>存在约3—4步常规连续分析、共享过程或完整标准实验任务，关系仍显性。 题目证据：本题为活塞式抽水机工作原理的四选项判断题，最高难选项实际有效推理约2步。五维中知识量为2-3个关联力学知识点，过程/对象为两个不同操作状态的受力和阀门状态分析，思维层次为常规应用分析，知识和推理支撑达到中等档要求。各选项围绕抽水机的工作原理、受力方向、阀门动作和大气压限制四个不同环节展开，对同一装置的工作过程进行完整分析。</x:v>
      </x:c>
      <x:c r="J636" s="65" t="str">
        <x:v>三次运行错题并集逐题复核</x:v>
      </x:c>
      <x:c r="K636" s="63" t="str">
        <x:v>如图是活塞式抽水机工作的示意图，下列说法正确的是（ ）</x:v>
      </x:c>
      <x:c r="L636" s="63" t="str">
        <x:v>A. 抽水机是利用大气压来工作的 B. 在图甲中，当用力在Q处向下压手柄PQ时，手柄上的P点受到的作用力竖直向上 C. 在Q点向上抬手柄PQ时，阀门B由于受液体压力而关闭，水被阻不能向下流动 D. 这样的抽水机提升水的最大高度约为10m</x:v>
      </x:c>
      <x:c r="M636" s="63" t="str">
        <x:v>解： A、抽水机是先将筒内的空气排出，使其内部压强较小，水在外界大气压的作用下被压到高处，所以抽水机是利用大气压工作的，故A正确； B、在图甲中，当用力在Q处向下压手柄PQ时，手柄上的P点对活塞有一个向上的力，由于物体间力的作用是相互的，活塞对P的作用力是向下的，故B错误； C、在图乙中，在Q点向上抬手柄PQ时，阀门B由于受液体压力而关闭，形成一个闭合的空间，所以水被阻不能向下流动，故C正确； D、抽水机是利用大气压来工作的，一标准气压能支持10m高的水柱，故抽水机提升水的最大高度约为10m,故D正确。 故选：ACD。</x:v>
      </x:c>
      <x:c r="N636" s="63" t="str">
        <x:v>https://k12static.xdf.cn/k12/image/externalized/480590e9-ae05-46ab-9121-5ad894aae74b.png</x:v>
      </x:c>
      <x:c r="O636" s="63" t="str">
        <x:v>https://k12static.xdf.cn/k12/image/externalized/a1398fbc-9dac-4fb7-8411-04df2c18d547.png</x:v>
      </x:c>
      <x:c r="P636" s="63" t="str">
        <x:v>1-2步</x:v>
      </x:c>
      <x:c r="Q636" s="63" t="str">
        <x:v>概念判断</x:v>
      </x:c>
      <x:c r="R636" s="63" t="str">
        <x:v>单状态</x:v>
      </x:c>
      <x:c r="S636" s="63" t="str">
        <x:v>无约束</x:v>
      </x:c>
      <x:c r="T636" s="63" t="str">
        <x:v>无</x:v>
      </x:c>
      <x:c r="U636" s="63" t="str">
        <x:v>无</x:v>
      </x:c>
      <x:c r="V636" s="63" t="str">
        <x:v>多层因果推理</x:v>
      </x:c>
    </x:row>
    <x:row r="637">
      <x:c r="A637" s="64" t="str">
        <x:v>​2222666753355497472</x:v>
      </x:c>
      <x:c r="B637" s="65" t="str">
        <x:v>送分题</x:v>
      </x:c>
      <x:c r="C637" s="65" t="str">
        <x:v>送分题</x:v>
      </x:c>
      <x:c r="D637" s="65" t="str">
        <x:v>送分题</x:v>
      </x:c>
      <x:c r="E637" s="65" t="str">
        <x:v>保留原GPT裁定</x:v>
      </x:c>
      <x:c r="F637" s="65" t="str">
        <x:v>高</x:v>
      </x:c>
      <x:c r="G637" s="65" t="str">
        <x:v>送分题</x:v>
      </x:c>
      <x:c r="H637" s="65" t="str">
        <x:v>送分题</x:v>
      </x:c>
      <x:c r="I637" s="65" t="str">
        <x:v>题干、解析与结构证据支持送分题：step=1-2步，题型=概念判断，状态=单状态，约束=无约束，推理=直接套用。教师、盲评和多次模型证据中未形成足以推翻原裁定的同向结构证据。</x:v>
      </x:c>
      <x:c r="J637" s="65" t="str">
        <x:v>未进入三次错题并集；逐题结构一致性复核</x:v>
      </x:c>
      <x:c r="K637" s="63" t="str">
        <x:v>在太阳系中，月球属于（ ）</x:v>
      </x:c>
      <x:c r="L637" s="63" t="str">
        <x:v>A. 彗星 B. 恒星 C. 行星 D. 卫星</x:v>
      </x:c>
      <x:c r="M637" s="63" t="str">
        <x:v>解：A、彗星本身能发光，月亮不会发光，月亮反射太阳光，故A错误。 B、恒星本身能发光，月亮不会发光，月亮反射太阳光，故B错误。 C、行星是不发光的天体，行星是绕恒星运转的，月亮本身不发光，月亮是绕地球这颗行星运转，所以月亮不是行星，故C错误。 D、卫星是指围绕行星轨道转动的天然天体，月亮是绕地球这颗行星运转，所以月亮不是行星，故D正确。 故选：D。</x:v>
      </x:c>
      <x:c r="N637" s="63" t="str">
        <x:v>https://k12static.xdf.cn/k12/image/externalized/25a7cfd8-5ceb-4e7c-93e7-9750763da04f.png</x:v>
      </x:c>
      <x:c r="O637" s="63" t="str">
        <x:v>https://k12static.xdf.cn/k12/image/externalized/c57e4d39-8ee9-48c2-a72c-fa50104a636b.png</x:v>
      </x:c>
      <x:c r="P637" s="63" t="str">
        <x:v>1-2步</x:v>
      </x:c>
      <x:c r="Q637" s="63" t="str">
        <x:v>概念判断</x:v>
      </x:c>
      <x:c r="R637" s="63" t="str">
        <x:v>单状态</x:v>
      </x:c>
      <x:c r="S637" s="63" t="str">
        <x:v>无约束</x:v>
      </x:c>
      <x:c r="T637" s="63" t="str">
        <x:v>无</x:v>
      </x:c>
      <x:c r="U637" s="63" t="str">
        <x:v>无</x:v>
      </x:c>
      <x:c r="V637" s="63" t="str">
        <x:v>直接套用</x:v>
      </x:c>
    </x:row>
    <x:row r="638">
      <x:c r="A638" s="64" t="str">
        <x:v>​2232306140579405824</x:v>
      </x:c>
      <x:c r="B638" s="65" t="str">
        <x:v>送分题</x:v>
      </x:c>
      <x:c r="C638" s="65" t="str">
        <x:v>送分题</x:v>
      </x:c>
      <x:c r="D638" s="65" t="str">
        <x:v>送分题</x:v>
      </x:c>
      <x:c r="E638" s="65" t="str">
        <x:v>保留原GPT裁定</x:v>
      </x:c>
      <x:c r="F638" s="65" t="str">
        <x:v>高</x:v>
      </x:c>
      <x:c r="G638" s="65" t="str">
        <x:v>送分题</x:v>
      </x:c>
      <x:c r="H638" s="65" t="str">
        <x:v>送分题</x:v>
      </x:c>
      <x:c r="I638" s="65" t="str">
        <x:v>题干、解析与结构证据支持送分题：step=1-2步，题型=概念判断，状态=单状态，约束=无约束，推理=直接套用。教师、盲评和多次模型证据中未形成足以推翻原裁定的同向结构证据。</x:v>
      </x:c>
      <x:c r="J638" s="65" t="str">
        <x:v>未进入三次错题并集；逐题结构一致性复核</x:v>
      </x:c>
      <x:c r="K638" s="63" t="str">
        <x:v>下列说法中符合实际的是（ ）</x:v>
      </x:c>
      <x:c r="L638" s="63" t="str">
        <x:v>A. 一节新的干电池电压为2V B. 手机电池电压约为220V C. 人体安全电压为36V D. 家庭节能灯中的电流约为0.1A</x:v>
      </x:c>
      <x:c r="M638" s="63" t="str">
        <x:v>解：A、一节新干电池的电压是1.5V，故A不符合实际； B、手机电池电压约为3.7V，故B符不合实际； C、人体安全电压为不高于36V，故C不符合实际； D、家庭节能灯中的电流约为0.1A，故D符合实际。 故选：D。</x:v>
      </x:c>
      <x:c r="N638" s="63" t="str">
        <x:v>https://k12static.xdf.cn/k12/image/externalized/3eef6fa5-ff1b-4602-a2be-56388aa1fb26.png</x:v>
      </x:c>
      <x:c r="O638" s="63" t="str">
        <x:v>https://k12static.xdf.cn/k12/image/externalized/f8610da0-18cd-4c69-ad4a-9b3f7146e365.png</x:v>
      </x:c>
      <x:c r="P638" s="63" t="str">
        <x:v>1-2步</x:v>
      </x:c>
      <x:c r="Q638" s="63" t="str">
        <x:v>概念判断</x:v>
      </x:c>
      <x:c r="R638" s="63" t="str">
        <x:v>单状态</x:v>
      </x:c>
      <x:c r="S638" s="63" t="str">
        <x:v>无约束</x:v>
      </x:c>
      <x:c r="T638" s="63" t="str">
        <x:v>无</x:v>
      </x:c>
      <x:c r="U638" s="63" t="str">
        <x:v>无</x:v>
      </x:c>
      <x:c r="V638" s="63" t="str">
        <x:v>直接套用</x:v>
      </x:c>
    </x:row>
    <x:row r="639">
      <x:c r="A639" s="64" t="str">
        <x:v>​2233712430430334976</x:v>
      </x:c>
      <x:c r="B639" s="65" t="str">
        <x:v>中等题</x:v>
      </x:c>
      <x:c r="C639" s="65" t="str">
        <x:v>中等题</x:v>
      </x:c>
      <x:c r="D639" s="65" t="str">
        <x:v>中等题</x:v>
      </x:c>
      <x:c r="E639" s="65" t="str">
        <x:v>保留原GPT裁定</x:v>
      </x:c>
      <x:c r="F639" s="65" t="str">
        <x:v>高</x:v>
      </x:c>
      <x:c r="G639" s="65" t="str">
        <x:v>中等题</x:v>
      </x:c>
      <x:c r="H639" s="65" t="str">
        <x:v>中等题</x:v>
      </x:c>
      <x:c r="I639" s="65" t="str">
        <x:v>题干、解析与结构证据支持中等题：step=3-5步，题型=概念判断，状态=双状态，约束=无约束，推理=多层因果推理。教师、盲评和多次模型证据中未形成足以推翻原裁定的同向结构证据。</x:v>
      </x:c>
      <x:c r="J639" s="65" t="str">
        <x:v>未进入三次错题并集；逐题结构一致性复核</x:v>
      </x:c>
      <x:c r="K639" s="63" t="str">
        <x:v>小明和小华做了图甲、图乙所示的实验来探究碘的升华现象，小明将碘锤放在酒精灯上加热，小华将碘锤放入热水中加热。已知常压下，碘的熔点为113.6℃，碘的沸点为184.25℃，酒精灯外焰的温度约800℃。下列说法不正确的是（ ）</x:v>
      </x:c>
      <x:c r="L639" s="63" t="str">
        <x:v>A. 小明和小华的碘锤中都会出现紫色碘蒸气 B. 小明的实验不能证明碘从固态直接变为气态 C. 小华的实验中水浴法加热的主要目的是使碘锤受热均匀 D. 小华的实验中，不会出现碘的熔化现象</x:v>
      </x:c>
      <x:c r="M639" s="63" t="str">
        <x:v>解：小华将装固态碘的碘锤放在热水中加热，热水的温度低于碘的熔点，所以碘的温度最多只能达到水的沸点，碘不会熔化，但碘能从固态直接变为气态，所以看到的碘蒸气只能是升华的结果；小明同学将碘锤放在酒精灯上加热，由于酒精灯火焰的温度高于碘的熔点、沸点，所以出现的碘蒸气可能是碘先熔化后汽化形成的；由此可知，只有小华的实验证明碘能从固态直接变为气态，故ABD正确； 小华的实验中水浴法加热的主要目的是使碘锤的温度低于碘的熔点，故C错误。 故选：C。</x:v>
      </x:c>
      <x:c r="N639" s="63" t="str">
        <x:v>https://k12static.xdf.cn/k12/image/externalized/60df537a-3282-4f38-b13f-c2610ba1c88d.png</x:v>
      </x:c>
      <x:c r="O639" s="63" t="str">
        <x:v>https://k12static.xdf.cn/k12/image/externalized/70296405-63ed-4e0d-b27b-1b507d07da39.png</x:v>
      </x:c>
      <x:c r="P639" s="63" t="str">
        <x:v>3-5步</x:v>
      </x:c>
      <x:c r="Q639" s="63" t="str">
        <x:v>概念判断</x:v>
      </x:c>
      <x:c r="R639" s="63" t="str">
        <x:v>双状态</x:v>
      </x:c>
      <x:c r="S639" s="63" t="str">
        <x:v>无约束</x:v>
      </x:c>
      <x:c r="T639" s="63" t="str">
        <x:v>控制变量或故障分析</x:v>
      </x:c>
      <x:c r="U639" s="63" t="str">
        <x:v>无</x:v>
      </x:c>
      <x:c r="V639" s="63" t="str">
        <x:v>多层因果推理</x:v>
      </x:c>
    </x:row>
    <x:row r="640">
      <x:c r="A640" s="64" t="str">
        <x:v>​2233957954112729088</x:v>
      </x:c>
      <x:c r="B640" s="65" t="str">
        <x:v>拔高题</x:v>
      </x:c>
      <x:c r="C640" s="65" t="str">
        <x:v>拔高题</x:v>
      </x:c>
      <x:c r="D640" s="65" t="str">
        <x:v>拔高题</x:v>
      </x:c>
      <x:c r="E640" s="65" t="str">
        <x:v>保留原GPT裁定</x:v>
      </x:c>
      <x:c r="F640" s="65" t="str">
        <x:v>高</x:v>
      </x:c>
      <x:c r="G640" s="65" t="str">
        <x:v>拔高题</x:v>
      </x:c>
      <x:c r="H640" s="65" t="str">
        <x:v>拔高题</x:v>
      </x:c>
      <x:c r="I640" s="65" t="str">
        <x:v>题干、解析与结构证据支持拔高题：step=3-5步，题型=光学声学综合，状态=双状态，约束=单一约束，推理=多层因果推理。教师、盲评和多次模型证据中未形成足以推翻原裁定的同向结构证据。</x:v>
      </x:c>
      <x:c r="J640" s="65" t="str">
        <x:v>未进入三次错题并集；逐题结构一致性复核</x:v>
      </x:c>
      <x:c r="K640" s="63" t="str">
        <x:v>为了研究光的传播规律，小明在水槽底部安装了一微型光源S，S发出一束光照在右侧壁上形成一光斑，小明在光斑处固定了一小块橡皮泥P（如图所示）。现往水槽内缓慢加水至水面上升到a位置，期间小红在左上方观察，看到右壁上一直有光斑。在加水过程中，小红观察到光斑的移动情况正确的是（ ）</x:v>
      </x:c>
      <x:c r="L640" s="63" t="str">
        <x:v>A. 从P处缓慢下移到某一位置后再缓慢上移到与橡皮泥P重合 B. 从P处缓慢下移到某一位置后再缓慢上移到橡皮泥P上方某一位置 C. 从P处迅速下移到某一位置后再缓慢上移到与橡皮泥P重合 D. 从P处迅速下移到某一位置后再缓慢上移到橡皮泥P上方某一位置</x:v>
      </x:c>
      <x:c r="M640" s="63" t="str">
        <x:v>解：（1）往池内注水，水面升至P点以下的b位置时，发生折射，根据折射定律，光斑位置在S′，如下图所示： （2）水面上升至P点以上的a位置时，光线先在水池壁反射，再折射出水面，根据反射定律和折射定律，光斑位置在S″，如下图所示： 通过画图可知：在加水过程中，由于开始的水很少，光斑会迅速下移到P点以下的某一位置，然后随着水的增多光斑再缓慢上移，由于人眼看水中的橡皮泥也是虚像，虚像的位置也在S″处，所以当水面升到橡皮泥处后，光斑始终和橡皮泥重合的，故C符合题意。 故选：C。</x:v>
      </x:c>
      <x:c r="N640" s="63" t="str">
        <x:v>https://k12static.xdf.cn/k12/image/externalized/b0fab0cf-adad-4a31-be3e-2322865c2a45.png</x:v>
      </x:c>
      <x:c r="O640" s="63" t="str">
        <x:v>https://k12static.xdf.cn/k12/image/externalized/1c9e6fd8-df30-440f-b19f-2285b50cfd5f.png</x:v>
      </x:c>
      <x:c r="P640" s="63" t="str">
        <x:v>3-5步</x:v>
      </x:c>
      <x:c r="Q640" s="63" t="str">
        <x:v>光学声学综合</x:v>
      </x:c>
      <x:c r="R640" s="63" t="str">
        <x:v>双状态</x:v>
      </x:c>
      <x:c r="S640" s="63" t="str">
        <x:v>单一约束</x:v>
      </x:c>
      <x:c r="T640" s="63" t="str">
        <x:v>无</x:v>
      </x:c>
      <x:c r="U640" s="63" t="str">
        <x:v>无</x:v>
      </x:c>
      <x:c r="V640" s="63" t="str">
        <x:v>多层因果推理</x:v>
      </x:c>
    </x:row>
    <x:row r="641">
      <x:c r="A641" s="64" t="str">
        <x:v>​2234099114997563392</x:v>
      </x:c>
      <x:c r="B641" s="65" t="str">
        <x:v>中等题</x:v>
      </x:c>
      <x:c r="C641" s="65" t="str">
        <x:v>中等题</x:v>
      </x:c>
      <x:c r="D641" s="65" t="str">
        <x:v>中等题</x:v>
      </x:c>
      <x:c r="E641" s="65" t="str">
        <x:v>保留原GPT裁定</x:v>
      </x:c>
      <x:c r="F641" s="65" t="str">
        <x:v>高</x:v>
      </x:c>
      <x:c r="G641" s="65" t="str">
        <x:v>中等题</x:v>
      </x:c>
      <x:c r="H641" s="65" t="str">
        <x:v>中等题</x:v>
      </x:c>
      <x:c r="I641" s="65" t="str">
        <x:v>题干、解析与结构证据支持中等题：step=3-5步，题型=热学综合，状态=双状态，约束=单一约束，推理=多层因果推理。教师、盲评和多次模型证据中未形成足以推翻原裁定的同向结构证据。</x:v>
      </x:c>
      <x:c r="J641" s="65" t="str">
        <x:v>未进入三次错题并集；逐题结构一致性复核</x:v>
      </x:c>
      <x:c r="K641" s="63" t="str">
        <x:v>如图所示，规格相同的甲、乙两容器中分别装有3kg和2kg的纯净水，并用不同加热器加热，不计热损失，得到如图丙所示的水温与加热时间的关系图，已知水的比热容是4.2×103J/（kg•℃），则下列说法正确的是（ ）</x:v>
      </x:c>
      <x:c r="L641" s="63" t="str">
        <x:v>A. 由丙图知，甲杯中水的比热容小于乙 B. 甲、乙两杯中的加热器每分钟放出的热量之比为9：4 C. 加热相同的时间，甲、乙两杯水升高的温度之比2：3 D. 加热相同时间时，两杯水将吸收相等的热量</x:v>
      </x:c>
      <x:c r="M641" s="63" t="str">
        <x:v>解：A、水的比热容与质量无关，故甲乙中水的比热容相同； B、由图丙的甲图线可知，加热 2min 时，甲容器中水升高的温度： Δt=40℃-20℃=20℃； 由图象还可知，水的温度变化随时间的增加而均匀升高， 所以，加热 1min 时，甲容器中水升高的温度： Δt′=$\frac{1}{2}$Δt=$\frac{1}{2}$×20℃=10℃； 此时甲容器中的水每分钟吸收热量： Q吸1=cm1Δt=4.2×103J/（kg•℃）×3kg×10℃=1.26×105J； 由图丙可知，水的温度从20℃升高到40℃时，乙的加热时间为3min；此时乙容器中的水吸收热量： Q乙吸=cm2Δt=4.2×103J/（kg•℃）×2kg×（40℃-20℃）=1.68×105J， 乙容器中的水每分钟吸收热量为： Q吸2=$\frac{1}{3}$×Q乙吸=$\frac{1}{3}$×1.68×105J=5.6×104J； 由于忽略散热损失，所以两加热器每分钟放出的热量与水每分钟吸收的热量相同，则： 加热器每分钟放出的热量之比为：Q甲放：Q乙放=1.26×105J：5.6×104J=9：4，故B正确。 C、甲每分钟升高10℃；乙的加热时间为3min升高20℃；故每分钟升高$\frac{20}{3}$℃； 每分钟升高的温度之比为：10℃：$\frac{20}{3}$℃=3：2，故C错误； D、此时甲容器中的水每分钟吸收热量：Q吸1=1.26×105J； 乙容器中的水每分钟吸收热量为：Q吸2=5.6×104J； 加热相同时间时，每分钟吸收的热量不等，故相同时间两杯水吸收的热量不等。故D错误。 故选：B。</x:v>
      </x:c>
      <x:c r="N641" s="63" t="str">
        <x:v>https://k12static.xdf.cn/k12/image/externalized/64b36449-11c6-420e-8db4-aba1c81633ff.png</x:v>
      </x:c>
      <x:c r="O641" s="63" t="str">
        <x:v>https://k12static.xdf.cn/k12/image/externalized/b1773060-560f-4305-a4cf-4bdae454bede.png</x:v>
      </x:c>
      <x:c r="P641" s="63" t="str">
        <x:v>3-5步</x:v>
      </x:c>
      <x:c r="Q641" s="63" t="str">
        <x:v>热学综合</x:v>
      </x:c>
      <x:c r="R641" s="63" t="str">
        <x:v>双状态</x:v>
      </x:c>
      <x:c r="S641" s="63" t="str">
        <x:v>单一约束</x:v>
      </x:c>
      <x:c r="T641" s="63" t="str">
        <x:v>无</x:v>
      </x:c>
      <x:c r="U641" s="63" t="str">
        <x:v>多组比较归纳</x:v>
      </x:c>
      <x:c r="V641" s="63" t="str">
        <x:v>多层因果推理</x:v>
      </x:c>
    </x:row>
    <x:row r="642">
      <x:c r="A642" s="64" t="str">
        <x:v>​2234124555803860992</x:v>
      </x:c>
      <x:c r="B642" s="65" t="str">
        <x:v>中等题</x:v>
      </x:c>
      <x:c r="C642" s="65" t="str">
        <x:v>中等题</x:v>
      </x:c>
      <x:c r="D642" s="65" t="str">
        <x:v>中等题</x:v>
      </x:c>
      <x:c r="E642" s="65" t="str">
        <x:v>保留原GPT裁定</x:v>
      </x:c>
      <x:c r="F642" s="65" t="str">
        <x:v>高</x:v>
      </x:c>
      <x:c r="G642" s="65" t="str">
        <x:v>中等题</x:v>
      </x:c>
      <x:c r="H642" s="65" t="str">
        <x:v>中等题</x:v>
      </x:c>
      <x:c r="I642" s="65" t="str">
        <x:v>题干、解析与结构证据支持中等题：step=3-5步，题型=电路综合，状态=双状态，约束=单一约束，推理=多层因果推理。教师、盲评和多次模型证据中未形成足以推翻原裁定的同向结构证据。</x:v>
      </x:c>
      <x:c r="J642" s="65" t="str">
        <x:v>未进入三次错题并集；逐题结构一致性复核</x:v>
      </x:c>
      <x:c r="K642" s="63" t="str">
        <x:v>如图所示，A为导线，BM、CN为两根相同的电阻丝，当滑片P向左移动时，要使灯泡L亮度不变，开关S（ ）</x:v>
      </x:c>
      <x:c r="L642" s="63" t="str">
        <x:v>A. 只能接A B. 只能接B C. 只能接C D. 接B、C都可以</x:v>
      </x:c>
      <x:c r="M642" s="63" t="str">
        <x:v>解：（1）S和A接触，MN电阻丝接入电路，P向右移动，MPN的长度增大，则电路中的电阻变大，由欧姆定律可知，电路中的电流将变小，即灯泡变暗，不符合题意； （2）S和B接触，BPN电阻丝接入电路，P向右移动时，BN的长度不变，即电路中的电阻不变，则由欧姆定律可知，电路中的电流不变，即灯泡亮度不变，符合题意； （3）S和C接触，CPN电阻丝接入电路，P无论怎样移动，CN的长度均不变，即电路中的电阻不变，则由欧姆定律可知，电路中的电流不变，即灯泡亮度不变，符合题意。 所以当滑片P向右移动，灯L的亮度不变，开关S接B或C均可。 故选：D。</x:v>
      </x:c>
      <x:c r="N642" s="63" t="str">
        <x:v>https://k12static.xdf.cn/k12/image/externalized/fcad739f-a246-42e0-a714-7e938e881e5c.png</x:v>
      </x:c>
      <x:c r="O642" s="63" t="str">
        <x:v>https://k12static.xdf.cn/k12/image/externalized/313499d8-2f50-48e1-a604-0ec7ed0583cd.png</x:v>
      </x:c>
      <x:c r="P642" s="63" t="str">
        <x:v>3-5步</x:v>
      </x:c>
      <x:c r="Q642" s="63" t="str">
        <x:v>电路综合</x:v>
      </x:c>
      <x:c r="R642" s="63" t="str">
        <x:v>双状态</x:v>
      </x:c>
      <x:c r="S642" s="63" t="str">
        <x:v>单一约束</x:v>
      </x:c>
      <x:c r="T642" s="63" t="str">
        <x:v>无</x:v>
      </x:c>
      <x:c r="U642" s="63" t="str">
        <x:v>无</x:v>
      </x:c>
      <x:c r="V642" s="63" t="str">
        <x:v>多层因果推理</x:v>
      </x:c>
    </x:row>
    <x:row r="643">
      <x:c r="A643" s="64" t="str">
        <x:v>​2244205895322312704</x:v>
      </x:c>
      <x:c r="B643" s="65" t="str">
        <x:v>中等题</x:v>
      </x:c>
      <x:c r="C643" s="65" t="str">
        <x:v>中等题</x:v>
      </x:c>
      <x:c r="D643" s="65" t="str">
        <x:v>中等题</x:v>
      </x:c>
      <x:c r="E643" s="65" t="str">
        <x:v>逐题复核后保留GPT裁定</x:v>
      </x:c>
      <x:c r="F643" s="65" t="str">
        <x:v>高</x:v>
      </x:c>
      <x:c r="G643" s="65" t="str">
        <x:v>中等题</x:v>
      </x:c>
      <x:c r="H643" s="65" t="str">
        <x:v>中等题</x:v>
      </x:c>
      <x:c r="I643" s="65" t="str">
        <x:v>需要围绕电路状态、图线/参数与安全约束完成常规的3—4个有效决策，或完成一套完整标准实验/共享过程分析。关系仍显性、方法常规，没有决定性隐含转换、复杂边界筛选或多状态强耦合。</x:v>
      </x:c>
      <x:c r="J643" s="65" t="str">
        <x:v>三次运行错题并集逐题复核</x:v>
      </x:c>
      <x:c r="K643" s="63" t="str">
        <x:v>把一根电阻为24Ω的粗细均匀的电阻丝变成一个圆环，并以如图所示的方式接入电路，则该圆环在电路中的阻值为（ ）</x:v>
      </x:c>
      <x:c r="L643" s="63" t="str">
        <x:v>A. 10Ω B. 20Ω C. 6Ω D. 4.5Ω</x:v>
      </x:c>
      <x:c r="M643" s="63" t="str">
        <x:v>解：阻值为24Ω的电阻丝弯成一圆环，四分之一电阻值为6Ω，四分之三的电阻为18Ω，两段电阻丝并联后的总阻值： R=$\frac{{R}_{1}{R}_{2}}{{R}_{1}+{R}_{2}}$=$\frac{6Ω×18Ω}{6Ω+18Ω}$=4.5Ω。 故选：D。</x:v>
      </x:c>
      <x:c r="N643" s="63" t="str">
        <x:v>https://k12static.xdf.cn/k12/image/externalized/d7b4995a-c863-4a7a-a17b-c72ce0b4b41b.png</x:v>
      </x:c>
      <x:c r="O643" s="63" t="str">
        <x:v>https://k12static.xdf.cn/k12/image/externalized/4dfecd71-48e7-40c8-a230-a98c19981a35.png</x:v>
      </x:c>
      <x:c r="P643" s="63" t="str">
        <x:v>1-2步</x:v>
      </x:c>
      <x:c r="Q643" s="63" t="str">
        <x:v>电路综合</x:v>
      </x:c>
      <x:c r="R643" s="63" t="str">
        <x:v>单状态</x:v>
      </x:c>
      <x:c r="S643" s="63" t="str">
        <x:v>单一约束</x:v>
      </x:c>
      <x:c r="T643" s="63" t="str">
        <x:v>无</x:v>
      </x:c>
      <x:c r="U643" s="63" t="str">
        <x:v>无</x:v>
      </x:c>
      <x:c r="V643" s="63" t="str">
        <x:v>简单因果推理</x:v>
      </x:c>
    </x:row>
    <x:row r="644">
      <x:c r="A644" s="64" t="str">
        <x:v>​2247043339632160768</x:v>
      </x:c>
      <x:c r="B644" s="65" t="str">
        <x:v>中等题</x:v>
      </x:c>
      <x:c r="C644" s="65" t="str">
        <x:v>中等题</x:v>
      </x:c>
      <x:c r="D644" s="65" t="str">
        <x:v>中等题</x:v>
      </x:c>
      <x:c r="E644" s="65" t="str">
        <x:v>保留原GPT裁定</x:v>
      </x:c>
      <x:c r="F644" s="65" t="str">
        <x:v>高</x:v>
      </x:c>
      <x:c r="G644" s="65" t="str">
        <x:v>中等题</x:v>
      </x:c>
      <x:c r="H644" s="65" t="str">
        <x:v>中等题</x:v>
      </x:c>
      <x:c r="I644" s="65" t="str">
        <x:v>题干、解析与结构证据支持中等题：step=3-5步，题型=电路综合，状态=单状态，约束=单一约束，推理=多层因果推理。教师、盲评和多次模型证据中未形成足以推翻原裁定的同向结构证据。</x:v>
      </x:c>
      <x:c r="J644" s="65" t="str">
        <x:v>未进入三次错题并集；逐题结构一致性复核</x:v>
      </x:c>
      <x:c r="K644" s="63" t="str">
        <x:v>在如图（a）所示电路中，当闭合开关后，两个电压表指针偏转均为图（b）所示，则电阻R1和R2两端的电压分别为（ ）</x:v>
      </x:c>
      <x:c r="L644" s="63" t="str">
        <x:v>A. 1.2V，4.8V B. 6V，1.2V C. 1.2V，6V D. 4.8V，1.2V</x:v>
      </x:c>
      <x:c r="M644" s="63" t="str">
        <x:v>解：由题中的图可知：V1测的是电源电压；V2测的是R2两端的电压。即V1的示数应大于V2的示数； 而两个电压表的指针偏转角度相同，所以V1选的量程应是0～15V，其分度值是0.5V，读数（即电源电压）为6V； V2选的量程应是0～3V，其分度值是0.1V，读数（即R2两端的电压）为1.2V； 所以，电阻R1两端的电压为：U1=U-U2=6V-1.2=4.8V； 故选：D。</x:v>
      </x:c>
      <x:c r="N644" s="63" t="str">
        <x:v>https://k12static.xdf.cn/k12/image/externalized/eeef98fd-9d51-4b36-9c13-74d7dcabb96e.png</x:v>
      </x:c>
      <x:c r="O644" s="63" t="str">
        <x:v>https://k12static.xdf.cn/k12/image/externalized/6a634af5-14bb-4972-8c1e-1492e4872805.png</x:v>
      </x:c>
      <x:c r="P644" s="63" t="str">
        <x:v>3-5步</x:v>
      </x:c>
      <x:c r="Q644" s="63" t="str">
        <x:v>电路综合</x:v>
      </x:c>
      <x:c r="R644" s="63" t="str">
        <x:v>单状态</x:v>
      </x:c>
      <x:c r="S644" s="63" t="str">
        <x:v>单一约束</x:v>
      </x:c>
      <x:c r="T644" s="63" t="str">
        <x:v>无</x:v>
      </x:c>
      <x:c r="U644" s="63" t="str">
        <x:v>直接读数</x:v>
      </x:c>
      <x:c r="V644" s="63" t="str">
        <x:v>多层因果推理</x:v>
      </x:c>
    </x:row>
    <x:row r="645">
      <x:c r="A645" s="64" t="str">
        <x:v>​2265602573808197632</x:v>
      </x:c>
      <x:c r="B645" s="65" t="str">
        <x:v>拔高题</x:v>
      </x:c>
      <x:c r="C645" s="65" t="str">
        <x:v>拔高题</x:v>
      </x:c>
      <x:c r="D645" s="65" t="str">
        <x:v>拔高题</x:v>
      </x:c>
      <x:c r="E645" s="65" t="str">
        <x:v>逐题复核后保留GPT裁定</x:v>
      </x:c>
      <x:c r="F645" s="65" t="str">
        <x:v>高</x:v>
      </x:c>
      <x:c r="G645" s="65" t="str">
        <x:v>拔高题</x:v>
      </x:c>
      <x:c r="H645" s="65" t="str">
        <x:v>拔高题</x:v>
      </x:c>
      <x:c r="I645" s="65" t="str">
        <x:v>存在决定性反推/等效/误差/几何转换，或同一装置中的5—6步高密度综合链。 题目证据：对甲、乙两个方案分别做两次有效物理决策，整体最长连续链约3个有效推理，需要分别判断两种方案是否满足“先让小灯泡达到额定电压，再测出额定电流/功率”的缺表法测功率要求，核心是判断两种开关切换方案能否在保证灯泡达到额定电压的前提下获得计算额定功率所需的物理量，属于实验方案可行性分析。</x:v>
      </x:c>
      <x:c r="J645" s="65" t="str">
        <x:v>三次运行错题并集逐题复核</x:v>
      </x:c>
      <x:c r="K645" s="63" t="str">
        <x:v>某小组用“伏安法”测小灯泡额定功率，已知小灯泡额定电压为2.5V。若此实验中只有一只电表坏了，为了测出小灯泡的额定功率，小组同学们增加一个阻值为25Ω的定值电阻R0，只利用一只电表，通过操作图中单刀双掷开关（单刀双掷开关分别接“a”、“b”各一次）测量小灯泡的额定电功率，图甲、图乙是他设计的两种不同方案的电路图，则以下判断正确的是（ ）</x:v>
      </x:c>
      <x:c r="L645" s="63" t="str">
        <x:v>A. 两种方案都能 B. 两种方案都不能 C. 甲方案能，乙方案不能 D. 甲方案不能，乙方案能</x:v>
      </x:c>
      <x:c r="M645" s="63" t="str">
        <x:v>解：由甲图可知，单刀双掷开关接a时，定值电阻R0和滑动变阻器串联接入电路，此时可调整滑动变阻器使R0上的电压等于2.5V，但当单刀双掷开关接b时，因小灯泡电阻与定值电阻R0不一定相等，此时不能保证小灯泡两端电压为2.5V，故甲图方案不能测量小灯泡的额定功率；由乙图可知R0和小灯泡、滑动变阻器串联接入电路，单刀双掷开关接a时电压表测量定值电阻R0的电压，单刀双掷开关接b时电压表测量定值电阻R0和小灯泡两端的总电压，实验中无法通过观察电压表来调整滑动变阻器使小灯泡两端电压为2.5V，故乙实验无法测量小灯泡额定功率。 故选：B。</x:v>
      </x:c>
      <x:c r="N645" s="63" t="str">
        <x:v>https://k12static.xdf.cn/k12/image/externalized/58ecd06b-e471-4220-a335-d1f0f5bc232f.png</x:v>
      </x:c>
      <x:c r="O645" s="63" t="str">
        <x:v>https://k12static.xdf.cn/k12/image/externalized/3dc3df4f-fb9d-4136-ae16-c0592ee672f2.png</x:v>
      </x:c>
      <x:c r="P645" s="63" t="str">
        <x:v>3-5步</x:v>
      </x:c>
      <x:c r="Q645" s="63" t="str">
        <x:v>实验探究</x:v>
      </x:c>
      <x:c r="R645" s="63" t="str">
        <x:v>双状态</x:v>
      </x:c>
      <x:c r="S645" s="63" t="str">
        <x:v>单一约束</x:v>
      </x:c>
      <x:c r="T645" s="63" t="str">
        <x:v>方案设计或误差评价</x:v>
      </x:c>
      <x:c r="U645" s="63" t="str">
        <x:v>无</x:v>
      </x:c>
      <x:c r="V645" s="63" t="str">
        <x:v>多层因果推理</x:v>
      </x:c>
    </x:row>
    <x:row r="646">
      <x:c r="A646" s="64" t="str">
        <x:v>​2275082242539159552</x:v>
      </x:c>
      <x:c r="B646" s="65" t="str">
        <x:v>基础题</x:v>
      </x:c>
      <x:c r="C646" s="65" t="str">
        <x:v>基础题</x:v>
      </x:c>
      <x:c r="D646" s="65" t="str">
        <x:v>基础题</x:v>
      </x:c>
      <x:c r="E646" s="65" t="str">
        <x:v>保留原GPT裁定</x:v>
      </x:c>
      <x:c r="F646" s="65" t="str">
        <x:v>高</x:v>
      </x:c>
      <x:c r="G646" s="65" t="str">
        <x:v>基础题</x:v>
      </x:c>
      <x:c r="H646" s="65" t="str">
        <x:v>基础题</x:v>
      </x:c>
      <x:c r="I646" s="65" t="str">
        <x:v>题干、解析与结构证据支持基础题：step=1-2步，题型=概念判断，状态=单状态，约束=无约束，推理=简单因果推理。教师、盲评和多次模型证据中未形成足以推翻原裁定的同向结构证据。</x:v>
      </x:c>
      <x:c r="J646" s="65" t="str">
        <x:v>未进入三次错题并集；逐题结构一致性复核</x:v>
      </x:c>
      <x:c r="K646" s="63" t="str">
        <x:v>有一架飞机沿水平向右做匀速直线运动，每隔1秒钟从飞机上轻轻释放一只小球，当三只小球落下但均未落至地面时，若不计空气阻力，则这三只小球在空中的排列情况应是图中的（ ）</x:v>
      </x:c>
      <x:c r="L646" s="63" t="str"/>
      <x:c r="M646" s="63" t="str">
        <x:v>解：飞机沿水平向右做匀速直线运动时，从飞机上轻轻释放一只小球，小球由于惯性，保持原来的运动状态不变，继续向前飞行，三个小球在下落过程中，都是以原来的速度向前运动，小球受地球引力的作用下，同时向下做自由落体运动，故三个小球下落时，在同一铅垂线上。所以C符合题意，A、B、D均不符合题意， 故选：C。</x:v>
      </x:c>
      <x:c r="N646" s="63" t="str">
        <x:v>https://k12static.xdf.cn/k12/image/externalized/5c807b14-704c-45fe-b899-5e3dd11a3425.png</x:v>
      </x:c>
      <x:c r="O646" s="63" t="str">
        <x:v>https://k12static.xdf.cn/k12/image/externalized/070ef601-522d-42d0-befa-8b52501da984.png</x:v>
      </x:c>
      <x:c r="P646" s="63" t="str">
        <x:v>1-2步</x:v>
      </x:c>
      <x:c r="Q646" s="63" t="str">
        <x:v>概念判断</x:v>
      </x:c>
      <x:c r="R646" s="63" t="str">
        <x:v>单状态</x:v>
      </x:c>
      <x:c r="S646" s="63" t="str">
        <x:v>无约束</x:v>
      </x:c>
      <x:c r="T646" s="63" t="str">
        <x:v>无</x:v>
      </x:c>
      <x:c r="U646" s="63" t="str">
        <x:v>无</x:v>
      </x:c>
      <x:c r="V646" s="63" t="str">
        <x:v>简单因果推理</x:v>
      </x:c>
    </x:row>
    <x:row r="647">
      <x:c r="A647" s="64" t="str">
        <x:v>​2284490359024951296</x:v>
      </x:c>
      <x:c r="B647" s="65" t="str">
        <x:v>基础题</x:v>
      </x:c>
      <x:c r="C647" s="65" t="str">
        <x:v>基础题</x:v>
      </x:c>
      <x:c r="D647" s="65" t="str">
        <x:v>基础题</x:v>
      </x:c>
      <x:c r="E647" s="65" t="str">
        <x:v>保留原GPT裁定</x:v>
      </x:c>
      <x:c r="F647" s="65" t="str">
        <x:v>高</x:v>
      </x:c>
      <x:c r="G647" s="65" t="str">
        <x:v>基础题</x:v>
      </x:c>
      <x:c r="H647" s="65" t="str">
        <x:v>基础题</x:v>
      </x:c>
      <x:c r="I647" s="65" t="str">
        <x:v>题干、解析与结构证据支持基础题：step=1-2步，题型=概念判断，状态=单状态，约束=无约束，推理=简单因果推理。教师、盲评和多次模型证据中未形成足以推翻原裁定的同向结构证据。</x:v>
      </x:c>
      <x:c r="J647" s="65" t="str">
        <x:v>未进入三次错题并集；逐题结构一致性复核</x:v>
      </x:c>
      <x:c r="K647" s="63" t="str">
        <x:v>下列测量方法中，你认为相对比较合理的是（ ）</x:v>
      </x:c>
      <x:c r="L647" s="63" t="str">
        <x:v>A. 测量一元硬币的直径，用一把刻度尺直接测量就好 B. 先测出100粒米的质量，再通过计算求出每粒米的质量 C. 测量物理课本中一张纸的厚度时，先测出100页同样纸的厚度再除以100 D. 用体温计去测量一杯沸水的温度</x:v>
      </x:c>
      <x:c r="M647" s="63" t="str">
        <x:v>解：A、由于一元硬币的直径位置不易确定，因此不能用刻度尺直接测量，故A错误； B、取多粒米（一般100粒），用天平测出总质量m,则一粒米的质量为m1=$\frac{m}{100}$，故B正确； C、100页同样的纸，实际上是50张纸，因此一张纸的厚度等于100页纸的厚度除以50，故C错误； D、体温计的测量范围是35℃～42℃，标准大气压下沸水的温度是100℃，所以不能用体温计去测量一杯沸水的温度，故D错误。 故选：B。</x:v>
      </x:c>
      <x:c r="N647" s="63" t="str">
        <x:v>https://k12static.xdf.cn/k12/image/externalized/f9cf5fa5-0e2c-4f7f-aea1-2a3cbce20ea4.png</x:v>
      </x:c>
      <x:c r="O647" s="63" t="str">
        <x:v>https://k12static.xdf.cn/k12/image/externalized/91135252-d85d-4587-94d2-2ae6c0a139c8.png</x:v>
      </x:c>
      <x:c r="P647" s="63" t="str">
        <x:v>1-2步</x:v>
      </x:c>
      <x:c r="Q647" s="63" t="str">
        <x:v>概念判断</x:v>
      </x:c>
      <x:c r="R647" s="63" t="str">
        <x:v>单状态</x:v>
      </x:c>
      <x:c r="S647" s="63" t="str">
        <x:v>无约束</x:v>
      </x:c>
      <x:c r="T647" s="63" t="str">
        <x:v>基础操作或读数</x:v>
      </x:c>
      <x:c r="U647" s="63" t="str">
        <x:v>无</x:v>
      </x:c>
      <x:c r="V647" s="63" t="str">
        <x:v>简单因果推理</x:v>
      </x:c>
    </x:row>
    <x:row r="648">
      <x:c r="A648" s="64" t="str">
        <x:v>​2286135414509576192</x:v>
      </x:c>
      <x:c r="B648" s="65" t="str">
        <x:v>中等题</x:v>
      </x:c>
      <x:c r="C648" s="65" t="str">
        <x:v>中等题</x:v>
      </x:c>
      <x:c r="D648" s="65" t="str">
        <x:v>中等题</x:v>
      </x:c>
      <x:c r="E648" s="65" t="str">
        <x:v>保留原GPT裁定</x:v>
      </x:c>
      <x:c r="F648" s="65" t="str">
        <x:v>高</x:v>
      </x:c>
      <x:c r="G648" s="65" t="str">
        <x:v>中等题</x:v>
      </x:c>
      <x:c r="H648" s="65" t="str">
        <x:v>中等题</x:v>
      </x:c>
      <x:c r="I648" s="65" t="str">
        <x:v>题干、解析与结构证据支持中等题：step=3-5步，题型=电路综合，状态=单状态，约束=单一约束，推理=多层因果推理。教师、盲评和多次模型证据中未形成足以推翻原裁定的同向结构证据。</x:v>
      </x:c>
      <x:c r="J648" s="65" t="str">
        <x:v>未进入三次错题并集；逐题结构一致性复核</x:v>
      </x:c>
      <x:c r="K648" s="63" t="str">
        <x:v>电源电压3V保持不变，把标有“3V 3W”的灯L1和标有“3V 1.5W”的灯L2按如图的方式连接，当开关S闭合后，则下列说法中正确的是（ ）</x:v>
      </x:c>
      <x:c r="L648" s="63" t="str">
        <x:v>A. 灯L1消耗的实际功率是3W B. 灯L2消耗的实际功率是1.5W C. 两灯消耗的总功率是1W D. 电压表的示数与电源电压之比是1：2</x:v>
      </x:c>
      <x:c r="M648" s="63" t="str">
        <x:v>解：由P=$\frac{{U}^{2}}{R}$可知，灯泡电阻：R1=$\frac{{U}_{1}^{2}}{{P}_{1}}$=$\frac{(3V)^{2}}{3W}$=3Ω，R2=$\frac{{U}_{2}^{2}}{{P}_{2}}$=$\frac{(3V)^{2}}{1.5W}$=6Ω， 由图示电路图可知，两灯泡串联，电压表测L1两端电压， 电路电流：I=$\frac{U}{{R}_{1}+{R}_{2}}$=$\frac{3V}{3Ω+6Ω}$=$\frac{1}{3}$A； A、灯L1消耗的实际功率：P1=I2R1=（$\frac{1}{3}$A）2×3Ω=$\frac{1}{3}$W，故A错误； B、灯L2消耗的实际功率：P2=I2R2=（$\frac{1}{3}$A）2×6Ω=$\frac{2}{3}$W，故B错误； C、两灯消耗的总功率：P=P1+P2=$\frac{1}{3}$W+$\frac{2}{3}$W=1W，故C正确； D、电压表示数与电源电压之比：$\frac{{U}_{1}}{U}$=$\frac{I{R}_{1}}{U}$=$\frac{\frac{1}{3}A×3Ω}{3V}$=$\frac{1}{3}$，故D错误； 故选：C。</x:v>
      </x:c>
      <x:c r="N648" s="63" t="str">
        <x:v>https://k12static.xdf.cn/k12/image/externalized/1a4f3a5d-9b09-416f-96a8-d3936eb4bddd.png</x:v>
      </x:c>
      <x:c r="O648" s="63" t="str">
        <x:v>https://k12static.xdf.cn/k12/image/externalized/0da233c4-0877-42ef-9bc4-65abe8affd5d.png</x:v>
      </x:c>
      <x:c r="P648" s="63" t="str">
        <x:v>3-5步</x:v>
      </x:c>
      <x:c r="Q648" s="63" t="str">
        <x:v>电路综合</x:v>
      </x:c>
      <x:c r="R648" s="63" t="str">
        <x:v>单状态</x:v>
      </x:c>
      <x:c r="S648" s="63" t="str">
        <x:v>单一约束</x:v>
      </x:c>
      <x:c r="T648" s="63" t="str">
        <x:v>无</x:v>
      </x:c>
      <x:c r="U648" s="63" t="str">
        <x:v>无</x:v>
      </x:c>
      <x:c r="V648" s="63" t="str">
        <x:v>多层因果推理</x:v>
      </x:c>
    </x:row>
    <x:row r="649">
      <x:c r="A649" s="64" t="str">
        <x:v>​2290515359075704832</x:v>
      </x:c>
      <x:c r="B649" s="65" t="str">
        <x:v>基础题</x:v>
      </x:c>
      <x:c r="C649" s="65" t="str">
        <x:v>基础题</x:v>
      </x:c>
      <x:c r="D649" s="65" t="str">
        <x:v>基础题</x:v>
      </x:c>
      <x:c r="E649" s="65" t="str">
        <x:v>保留原GPT裁定</x:v>
      </x:c>
      <x:c r="F649" s="65" t="str">
        <x:v>高</x:v>
      </x:c>
      <x:c r="G649" s="65" t="str">
        <x:v>基础题</x:v>
      </x:c>
      <x:c r="H649" s="65" t="str">
        <x:v>基础题</x:v>
      </x:c>
      <x:c r="I649" s="65" t="str">
        <x:v>题干、解析与结构证据支持基础题：step=3-5步，题型=概念判断，状态=单状态，约束=单一约束，推理=多层因果推理。教师、盲评和多次模型证据中未形成足以推翻原裁定的同向结构证据。</x:v>
      </x:c>
      <x:c r="J649" s="65" t="str">
        <x:v>未进入三次错题并集；逐题结构一致性复核</x:v>
      </x:c>
      <x:c r="K649" s="63" t="str">
        <x:v>如图是用力F把一木块静止压在墙面上的示意图，以下受力分析的说法 ①手对木块的压力和墙对木块的弹力是一对平衡力 ②手对木块的压力和木块的重力是一对平衡力 ③木块受到的摩擦力和木块的重力是一对平衡力 ④手对木块的压力和木块对手的弹力是一对平衡力 上述表述中正确的是（ ）</x:v>
      </x:c>
      <x:c r="L649" s="63" t="str">
        <x:v>A. 只有②正确 B. 只有④正确 C. 只有③④正确 D. 只有①③正确</x:v>
      </x:c>
      <x:c r="M649" s="63" t="str">
        <x:v>解： ①手对木块的压力和墙对木块的弹力符合二力平衡的条件，是一对平衡力； ②手对木块的压力和木块的重力不在同一直线上，不是一对平衡力； ③木块受到的摩擦力和木块的重力满足二力平衡的条件，是一对平衡力； ④手对木块的压力和木块对手的弹力是一对相互作用力，不是平衡力。 故选：D。</x:v>
      </x:c>
      <x:c r="N649" s="63" t="str">
        <x:v>https://k12static.xdf.cn/k12/image/externalized/094b62b8-587e-400b-ab89-3998caaba395.png</x:v>
      </x:c>
      <x:c r="O649" s="63" t="str">
        <x:v>https://k12static.xdf.cn/k12/image/externalized/f6256754-0724-403a-b896-f8762de05456.png</x:v>
      </x:c>
      <x:c r="P649" s="63" t="str">
        <x:v>3-5步</x:v>
      </x:c>
      <x:c r="Q649" s="63" t="str">
        <x:v>概念判断</x:v>
      </x:c>
      <x:c r="R649" s="63" t="str">
        <x:v>单状态</x:v>
      </x:c>
      <x:c r="S649" s="63" t="str">
        <x:v>单一约束</x:v>
      </x:c>
      <x:c r="T649" s="63" t="str">
        <x:v>无</x:v>
      </x:c>
      <x:c r="U649" s="63" t="str">
        <x:v>无</x:v>
      </x:c>
      <x:c r="V649" s="63" t="str">
        <x:v>多层因果推理</x:v>
      </x:c>
    </x:row>
    <x:row r="650">
      <x:c r="A650" s="64" t="str">
        <x:v>​2291660568047140864</x:v>
      </x:c>
      <x:c r="B650" s="65" t="str">
        <x:v>基础题</x:v>
      </x:c>
      <x:c r="C650" s="65" t="str">
        <x:v>基础题</x:v>
      </x:c>
      <x:c r="D650" s="65" t="str">
        <x:v>基础题</x:v>
      </x:c>
      <x:c r="E650" s="65" t="str">
        <x:v>保留原GPT裁定</x:v>
      </x:c>
      <x:c r="F650" s="65" t="str">
        <x:v>高</x:v>
      </x:c>
      <x:c r="G650" s="65" t="str">
        <x:v>基础题</x:v>
      </x:c>
      <x:c r="H650" s="65" t="str">
        <x:v>基础题</x:v>
      </x:c>
      <x:c r="I650" s="65" t="str">
        <x:v>题干、解析与结构证据支持基础题：step=1-2步，题型=概念判断，状态=单状态，约束=无约束，推理=简单因果推理。教师、盲评和多次模型证据中未形成足以推翻原裁定的同向结构证据。</x:v>
      </x:c>
      <x:c r="J650" s="65" t="str">
        <x:v>未进入三次错题并集；逐题结构一致性复核</x:v>
      </x:c>
      <x:c r="K650" s="63" t="str">
        <x:v>关于超声波和次声波的说法正确的是（ ）</x:v>
      </x:c>
      <x:c r="L650" s="63" t="str">
        <x:v>A. 超声波就是传播速度超过340m/s的声音 B. 人耳听不到次声波是因为次声波声音太弱 C. 超声波可以透过一定厚度的真空向前传播 D. 次声波能够透过障碍物传得很远</x:v>
      </x:c>
      <x:c r="M650" s="63" t="str">
        <x:v>解：A、超声波是振动频率高于20000Hz的声，故A错误； B、人耳听不到次声波是因为次声波的频率低于人的听力范围，故B错误； C、超声波的传播需要介质，不能透过真空向前传播，故C错误； D、次声波具有极强的穿透力，次声波能够透过障碍物传得很远，故D正确。 故选：D。</x:v>
      </x:c>
      <x:c r="N650" s="63" t="str">
        <x:v>https://k12static.xdf.cn/k12/image/externalized/9de5cacc-fba5-4286-9f64-2cb8eb2e4cbb.png</x:v>
      </x:c>
      <x:c r="O650" s="63" t="str">
        <x:v>https://k12static.xdf.cn/k12/image/externalized/2a10ad54-d3fe-42a8-8dd2-0e97550d1bf5.png</x:v>
      </x:c>
      <x:c r="P650" s="63" t="str">
        <x:v>1-2步</x:v>
      </x:c>
      <x:c r="Q650" s="63" t="str">
        <x:v>概念判断</x:v>
      </x:c>
      <x:c r="R650" s="63" t="str">
        <x:v>单状态</x:v>
      </x:c>
      <x:c r="S650" s="63" t="str">
        <x:v>无约束</x:v>
      </x:c>
      <x:c r="T650" s="63" t="str">
        <x:v>无</x:v>
      </x:c>
      <x:c r="U650" s="63" t="str">
        <x:v>无</x:v>
      </x:c>
      <x:c r="V650" s="63" t="str">
        <x:v>简单因果推理</x:v>
      </x:c>
    </x:row>
    <x:row r="651">
      <x:c r="A651" s="64" t="str">
        <x:v>​2292118209829838848</x:v>
      </x:c>
      <x:c r="B651" s="65" t="str">
        <x:v>送分题</x:v>
      </x:c>
      <x:c r="C651" s="65" t="str">
        <x:v>送分题</x:v>
      </x:c>
      <x:c r="D651" s="65" t="str">
        <x:v>送分题</x:v>
      </x:c>
      <x:c r="E651" s="65" t="str">
        <x:v>保留原GPT裁定</x:v>
      </x:c>
      <x:c r="F651" s="65" t="str">
        <x:v>高</x:v>
      </x:c>
      <x:c r="G651" s="65" t="str">
        <x:v>送分题</x:v>
      </x:c>
      <x:c r="H651" s="65" t="str">
        <x:v>送分题</x:v>
      </x:c>
      <x:c r="I651" s="65" t="str">
        <x:v>题干、解析与结构证据支持送分题：step=1-2步，题型=概念判断，状态=单状态，约束=无约束，推理=直接套用。教师、盲评和多次模型证据中未形成足以推翻原裁定的同向结构证据。</x:v>
      </x:c>
      <x:c r="J651" s="65" t="str">
        <x:v>未进入三次错题并集；逐题结构一致性复核</x:v>
      </x:c>
      <x:c r="K651" s="63" t="str">
        <x:v>下列自然现象中，属于凝华形成的是（ ）</x:v>
      </x:c>
      <x:c r="L651" s="63" t="str">
        <x:v>A. 草叶露珠 B. 山间浓雾 C. 湖面冰层 D. 房顶白雪</x:v>
      </x:c>
      <x:c r="M651" s="63" t="str">
        <x:v>解：A、露珠是液化形成的小水珠，故A不符合题意； B、雾是液化形成的小水珠，故B不符合题意； C、冰层的形成是凝固现象，故C不符合题意； D、雪的形成是凝华现象，故D符合题意。 故选：D。</x:v>
      </x:c>
      <x:c r="N651" s="63" t="str">
        <x:v>https://k12static.xdf.cn/k12/image/externalized/905c3ec9-6a3d-410e-9b42-fa23dfbea58b.png</x:v>
      </x:c>
      <x:c r="O651" s="63" t="str">
        <x:v>https://k12static.xdf.cn/k12/image/externalized/2e14215f-fe95-497e-b947-7308fc24dba5.png</x:v>
      </x:c>
      <x:c r="P651" s="63" t="str">
        <x:v>1-2步</x:v>
      </x:c>
      <x:c r="Q651" s="63" t="str">
        <x:v>概念判断</x:v>
      </x:c>
      <x:c r="R651" s="63" t="str">
        <x:v>单状态</x:v>
      </x:c>
      <x:c r="S651" s="63" t="str">
        <x:v>无约束</x:v>
      </x:c>
      <x:c r="T651" s="63" t="str">
        <x:v>无</x:v>
      </x:c>
      <x:c r="U651" s="63" t="str">
        <x:v>无</x:v>
      </x:c>
      <x:c r="V651" s="63" t="str">
        <x:v>直接套用</x:v>
      </x:c>
    </x:row>
    <x:row r="652">
      <x:c r="A652" s="64" t="str">
        <x:v>​2293516624119222272</x:v>
      </x:c>
      <x:c r="B652" s="65" t="str">
        <x:v>拔高题</x:v>
      </x:c>
      <x:c r="C652" s="65" t="str">
        <x:v>拔高题</x:v>
      </x:c>
      <x:c r="D652" s="65" t="str">
        <x:v>拔高题</x:v>
      </x:c>
      <x:c r="E652" s="65" t="str">
        <x:v>保留原GPT裁定</x:v>
      </x:c>
      <x:c r="F652" s="65" t="str">
        <x:v>高</x:v>
      </x:c>
      <x:c r="G652" s="65" t="str">
        <x:v>拔高题</x:v>
      </x:c>
      <x:c r="H652" s="65" t="str">
        <x:v>拔高题</x:v>
      </x:c>
      <x:c r="I652" s="65" t="str">
        <x:v>题干、解析与结构证据支持拔高题：step=3-5步，题型=电路综合，状态=双状态，约束=单一约束，推理=多层因果推理。教师、盲评和多次模型证据中未形成足以推翻原裁定的同向结构证据。</x:v>
      </x:c>
      <x:c r="J652" s="65" t="str">
        <x:v>未进入三次错题并集；逐题结构一致性复核</x:v>
      </x:c>
      <x:c r="K652" s="63" t="str">
        <x:v>如图甲所示的电路，电源电压保持不变，滑动变阻器上标有“20Ω 2A”字样，闭合开关S，调节滑动变阻器的滑片，使其从最右端向左滑到a点时，小灯泡恰好正常发光；在图乙中绘制出电流表与两电压表示数关系的图象，下列说法中正确的是（ ）</x:v>
      </x:c>
      <x:c r="L652" s="63" t="str">
        <x:v>A. 滑片在a点时R的电阻为2.5Ω B. 滑片在a点时，滑动变阻器与小灯泡的电压之比为5：1 C. 小灯泡正常发光时电压为6V D. 电源电压为12V</x:v>
      </x:c>
      <x:c r="M652" s="63" t="str">
        <x:v>解：由电路图可知，变阻器R与灯泡L串联，电压表V1测R两端的电压，电压表V2测L两端的电压，电流表测电路中的电流。 （1）当滑片位于最右端时，变阻器接入电路中的电阻最大，此时电路中的电流最小， 由图乙可知，电路中的最小电流I=0.3A，此时灯泡和滑动变阻器两端的电压相等，即UL=UR， 此时滑动变阻器R两端的电压：UR=IR=0.3A×20Ω=6V， 因串联电路中总电压等于各分电压之和，所以，电源的电压：U=UL+UR=UR+UR=6V+6V=12V，故D正确； （2）当滑片从最右端向左滑动到a点时，变阻器接入电路中的电阻变小，电路中的电流变大， 由串联电路的分压特点可知，变阻器R两端的电压变小，灯泡两端的电压变大，则图乙中左边的曲线是变阻器R的I-U图像，右边的曲线是灯泡的I-U图像，如图所示： 当小灯泡恰好正常发光时，电路中的电流最大，灯泡两端的电压等于灯泡的额定电压， 由图乙可知，灯泡正常发光时的电流I′=0.4A，灯泡两端的电压UL′=10V，故C错误； 根据串联电路的电压特点可知，此时变阻器两端的电压UR′=U-UL′=12V-10V=2V， 滑片在a点时，滑动变阻器与小灯泡的电压之比为$\frac{{U}_{R}′}{{U}_{L}′}$=$\frac{2V}{10V}$=$\frac{1}{5}$，故B错误； 由欧姆定律可知，滑片在a点时变阻器接入电路的电阻为：Ra=$\frac{{U}_{R}′}{I′}$=$\frac{2V}{0.4A}$=5Ω，故A错误。 故选：D。</x:v>
      </x:c>
      <x:c r="N652" s="63" t="str">
        <x:v>https://k12static.xdf.cn/k12/image/externalized/3afc86e5-64df-45c4-88d7-7ae76787d645.png</x:v>
      </x:c>
      <x:c r="O652" s="63" t="str">
        <x:v>https://k12static.xdf.cn/k12/image/externalized/d3e28062-9320-441d-a627-080b6a8a7051.png</x:v>
      </x:c>
      <x:c r="P652" s="63" t="str">
        <x:v>3-5步</x:v>
      </x:c>
      <x:c r="Q652" s="63" t="str">
        <x:v>电路综合</x:v>
      </x:c>
      <x:c r="R652" s="63" t="str">
        <x:v>双状态</x:v>
      </x:c>
      <x:c r="S652" s="63" t="str">
        <x:v>单一约束</x:v>
      </x:c>
      <x:c r="T652" s="63" t="str">
        <x:v>无</x:v>
      </x:c>
      <x:c r="U652" s="63" t="str">
        <x:v>图像反推或外推</x:v>
      </x:c>
      <x:c r="V652" s="63" t="str">
        <x:v>多层因果推理</x:v>
      </x:c>
    </x:row>
    <x:row r="653">
      <x:c r="A653" s="64" t="str">
        <x:v>​2293571587254272000</x:v>
      </x:c>
      <x:c r="B653" s="65" t="str">
        <x:v>基础题</x:v>
      </x:c>
      <x:c r="C653" s="65" t="str">
        <x:v>基础题</x:v>
      </x:c>
      <x:c r="D653" s="65" t="str">
        <x:v>基础题</x:v>
      </x:c>
      <x:c r="E653" s="65" t="str">
        <x:v>保留原GPT裁定</x:v>
      </x:c>
      <x:c r="F653" s="65" t="str">
        <x:v>高</x:v>
      </x:c>
      <x:c r="G653" s="65" t="str">
        <x:v>基础题</x:v>
      </x:c>
      <x:c r="H653" s="65" t="str">
        <x:v>基础题</x:v>
      </x:c>
      <x:c r="I653" s="65" t="str">
        <x:v>题干、解析与结构证据支持基础题：step=1-2步，题型=概念判断，状态=单状态，约束=无约束，推理=简单因果推理。教师、盲评和多次模型证据中未形成足以推翻原裁定的同向结构证据。</x:v>
      </x:c>
      <x:c r="J653" s="65" t="str">
        <x:v>未进入三次错题并集；逐题结构一致性复核</x:v>
      </x:c>
      <x:c r="K653" s="63" t="str">
        <x:v>某实验小组同学在目镜（5×）和物镜（10×）的镜头组合下，看到视野中有一长条形微生物在按顺时针方向流动（如图）．有A、B、C、D四位同学根据实验事实，针对被放大对象及倍数、装片上真实微生物的游动方向等作出的判断，其中正确的是（ ）</x:v>
      </x:c>
      <x:c r="L653" s="63" t="str">
        <x:v>A. 长度放大50倍、逆时针 B. 面积放大50倍、逆时针 C. 长度放大50倍、顺时针 D. 面积放大50倍、顺时针</x:v>
      </x:c>
      <x:c r="M653" s="63" t="str">
        <x:v>解：显微镜的放大倍数=目镜倍数×物镜倍数，目镜5×，物镜10×，显微镜的放大倍数50倍，显微镜看到的物像上下颠倒，左右也颠倒，所以我们移动玻片标本时，标本移动的方向正好与物像移动的方向相反，装片上真实微生物的游动方向顺时针，像是虚像，所以选项C正确。 故选：C。</x:v>
      </x:c>
      <x:c r="N653" s="63" t="str">
        <x:v>https://k12static.xdf.cn/k12/image/externalized/b3dccedd-1014-4e38-a077-122e84d9f15d.png</x:v>
      </x:c>
      <x:c r="O653" s="63" t="str">
        <x:v>https://k12static.xdf.cn/k12/image/externalized/62a40f82-f8da-4e65-b844-a19c76f0adc5.png</x:v>
      </x:c>
      <x:c r="P653" s="63" t="str">
        <x:v>1-2步</x:v>
      </x:c>
      <x:c r="Q653" s="63" t="str">
        <x:v>概念判断</x:v>
      </x:c>
      <x:c r="R653" s="63" t="str">
        <x:v>单状态</x:v>
      </x:c>
      <x:c r="S653" s="63" t="str">
        <x:v>无约束</x:v>
      </x:c>
      <x:c r="T653" s="63" t="str">
        <x:v>无</x:v>
      </x:c>
      <x:c r="U653" s="63" t="str">
        <x:v>无</x:v>
      </x:c>
      <x:c r="V653" s="63" t="str">
        <x:v>简单因果推理</x:v>
      </x:c>
    </x:row>
    <x:row r="654">
      <x:c r="A654" s="64" t="str">
        <x:v>​2295055909460992000</x:v>
      </x:c>
      <x:c r="B654" s="65" t="str">
        <x:v>中等题</x:v>
      </x:c>
      <x:c r="C654" s="65" t="str">
        <x:v>中等题</x:v>
      </x:c>
      <x:c r="D654" s="65" t="str">
        <x:v>中等题</x:v>
      </x:c>
      <x:c r="E654" s="65" t="str">
        <x:v>保留原GPT裁定</x:v>
      </x:c>
      <x:c r="F654" s="65" t="str">
        <x:v>高</x:v>
      </x:c>
      <x:c r="G654" s="65" t="str">
        <x:v>中等题</x:v>
      </x:c>
      <x:c r="H654" s="65" t="str">
        <x:v>中等题</x:v>
      </x:c>
      <x:c r="I654" s="65" t="str">
        <x:v>题干、解析与结构证据支持中等题：step=3-5步，题型=电学综合，状态=单状态，约束=单一约束，推理=多层因果推理。教师、盲评和多次模型证据中未形成足以推翻原裁定的同向结构证据。</x:v>
      </x:c>
      <x:c r="J654" s="65" t="str">
        <x:v>未进入三次错题并集；逐题结构一致性复核</x:v>
      </x:c>
      <x:c r="K654" s="63" t="str">
        <x:v>将“6V 3W”的灯L1和“6V 6W”的灯L2串联接入9V电源上（忽略灯丝电阻的变化），则（ ）</x:v>
      </x:c>
      <x:c r="L654" s="63" t="str">
        <x:v>A. 两灯都能正常发光，且灯L2比灯L1亮 B. 只有灯L1正常发光，此时灯L2消耗的功率为1.5W C. 只有灯L2正常发光，此时灯L1消耗的功率为1.5W D. 电路的总功率为7.5W</x:v>
      </x:c>
      <x:c r="M654" s="63" t="str">
        <x:v>解：根据P=UI可得灯泡的额定电流分别为： I1额=$\frac{{P}_{1额}}{{U}_{1额}}$=$\frac{3W}{6V}$=0.5A，I2额=$\frac{{P}_{2额}}{{U}_{2额}}$=$\frac{6W}{6V}$=1A， 由I=$\frac{U}{R}$可得两灯泡的电阻分别为： R1=$\frac{{U}_{1额}}{{I}_{1额}}$=$\frac{6V}{0.5A}$=12Ω，R2=$\frac{{U}_{2额}}{{I}_{2额}}$=$\frac{6V}{1A}$=6Ω， 两个灯泡串联接入9V电源上时，电路中的电流为：I=$\frac{U}{R}$=$\frac{U}{{R}_{1}+{R}_{2}}$=$\frac{9V}{12Ω+6Ω}$=0.5A， AC、因I=I1额=0.5A，则I=0.5A＜I2额=1A，则只有灯L1正常发光，由于R1＞R2，根据P=I2R可知：P1实＞P2实，所以灯L1比灯L2亮，故AC错误； B、灯L2的实际电功率为：P2实=I2R2=（0.5A）2×6Ω=1.5W，故B正确； D、电路的总功率：P=UI=9V×0.5A=4.5W，故D错误。 故选：B。</x:v>
      </x:c>
      <x:c r="N654" s="63" t="str">
        <x:v>https://k12static.xdf.cn/k12/image/externalized/e3b0dab6-0bdb-4249-a8a0-f0a865b00c2c.png</x:v>
      </x:c>
      <x:c r="O654" s="63" t="str">
        <x:v>https://k12static.xdf.cn/k12/image/externalized/c5fbabfa-8e12-4c66-a539-f87bb33f05da.png</x:v>
      </x:c>
      <x:c r="P654" s="63" t="str">
        <x:v>3-5步</x:v>
      </x:c>
      <x:c r="Q654" s="63" t="str">
        <x:v>电学综合</x:v>
      </x:c>
      <x:c r="R654" s="63" t="str">
        <x:v>单状态</x:v>
      </x:c>
      <x:c r="S654" s="63" t="str">
        <x:v>单一约束</x:v>
      </x:c>
      <x:c r="T654" s="63" t="str">
        <x:v>无</x:v>
      </x:c>
      <x:c r="U654" s="63" t="str">
        <x:v>无</x:v>
      </x:c>
      <x:c r="V654" s="63" t="str">
        <x:v>多层因果推理</x:v>
      </x:c>
    </x:row>
    <x:row r="655">
      <x:c r="A655" s="64" t="str">
        <x:v>​2301913851516272640</x:v>
      </x:c>
      <x:c r="B655" s="65" t="str">
        <x:v>中等题</x:v>
      </x:c>
      <x:c r="C655" s="65" t="str">
        <x:v>中等题</x:v>
      </x:c>
      <x:c r="D655" s="65" t="str">
        <x:v>中等题</x:v>
      </x:c>
      <x:c r="E655" s="65" t="str">
        <x:v>保留原GPT裁定</x:v>
      </x:c>
      <x:c r="F655" s="65" t="str">
        <x:v>高</x:v>
      </x:c>
      <x:c r="G655" s="65" t="str">
        <x:v>中等题</x:v>
      </x:c>
      <x:c r="H655" s="65" t="str">
        <x:v>中等题</x:v>
      </x:c>
      <x:c r="I655" s="65" t="str">
        <x:v>题干、解析与结构证据支持中等题：step=3-5步，题型=概念判断，状态=单状态，约束=单一约束，推理=多层因果推理。教师、盲评和多次模型证据中未形成足以推翻原裁定的同向结构证据。</x:v>
      </x:c>
      <x:c r="J655" s="65" t="str">
        <x:v>未进入三次错题并集；逐题结构一致性复核</x:v>
      </x:c>
      <x:c r="K655" s="63" t="str">
        <x:v>如图所示为某电能表的表盘，小明利用该电能表检测一只标识为“220V，10W”LED灯的额定功率。他关闭其他所有用电器，将该节能灯接入220V的测量电路，设计了四种测量方案，你认为最可行的是（ ）</x:v>
      </x:c>
      <x:c r="L655" s="63" t="str">
        <x:v>A. 测量出电能表显示消耗1kW•h电能所用时间t B. 测量出通电1小时前后表盘显示的数值之差 C. 测量出1min时间内电能表指示灯闪烁的次数 D. 测量出电能表指示灯相邻两次闪烁间隔时间t</x:v>
      </x:c>
      <x:c r="M655" s="63" t="str">
        <x:v>解：A、节能灯的额定功率为P=10W=0.01kW，消耗1kW•h电能所用时间为： t=$\frac{W}{P}$=$\frac{1kW\bullet h}{0.01kW}$=100h,因消耗1kW•h电能所用的时间t较长，不易操作，故A不符合题意； B、由W=Pt可知，测量出通电1小时前后表盘显示的数值之差为：W=0.01kW×1h=0.01kW•h,因数值较小，很难在电能表中读出，故B不符合题意； C、节能灯的功率为P=0.01kW，工作1min=$\frac{1}{60}$h消耗的电能为：W=Pt=0.01kW×$\frac{1}{60}$h=$\frac{1}{6000}$kW•h, 1600imp/（kW•h）表示电路中用电器每消耗1kW•h的电能，电能表的指示灯闪烁1600次， 1min电能表指示灯闪烁的次数：n=1600imp/（kW•h）×$\frac{1}{6000}$kW•h=$\frac{4}{15}$＜1，指示灯闪烁次数太少，无法观察，故C不符合题意； D、节能灯的功率：P=10W=0.01kW， 电能表指示灯相邻两次闪烁，节能灯的消耗的电能为：W=$\frac{1}{1600}$kW•h, 节能灯需要工作的时间： t=$\frac{W}{P}$=$\frac{\frac{1}{1600}kW\bullet h}{0.01kW}$=$\frac{1}{16}$h=225s, 比较容易测量，故D符合题意。 故选：D。</x:v>
      </x:c>
      <x:c r="N655" s="63" t="str">
        <x:v>https://k12static.xdf.cn/k12/image/externalized/dd5f45a3-a634-4a62-bd8a-a8f1e3050ea8.png</x:v>
      </x:c>
      <x:c r="O655" s="63" t="str">
        <x:v>https://k12static.xdf.cn/k12/image/externalized/972b5475-f131-41ff-a6a3-70023941d24e.png</x:v>
      </x:c>
      <x:c r="P655" s="63" t="str">
        <x:v>3-5步</x:v>
      </x:c>
      <x:c r="Q655" s="63" t="str">
        <x:v>概念判断</x:v>
      </x:c>
      <x:c r="R655" s="63" t="str">
        <x:v>单状态</x:v>
      </x:c>
      <x:c r="S655" s="63" t="str">
        <x:v>单一约束</x:v>
      </x:c>
      <x:c r="T655" s="63" t="str">
        <x:v>无</x:v>
      </x:c>
      <x:c r="U655" s="63" t="str">
        <x:v>无</x:v>
      </x:c>
      <x:c r="V655" s="63" t="str">
        <x:v>多层因果推理</x:v>
      </x:c>
    </x:row>
    <x:row r="656">
      <x:c r="A656" s="64" t="str">
        <x:v>​2306490885253918720</x:v>
      </x:c>
      <x:c r="B656" s="65" t="str">
        <x:v>中等题</x:v>
      </x:c>
      <x:c r="C656" s="65" t="str">
        <x:v>中等题</x:v>
      </x:c>
      <x:c r="D656" s="65" t="str">
        <x:v>中等题</x:v>
      </x:c>
      <x:c r="E656" s="65" t="str">
        <x:v>保留原GPT裁定</x:v>
      </x:c>
      <x:c r="F656" s="65" t="str">
        <x:v>高</x:v>
      </x:c>
      <x:c r="G656" s="65" t="str">
        <x:v>中等题</x:v>
      </x:c>
      <x:c r="H656" s="65" t="str">
        <x:v>中等题</x:v>
      </x:c>
      <x:c r="I656" s="65" t="str">
        <x:v>题干、解析与结构证据支持中等题：step=3-5步，题型=图像表格分析，状态=单状态，约束=单一约束，推理=多层因果推理。教师、盲评和多次模型证据中未形成足以推翻原裁定的同向结构证据。</x:v>
      </x:c>
      <x:c r="J656" s="65" t="str">
        <x:v>未进入三次错题并集；逐题结构一致性复核</x:v>
      </x:c>
      <x:c r="K656" s="63" t="str">
        <x:v>甲、乙两只灯泡，其I-U关系图象如图所示。现将甲、乙两灯串联在电路中，当甲灯两端的电压为2V时，乙灯消耗的功率是（ ）</x:v>
      </x:c>
      <x:c r="L656" s="63" t="str">
        <x:v>A. 1.2W B. 0.8W C. 2W D. 3W</x:v>
      </x:c>
      <x:c r="M656" s="63" t="str">
        <x:v>解：根据图象可知，当甲灯泡两端电压为2V时，通过甲灯泡的电流为0.4A； 因为串联电路处处电流相等，因此通过乙灯泡的电流也为0.4A；根据图象可知，此时乙灯泡两端电压为3V； 乙灯泡消耗的功率：P=UI=3V×0.4A=1.2W。 故选：A。</x:v>
      </x:c>
      <x:c r="N656" s="63" t="str">
        <x:v>https://k12static.xdf.cn/k12/image/externalized/76245c5c-af00-4f36-b973-c18838cb6efb.png</x:v>
      </x:c>
      <x:c r="O656" s="63" t="str">
        <x:v>https://k12static.xdf.cn/k12/image/externalized/2c0b442d-1394-4cb8-ac54-120dbb36ea9e.png</x:v>
      </x:c>
      <x:c r="P656" s="63" t="str">
        <x:v>3-5步</x:v>
      </x:c>
      <x:c r="Q656" s="63" t="str">
        <x:v>图像表格分析</x:v>
      </x:c>
      <x:c r="R656" s="63" t="str">
        <x:v>单状态</x:v>
      </x:c>
      <x:c r="S656" s="63" t="str">
        <x:v>单一约束</x:v>
      </x:c>
      <x:c r="T656" s="63" t="str">
        <x:v>无</x:v>
      </x:c>
      <x:c r="U656" s="63" t="str">
        <x:v>直接读数</x:v>
      </x:c>
      <x:c r="V656" s="63" t="str">
        <x:v>多层因果推理</x:v>
      </x:c>
    </x:row>
    <x:row r="657">
      <x:c r="A657" s="64" t="str">
        <x:v>​2308336148731187200</x:v>
      </x:c>
      <x:c r="B657" s="65" t="str">
        <x:v>基础题</x:v>
      </x:c>
      <x:c r="C657" s="65" t="str">
        <x:v>基础题</x:v>
      </x:c>
      <x:c r="D657" s="65" t="str">
        <x:v>基础题</x:v>
      </x:c>
      <x:c r="E657" s="65" t="str">
        <x:v>保留原GPT裁定</x:v>
      </x:c>
      <x:c r="F657" s="65" t="str">
        <x:v>高</x:v>
      </x:c>
      <x:c r="G657" s="65" t="str">
        <x:v>基础题</x:v>
      </x:c>
      <x:c r="H657" s="65" t="str">
        <x:v>基础题</x:v>
      </x:c>
      <x:c r="I657" s="65" t="str">
        <x:v>题干、解析与结构证据支持基础题：step=1-2步，题型=力学综合，状态=单状态，约束=无约束，推理=简单因果推理。教师、盲评和多次模型证据中未形成足以推翻原裁定的同向结构证据。</x:v>
      </x:c>
      <x:c r="J657" s="65" t="str">
        <x:v>未进入三次错题并集；逐题结构一致性复核</x:v>
      </x:c>
      <x:c r="K657" s="63" t="str">
        <x:v>一辆汽车，质量为2t,在一水平公路上匀速直线行驶，受到的阻力为车重的0.01倍。（g取10N/kg）求： （1）汽车受到的重力； （2）汽车受到的阻力； （3）汽车行进的牵引力。</x:v>
      </x:c>
      <x:c r="L657" s="63" t="str"/>
      <x:c r="M657" s="63" t="str">
        <x:v>解：（1）汽车受到的重力：G=mg=2×103kg×10N/kg=2×104N； （2）汽车受到的阻力：f=0.01G=0.01×2×104N=200N。 （2）因为汽车在平直的公路上匀速行驶， 所以汽车受到的牵引力：F=f=200N。 答：（1）汽车受到的重力是2×104N； （2）汽车受到的阻力是200N； （3）汽车行进的牵引力是200N。</x:v>
      </x:c>
      <x:c r="N657" s="63" t="str">
        <x:v>https://k12static.xdf.cn/k12/image/externalized/cce48495-f256-44bc-bc33-9deff90a2d92.png</x:v>
      </x:c>
      <x:c r="O657" s="63" t="str">
        <x:v>https://k12static.xdf.cn/k12/image/externalized/09b19054-bc23-4a25-86ff-f4dca49a49c3.png</x:v>
      </x:c>
      <x:c r="P657" s="63" t="str">
        <x:v>1-2步</x:v>
      </x:c>
      <x:c r="Q657" s="63" t="str">
        <x:v>力学综合</x:v>
      </x:c>
      <x:c r="R657" s="63" t="str">
        <x:v>单状态</x:v>
      </x:c>
      <x:c r="S657" s="63" t="str">
        <x:v>无约束</x:v>
      </x:c>
      <x:c r="T657" s="63" t="str">
        <x:v>无</x:v>
      </x:c>
      <x:c r="U657" s="63" t="str">
        <x:v>无</x:v>
      </x:c>
      <x:c r="V657" s="63" t="str">
        <x:v>简单因果推理</x:v>
      </x:c>
    </x:row>
    <x:row r="658">
      <x:c r="A658" s="64" t="str">
        <x:v>​2312162875422040064</x:v>
      </x:c>
      <x:c r="B658" s="65" t="str">
        <x:v>中等题</x:v>
      </x:c>
      <x:c r="C658" s="65" t="str">
        <x:v>中等题</x:v>
      </x:c>
      <x:c r="D658" s="65" t="str">
        <x:v>中等题</x:v>
      </x:c>
      <x:c r="E658" s="65" t="str">
        <x:v>保留原GPT裁定</x:v>
      </x:c>
      <x:c r="F658" s="65" t="str">
        <x:v>高</x:v>
      </x:c>
      <x:c r="G658" s="65" t="str">
        <x:v>中等题</x:v>
      </x:c>
      <x:c r="H658" s="65" t="str">
        <x:v>中等题</x:v>
      </x:c>
      <x:c r="I658" s="65" t="str">
        <x:v>题干、解析与结构证据支持中等题：step=3-5步，题型=概念判断，状态=双状态，约束=单一约束，推理=多层因果推理。教师、盲评和多次模型证据中未形成足以推翻原裁定的同向结构证据。</x:v>
      </x:c>
      <x:c r="J658" s="65" t="str">
        <x:v>未进入三次错题并集；逐题结构一致性复核</x:v>
      </x:c>
      <x:c r="K658" s="63" t="str">
        <x:v>如图所示，小明在做模拟“蹦极”的小实验，一根橡皮筋一端系一个小石块，另一端固定在A点，B点是橡皮筋不系小石块自然下垂时下端所在的位置，C点是小石块从A点自由释放后所能达到的最低点。不计空气阻力，关于小石块从A点到C点运动过程的说法，正确的是（ ）</x:v>
      </x:c>
      <x:c r="L658" s="63" t="str">
        <x:v>A. 小石块在B点时，受到平衡力的作用 B. 从A点下落到B点的过程中，小石块受到重力和弹力的作用 C. 从B点下落到C点的过程中，小石块的速度一直减小 D. 从B点下落到C点的过程中，小石块所受合力先减小后增大</x:v>
      </x:c>
      <x:c r="M658" s="63" t="str">
        <x:v>解：小石块在下落过程中，在AB段，小石块只受到重力作用，重力不断改变小石块的运动状态，小石块加速下落； 在BC段受到橡皮筋的拉力作用，过B点后橡皮筋开始伸长（大于原长），弹力逐渐增大。当拉力小于重力时，小石块仍处于加速状态；当拉力大于重力时，小石块减速下落。 A、小石块在B点时只受到重力的作用，故A错误； B、由题B点是橡皮筋自然下垂长度的位置，所以在AB段，橡皮筋对小石块没有弹力，故B错误； C、从B点下落到C点的过程中，小石块速度先加速后减速，故C错误； D、从B点下落到C点的过程中，小石块所受合力先减小后增大，故D正确。 故选：D。</x:v>
      </x:c>
      <x:c r="N658" s="63" t="str">
        <x:v>https://k12static.xdf.cn/k12/image/externalized/4a426399-bdba-4af3-9406-ef412e91d59a.png</x:v>
      </x:c>
      <x:c r="O658" s="63" t="str">
        <x:v>https://k12static.xdf.cn/k12/image/externalized/7e0c42f9-6be8-4fe2-b2af-b42abbbdc687.png</x:v>
      </x:c>
      <x:c r="P658" s="63" t="str">
        <x:v>3-5步</x:v>
      </x:c>
      <x:c r="Q658" s="63" t="str">
        <x:v>概念判断</x:v>
      </x:c>
      <x:c r="R658" s="63" t="str">
        <x:v>双状态</x:v>
      </x:c>
      <x:c r="S658" s="63" t="str">
        <x:v>单一约束</x:v>
      </x:c>
      <x:c r="T658" s="63" t="str">
        <x:v>无</x:v>
      </x:c>
      <x:c r="U658" s="63" t="str">
        <x:v>无</x:v>
      </x:c>
      <x:c r="V658" s="63" t="str">
        <x:v>多层因果推理</x:v>
      </x:c>
    </x:row>
    <x:row r="659">
      <x:c r="A659" s="64" t="str">
        <x:v>​2312923579879051264</x:v>
      </x:c>
      <x:c r="B659" s="65" t="str">
        <x:v>中等题</x:v>
      </x:c>
      <x:c r="C659" s="65" t="str">
        <x:v>中等题</x:v>
      </x:c>
      <x:c r="D659" s="65" t="str">
        <x:v>中等题</x:v>
      </x:c>
      <x:c r="E659" s="65" t="str">
        <x:v>保留原GPT裁定</x:v>
      </x:c>
      <x:c r="F659" s="65" t="str">
        <x:v>高</x:v>
      </x:c>
      <x:c r="G659" s="65" t="str">
        <x:v>中等题</x:v>
      </x:c>
      <x:c r="H659" s="65" t="str">
        <x:v>中等题</x:v>
      </x:c>
      <x:c r="I659" s="65" t="str">
        <x:v>题干、解析与结构证据支持中等题：step=1-2步，题型=实验探究，状态=单状态，约束=无约束，推理=多层因果推理。教师、盲评和多次模型证据中未形成足以推翻原裁定的同向结构证据。</x:v>
      </x:c>
      <x:c r="J659" s="65" t="str">
        <x:v>未进入三次错题并集；逐题结构一致性复核</x:v>
      </x:c>
      <x:c r="K659" s="63" t="str">
        <x:v>在“探究影响滑动摩擦力大小的因素”实验中，用完全相同的木块分别做了如图所示的甲、乙、丙三个实验，将A截取一半后完成丁图实验。 （1）实验中，弹簧测力计必须沿水平方向拉动，使木块做 ________ 运动。 （2）在甲实验中，若拉力增大为2N，则木块所受到的摩擦力 ________ 2N（选填“大于”、“等于”或“小于”）； （3）比较乙、丙两图中的测力计示数，说明滑动摩擦力的大小与 ________ 有关； （4）比较甲、丁实验，发现甲实验弹簧测力计的示数大于丁实验弹簧测力计的示数，小明得出结论：滑动摩擦力的大小与接触面积的大小有关，他的结论是错误的，理由是 ________ 。</x:v>
      </x:c>
      <x:c r="L659" s="63" t="str"/>
      <x:c r="M659" s="63" t="str">
        <x:v>解：（1）弹簧测力计拉动木块时，弹簧测力计显示拉力大小，木块水平方向上受到水平向左的滑动摩擦力和水平向右的拉力，木块进行匀速直线运动时，这两个力是一对平衡力，大小相等，所以其目的是使滑动摩擦力等于弹簧测力计示数； （2）在甲实验中，由弹簧测力计的示数可知滑动摩擦力为1.5N，若拉力增大为2N，根据滑动摩擦力与压力大小和接触面粗糙程度有关，则木块所受到的摩擦力还是1.5N，小于2N； （3）乙、丙两图接触面粗糙程度相同，压力不同、弹簧测力计的示数不同，滑动摩擦力大小不相同，可探究滑动摩擦力大小跟压力大小的关系； （4）观察实验，比较甲图和丁图所示实验可知，作用在物体表面的压力不同，接触面的面积不同，摩擦力不同，这个结论是错误的，没有控制压力大小相同。 故答案为：（1）匀速直线；（2）小于；（3）压力大小；（4）没有控制压力大小相同。</x:v>
      </x:c>
      <x:c r="N659" s="63" t="str">
        <x:v>https://k12static.xdf.cn/k12/image/externalized/cc09ede3-5ef6-4a88-975a-5278968ef655.png</x:v>
      </x:c>
      <x:c r="O659" s="63" t="str">
        <x:v>https://k12static.xdf.cn/k12/image/externalized/2adba787-da71-43dd-b7ea-d8b1fdcbca63.png</x:v>
      </x:c>
      <x:c r="P659" s="63" t="str">
        <x:v>1-2步</x:v>
      </x:c>
      <x:c r="Q659" s="63" t="str">
        <x:v>实验探究</x:v>
      </x:c>
      <x:c r="R659" s="63" t="str">
        <x:v>单状态</x:v>
      </x:c>
      <x:c r="S659" s="63" t="str">
        <x:v>无约束</x:v>
      </x:c>
      <x:c r="T659" s="63" t="str">
        <x:v>控制变量或故障分析</x:v>
      </x:c>
      <x:c r="U659" s="63" t="str">
        <x:v>无</x:v>
      </x:c>
      <x:c r="V659" s="63" t="str">
        <x:v>多层因果推理</x:v>
      </x:c>
    </x:row>
    <x:row r="660">
      <x:c r="A660" s="64" t="str">
        <x:v>​2313790940070305792</x:v>
      </x:c>
      <x:c r="B660" s="65" t="str">
        <x:v>中等题</x:v>
      </x:c>
      <x:c r="C660" s="65" t="str">
        <x:v>中等题</x:v>
      </x:c>
      <x:c r="D660" s="65" t="str">
        <x:v>中等题</x:v>
      </x:c>
      <x:c r="E660" s="65" t="str">
        <x:v>逐题复核后保留GPT裁定</x:v>
      </x:c>
      <x:c r="F660" s="65" t="str">
        <x:v>高</x:v>
      </x:c>
      <x:c r="G660" s="65" t="str">
        <x:v>中等题</x:v>
      </x:c>
      <x:c r="H660" s="65" t="str">
        <x:v>中等题</x:v>
      </x:c>
      <x:c r="I660" s="65" t="str">
        <x:v>需要围绕受力、浮力/压强与状态变化完成常规的3—4个有效决策，或完成一套完整标准实验/共享过程分析。关系仍显性、方法常规，没有决定性隐含转换、复杂边界筛选或多状态强耦合。</x:v>
      </x:c>
      <x:c r="J660" s="65" t="str">
        <x:v>三次运行错题并集逐题复核</x:v>
      </x:c>
      <x:c r="K660" s="63" t="str">
        <x:v>两支相同的试管内，装有质量相等的不同液体，a管竖直放置，b管倾斜放置，此时两管内液面处于同一水平位置，如图所示。则管底受到液体的压强是（ ）</x:v>
      </x:c>
      <x:c r="L660" s="63" t="str">
        <x:v>A. 一样大 B. a管底的大 C. b管底的大 D. 无法判断</x:v>
      </x:c>
      <x:c r="M660" s="63" t="str">
        <x:v>解：管底受到液体的压强p=ρgh,高度相同，液体质量相同，b管液体体积大，所以密度小，所以b底部压强小。 故选：B。</x:v>
      </x:c>
      <x:c r="N660" s="63" t="str">
        <x:v>https://k12static.xdf.cn/k12/image/externalized/87c4c343-4ece-495c-ad0b-f1650427a12f.png</x:v>
      </x:c>
      <x:c r="O660" s="63" t="str">
        <x:v>https://k12static.xdf.cn/k12/image/externalized/e61dd452-3edd-44cb-af81-be8cfe71b00c.png</x:v>
      </x:c>
      <x:c r="P660" s="63" t="str">
        <x:v>1-2步</x:v>
      </x:c>
      <x:c r="Q660" s="63" t="str">
        <x:v>概念判断</x:v>
      </x:c>
      <x:c r="R660" s="63" t="str">
        <x:v>单状态</x:v>
      </x:c>
      <x:c r="S660" s="63" t="str">
        <x:v>无约束</x:v>
      </x:c>
      <x:c r="T660" s="63" t="str">
        <x:v>无</x:v>
      </x:c>
      <x:c r="U660" s="63" t="str">
        <x:v>无</x:v>
      </x:c>
      <x:c r="V660" s="63" t="str">
        <x:v>简单因果推理</x:v>
      </x:c>
    </x:row>
    <x:row r="661">
      <x:c r="A661" s="64" t="str">
        <x:v>​2317772850807201792</x:v>
      </x:c>
      <x:c r="B661" s="65" t="str">
        <x:v>拔高题</x:v>
      </x:c>
      <x:c r="C661" s="65" t="str">
        <x:v>拔高题</x:v>
      </x:c>
      <x:c r="D661" s="65" t="str">
        <x:v>拔高题</x:v>
      </x:c>
      <x:c r="E661" s="65" t="str">
        <x:v>逐题复核后保留GPT裁定</x:v>
      </x:c>
      <x:c r="F661" s="65" t="str">
        <x:v>高</x:v>
      </x:c>
      <x:c r="G661" s="65" t="str">
        <x:v>拔高题</x:v>
      </x:c>
      <x:c r="H661" s="65" t="str">
        <x:v>拔高题</x:v>
      </x:c>
      <x:c r="I661" s="65" t="str">
        <x:v>存在决定性反推/等效/误差/几何转换，或同一装置中的5—6步高密度综合链。 题目证据：最高难小问实际有效物理决策约4步，五维锚定：知识量为两个关联知识点（重心性质、悬挂法/分割法找重心）、过程/对象为对称分割的两段棉线，需要自主确定分段重心再合成总重心、数学工具无复杂运算、情境为半陌生装置，思维层次达到综合迁移。任务为分割棉线为两段，分别确定每段重心位置，再合成整体重心，属于常规分析加决定性位置判断，无全链耦合。</x:v>
      </x:c>
      <x:c r="J661" s="65" t="str">
        <x:v>三次运行错题并集逐题复核</x:v>
      </x:c>
      <x:c r="K661" s="63" t="str">
        <x:v>如图所示，圆心为O的光滑半圆面放置于水平桌面上，圆面上静止放置一条匀质、柔软、不可伸长的细棉线。棉线的两端A、B恰好与桌面不接触。棉线的最高点为C点。D点为线段OC的中点。则棉线的重心位置为（ ）</x:v>
      </x:c>
      <x:c r="L661" s="63" t="str">
        <x:v>A. C与D之间的某一点 B. D点 C. O点 D. D与O之间的某一点</x:v>
      </x:c>
      <x:c r="M661" s="63" t="str">
        <x:v>解：形状规则的物体它的重心在其几何中心，圆的重心即为圆的圆心，此图为半圆面，可把棉线分割为AC段和BC段，然后分别找出AC和BC的中点E、F，再连接EF与CO交于点P，如图所示： 则P点为棉线的重心位置，其P点在D点之上，所以可判断整个棉线的重心位置应为C与D之间的某一点，故A正确； 故选：A。</x:v>
      </x:c>
      <x:c r="N661" s="63" t="str">
        <x:v>https://k12static.xdf.cn/k12/image/externalized/2063e3e8-d0e9-4ef0-9915-f7fdb2cf2fab.png</x:v>
      </x:c>
      <x:c r="O661" s="63" t="str">
        <x:v>https://k12static.xdf.cn/k12/image/externalized/cbbfc76b-d9eb-4f32-ab6f-18305769e4bc.png</x:v>
      </x:c>
      <x:c r="P661" s="63" t="str">
        <x:v>3-5步</x:v>
      </x:c>
      <x:c r="Q661" s="63" t="str">
        <x:v>力学综合</x:v>
      </x:c>
      <x:c r="R661" s="63" t="str">
        <x:v>单状态</x:v>
      </x:c>
      <x:c r="S661" s="63" t="str">
        <x:v>单一约束</x:v>
      </x:c>
      <x:c r="T661" s="63" t="str">
        <x:v>无</x:v>
      </x:c>
      <x:c r="U661" s="63" t="str">
        <x:v>无</x:v>
      </x:c>
      <x:c r="V661" s="63" t="str">
        <x:v>多层因果推理</x:v>
      </x:c>
    </x:row>
    <x:row r="662">
      <x:c r="A662" s="64" t="str">
        <x:v>​2321094870115840000</x:v>
      </x:c>
      <x:c r="B662" s="65" t="str">
        <x:v>基础题</x:v>
      </x:c>
      <x:c r="C662" s="65" t="str">
        <x:v>基础题</x:v>
      </x:c>
      <x:c r="D662" s="65" t="str">
        <x:v>基础题</x:v>
      </x:c>
      <x:c r="E662" s="65" t="str">
        <x:v>逐题复核后保留GPT裁定</x:v>
      </x:c>
      <x:c r="F662" s="65" t="str">
        <x:v>高</x:v>
      </x:c>
      <x:c r="G662" s="65" t="str">
        <x:v>基础题</x:v>
      </x:c>
      <x:c r="H662" s="65" t="str">
        <x:v>基础题</x:v>
      </x:c>
      <x:c r="I662" s="65" t="str">
        <x:v>多个空/选项彼此独立，不形成连续链；最高难任务属于标准实验流程、读数与数据归纳中的1—2步直接应用、规范操作或简单因果判断。需要理解/应用而非纯识记，但没有共享中间结论、完整连续过程或隐含转换。</x:v>
      </x:c>
      <x:c r="J662" s="65" t="str">
        <x:v>三次运行错题并集逐题复核</x:v>
      </x:c>
      <x:c r="K662" s="63" t="str">
        <x:v>如图所示，小聪用一个长方体铝块探究影响浮力大小的因素。他先后将该铝块会平放、侧放和竖放，使其部分浸入同一杯水中，保证每次水面到达同一标记处，比较弹簧测力计示数大小。该实验探究的是下列哪个因素对浮力大小的影响（ ）</x:v>
      </x:c>
      <x:c r="L662" s="63" t="str">
        <x:v>A. 液体的密度 B. 物体的形状 C. 物体排开液体的体积 D. 物体浸入液体的深度</x:v>
      </x:c>
      <x:c r="M662" s="63" t="str">
        <x:v>解：他先后将该铝块平放、侧放和竖放，使其部分浸入同一杯水中，液体的密度相同，每次水面到达同一标记处，说明物体排开水的体积相同，物体浸入水的深度不同，比较弹簧测力计示数大小，可以探究浮力与物体浸入液体的深度的关系，故D正确。 故选：D。</x:v>
      </x:c>
      <x:c r="N662" s="63" t="str">
        <x:v>https://k12static.xdf.cn/k12/image/externalized/0288bfa7-09ad-4638-8590-ca33887bd821.png</x:v>
      </x:c>
      <x:c r="O662" s="63" t="str">
        <x:v>https://k12static.xdf.cn/k12/image/externalized/73709b08-027c-4172-a88e-4a2f2371b5a5.png</x:v>
      </x:c>
      <x:c r="P662" s="63" t="str">
        <x:v>1-2步</x:v>
      </x:c>
      <x:c r="Q662" s="63" t="str">
        <x:v>概念判断</x:v>
      </x:c>
      <x:c r="R662" s="63" t="str">
        <x:v>单状态</x:v>
      </x:c>
      <x:c r="S662" s="63" t="str">
        <x:v>无约束</x:v>
      </x:c>
      <x:c r="T662" s="63" t="str">
        <x:v>控制变量或故障分析</x:v>
      </x:c>
      <x:c r="U662" s="63" t="str">
        <x:v>无</x:v>
      </x:c>
      <x:c r="V662" s="63" t="str">
        <x:v>简单因果推理</x:v>
      </x:c>
    </x:row>
    <x:row r="663">
      <x:c r="A663" s="64" t="str">
        <x:v>​2325351182887321600</x:v>
      </x:c>
      <x:c r="B663" s="65" t="str">
        <x:v>拔高题</x:v>
      </x:c>
      <x:c r="C663" s="65" t="str">
        <x:v>拔高题</x:v>
      </x:c>
      <x:c r="D663" s="65" t="str">
        <x:v>拔高题</x:v>
      </x:c>
      <x:c r="E663" s="65" t="str">
        <x:v>保留原GPT裁定</x:v>
      </x:c>
      <x:c r="F663" s="65" t="str">
        <x:v>高</x:v>
      </x:c>
      <x:c r="G663" s="65" t="str">
        <x:v>拔高题</x:v>
      </x:c>
      <x:c r="H663" s="65" t="str">
        <x:v>拔高题</x:v>
      </x:c>
      <x:c r="I663" s="65" t="str">
        <x:v>题干、解析与结构证据支持拔高题：step=3-5步，题型=力学综合，状态=双状态，约束=单一约束，推理=多层因果推理。教师、盲评和多次模型证据中未形成足以推翻原裁定的同向结构证据。</x:v>
      </x:c>
      <x:c r="J663" s="65" t="str">
        <x:v>未进入三次错题并集；逐题结构一致性复核</x:v>
      </x:c>
      <x:c r="K663" s="63" t="str">
        <x:v>用弹簧测力计竖直挂一铁球，当铁球露出水面$\frac{2}{3}$体积时，弹簧测力计示数为4N；当铁球浸入水中$\frac{1}{2}$体积时，弹簧测力计示数为1N，取下该铁球放入水中，铁球静止时受到的浮力是（ ）</x:v>
      </x:c>
      <x:c r="L663" s="63" t="str">
        <x:v>A. 18N B. 14N C. 8N D. 10N</x:v>
      </x:c>
      <x:c r="M663" s="63" t="str">
        <x:v>解：当铁球露出水面$\frac{2}{3}$体积时，则V排1=$\frac{1}{3}$V， 根据物体受力平衡和阿基米德原理可知： G=F浮1+F拉1=ρ水gV排1+F拉1=1×103kg/m3×10N/kg×$\frac{1}{3}$V+4N----------① 当铁球浸入水中$\frac{1}{2}$体积时，则V排2=$\frac{1}{2}$V， 根据物体受力平衡和阿基米德原理可知： G=F浮2+F拉2=ρ水gV排2+F拉2=1×103kg/m3×10N/kg×$\frac{1}{2}$V+1N---------② 由①②得：V=1.8×10-3m3； 所以物体重力： G=F浮1+F拉1=1×103kg/m3×10N/kg×$\frac{1}{3}$×1.8×10-3m3+4N=10N， 若物体全部浸没在水中时受的浮力： F浮=ρ水gV=1×103kg/m3×10N/kg×1.8×10-3m3=18N 则：F浮＞G，即：当取下该物体将它放入足量的水中，铁球静止时会漂浮， 所以物体在水中静止时F浮′=G=10N。 故选：D。</x:v>
      </x:c>
      <x:c r="N663" s="63" t="str">
        <x:v>https://k12static.xdf.cn/k12/image/externalized/0034ba88-3927-483f-95c2-fa98eafad4b4.png</x:v>
      </x:c>
      <x:c r="O663" s="63" t="str">
        <x:v>https://k12static.xdf.cn/k12/image/externalized/a7fed383-71a6-4f3b-a754-3bd9d47492cc.png</x:v>
      </x:c>
      <x:c r="P663" s="63" t="str">
        <x:v>3-5步</x:v>
      </x:c>
      <x:c r="Q663" s="63" t="str">
        <x:v>力学综合</x:v>
      </x:c>
      <x:c r="R663" s="63" t="str">
        <x:v>双状态</x:v>
      </x:c>
      <x:c r="S663" s="63" t="str">
        <x:v>单一约束</x:v>
      </x:c>
      <x:c r="T663" s="63" t="str">
        <x:v>无</x:v>
      </x:c>
      <x:c r="U663" s="63" t="str">
        <x:v>无</x:v>
      </x:c>
      <x:c r="V663" s="63" t="str">
        <x:v>多层因果推理</x:v>
      </x:c>
    </x:row>
    <x:row r="664">
      <x:c r="A664" s="64" t="str">
        <x:v>​2332267173723000832</x:v>
      </x:c>
      <x:c r="B664" s="65" t="str">
        <x:v>中等题</x:v>
      </x:c>
      <x:c r="C664" s="65" t="str">
        <x:v>中等题</x:v>
      </x:c>
      <x:c r="D664" s="65" t="str">
        <x:v>中等题</x:v>
      </x:c>
      <x:c r="E664" s="65" t="str">
        <x:v>保留原GPT裁定</x:v>
      </x:c>
      <x:c r="F664" s="65" t="str">
        <x:v>高</x:v>
      </x:c>
      <x:c r="G664" s="65" t="str">
        <x:v>中等题</x:v>
      </x:c>
      <x:c r="H664" s="65" t="str">
        <x:v>中等题</x:v>
      </x:c>
      <x:c r="I664" s="65" t="str">
        <x:v>题干、解析与结构证据支持中等题：step=3-5步，题型=声学综合，状态=单状态，约束=单一约束，推理=多层因果推理。教师、盲评和多次模型证据中未形成足以推翻原裁定的同向结构证据。</x:v>
      </x:c>
      <x:c r="J664" s="65" t="str">
        <x:v>未进入三次错题并集；逐题结构一致性复核</x:v>
      </x:c>
      <x:c r="K664" s="63" t="str">
        <x:v>同学将耳朵贴在一根20m装满水的铁管的一端，乙同学在另一端用力敲一下铁管，甲同学能听到（已知空气中的声速为340m/s,水中声速为1500m/s,铁中声速为5200m/s）（ ）</x:v>
      </x:c>
      <x:c r="L664" s="63" t="str">
        <x:v>A. 1次敲击声 B. 2次敲击声 C. 3次敲击声 D. 多次敲击声</x:v>
      </x:c>
      <x:c r="M664" s="63" t="str">
        <x:v>解：由于声音在不同介质中的传播速度不同，在固体传播最快，而在气体中传播最慢。当乙同学在一端用力敲一下铁管。甲同学将耳朵贴在一根长铁管的另一端时，声音会传播三次，即第一次是通过铁管这一固体传播过来的，另一次是通过水传播过来的，还有一次通过铁管周围的空气传播。 声音在铁、水、空气中传播20m所用的时间分别为： t1=$\frac{s}{{v}_{1}}$=$\frac{20m}{5200m/s}$≈0.004s； t2=$\frac{s}{{v}_{2}}=\frac{20m}{1500m/s}$≈0.0133s； t3=$\frac{s}{{v}_{3}}$=$\frac{20m}{340m/s}$≈0.0588s。 分析上述数据，人耳能够区分两次声音的时间间隔0.1s,故能听到一次声音。 故选：A。</x:v>
      </x:c>
      <x:c r="N664" s="63" t="str">
        <x:v>https://k12static.xdf.cn/k12/image/externalized/7b8614d6-dde2-4836-9144-9c61c6a792c0.png</x:v>
      </x:c>
      <x:c r="O664" s="63" t="str">
        <x:v>https://k12static.xdf.cn/k12/image/externalized/8e3204c1-986b-4fa0-954f-943b9839323c.png</x:v>
      </x:c>
      <x:c r="P664" s="63" t="str">
        <x:v>3-5步</x:v>
      </x:c>
      <x:c r="Q664" s="63" t="str">
        <x:v>声学综合</x:v>
      </x:c>
      <x:c r="R664" s="63" t="str">
        <x:v>单状态</x:v>
      </x:c>
      <x:c r="S664" s="63" t="str">
        <x:v>单一约束</x:v>
      </x:c>
      <x:c r="T664" s="63" t="str">
        <x:v>无</x:v>
      </x:c>
      <x:c r="U664" s="63" t="str">
        <x:v>无</x:v>
      </x:c>
      <x:c r="V664" s="63" t="str">
        <x:v>多层因果推理</x:v>
      </x:c>
    </x:row>
    <x:row r="665">
      <x:c r="A665" s="64" t="str">
        <x:v>​2347134722121695232</x:v>
      </x:c>
      <x:c r="B665" s="65" t="str">
        <x:v>中等题</x:v>
      </x:c>
      <x:c r="C665" s="65" t="str">
        <x:v>中等题</x:v>
      </x:c>
      <x:c r="D665" s="65" t="str">
        <x:v>中等题</x:v>
      </x:c>
      <x:c r="E665" s="65" t="str">
        <x:v>保留原GPT裁定</x:v>
      </x:c>
      <x:c r="F665" s="65" t="str">
        <x:v>高</x:v>
      </x:c>
      <x:c r="G665" s="65" t="str">
        <x:v>中等题</x:v>
      </x:c>
      <x:c r="H665" s="65" t="str">
        <x:v>中等题</x:v>
      </x:c>
      <x:c r="I665" s="65" t="str">
        <x:v>题干、解析与结构证据支持中等题：step=3-5步，题型=电学综合，状态=双状态，约束=单一约束，推理=多层因果推理。教师、盲评和多次模型证据中未形成足以推翻原裁定的同向结构证据。</x:v>
      </x:c>
      <x:c r="J665" s="65" t="str">
        <x:v>未进入三次错题并集；逐题结构一致性复核</x:v>
      </x:c>
      <x:c r="K665" s="63" t="str">
        <x:v>一只电阻两端的电压由3V增大到4V时，通过该电阻的电流增加了0.25A，则该电阻消耗的电功率增加了（ ）</x:v>
      </x:c>
      <x:c r="L665" s="63" t="str">
        <x:v>A. 0.25W B. 1.75W C. 0.75W D. 1W</x:v>
      </x:c>
      <x:c r="M665" s="63" t="str">
        <x:v>解：根据欧姆定律可得： 当U=3V时，电路中的电流I1=$\frac{U}{R}$=$\frac{3V}{R}$， 当U′=4V时，电路中的电流I2=$\frac{U′}{R}$=$\frac{4V}{R}$， 则$\frac{4V}{R}$-$\frac{3V}{R}$=0.25A， 解得：R=4Ω， 该电阻R所消耗电功率的变化： PR′-PR=$\frac{(U′)^{2}}{R}$-$\frac{{U}^{2}}{R}$=$\frac{(4V)^{2}}{4Ω}$-$\frac{(3V)^{2}}{4Ω}$=1.75W。 故选：B。</x:v>
      </x:c>
      <x:c r="N665" s="63" t="str">
        <x:v>https://k12static.xdf.cn/k12/image/externalized/e32f455a-3b30-4535-83c4-712163e052a4.png</x:v>
      </x:c>
      <x:c r="O665" s="63" t="str">
        <x:v>https://k12static.xdf.cn/k12/image/externalized/f769be07-83a7-4342-b329-1de82578741f.png</x:v>
      </x:c>
      <x:c r="P665" s="63" t="str">
        <x:v>3-5步</x:v>
      </x:c>
      <x:c r="Q665" s="63" t="str">
        <x:v>电学综合</x:v>
      </x:c>
      <x:c r="R665" s="63" t="str">
        <x:v>双状态</x:v>
      </x:c>
      <x:c r="S665" s="63" t="str">
        <x:v>单一约束</x:v>
      </x:c>
      <x:c r="T665" s="63" t="str">
        <x:v>无</x:v>
      </x:c>
      <x:c r="U665" s="63" t="str">
        <x:v>无</x:v>
      </x:c>
      <x:c r="V665" s="63" t="str">
        <x:v>多层因果推理</x:v>
      </x:c>
    </x:row>
    <x:row r="666">
      <x:c r="A666" s="64" t="str">
        <x:v>​2349668382437068800</x:v>
      </x:c>
      <x:c r="B666" s="65" t="str">
        <x:v>中等题</x:v>
      </x:c>
      <x:c r="C666" s="65" t="str">
        <x:v>中等题</x:v>
      </x:c>
      <x:c r="D666" s="65" t="str">
        <x:v>中等题</x:v>
      </x:c>
      <x:c r="E666" s="65" t="str">
        <x:v>保留原GPT裁定</x:v>
      </x:c>
      <x:c r="F666" s="65" t="str">
        <x:v>高</x:v>
      </x:c>
      <x:c r="G666" s="65" t="str">
        <x:v>中等题</x:v>
      </x:c>
      <x:c r="H666" s="65" t="str">
        <x:v>中等题</x:v>
      </x:c>
      <x:c r="I666" s="65" t="str">
        <x:v>题干、解析与结构证据支持中等题：step=3-5步，题型=力学综合，状态=双状态，约束=单一约束，推理=多层因果推理。教师、盲评和多次模型证据中未形成足以推翻原裁定的同向结构证据。</x:v>
      </x:c>
      <x:c r="J666" s="65" t="str">
        <x:v>未进入三次错题并集；逐题结构一致性复核</x:v>
      </x:c>
      <x:c r="K666" s="63" t="str">
        <x:v>用量筒、空瓶、小球和适量的水依次完成图示甲、乙、丙三步实验，量筒读数依次为V1、V2和V3．已知水的密度为ρ，则小球（ ）</x:v>
      </x:c>
      <x:c r="L666" s="63" t="str">
        <x:v>A. 体积为V2-V1 B. 体积为V3-V1 C. 质量为ρ（V3-V1） D. 质量为ρ（V2-V1）</x:v>
      </x:c>
      <x:c r="M666" s="63" t="str">
        <x:v>解：空瓶漂浮在水面上，受到的重力等于排开水的重力， 当小球放在空瓶中，瓶子还漂浮在水面上，根据增加的重力等于增加的浮力， 所以小球的质量等于增加的排开水的质量， 所以，m=m排水=（V2-V1）ρ， 小球的体积为V=V3-V1， 故AC错误，BD正确。 故选：BD。</x:v>
      </x:c>
      <x:c r="N666" s="63" t="str">
        <x:v>https://k12static.xdf.cn/k12/image/externalized/78ef8365-df21-4f9e-ab7d-56fe63322bc0.png</x:v>
      </x:c>
      <x:c r="O666" s="63" t="str">
        <x:v>https://k12static.xdf.cn/k12/image/externalized/b2efa6c0-46a5-480a-b5d2-39fe2f796022.png</x:v>
      </x:c>
      <x:c r="P666" s="63" t="str">
        <x:v>3-5步</x:v>
      </x:c>
      <x:c r="Q666" s="63" t="str">
        <x:v>力学综合</x:v>
      </x:c>
      <x:c r="R666" s="63" t="str">
        <x:v>双状态</x:v>
      </x:c>
      <x:c r="S666" s="63" t="str">
        <x:v>单一约束</x:v>
      </x:c>
      <x:c r="T666" s="63" t="str">
        <x:v>无</x:v>
      </x:c>
      <x:c r="U666" s="63" t="str">
        <x:v>无</x:v>
      </x:c>
      <x:c r="V666" s="63" t="str">
        <x:v>多层因果推理</x:v>
      </x:c>
    </x:row>
    <x:row r="667">
      <x:c r="A667" s="64" t="str">
        <x:v>​2351979725496266752</x:v>
      </x:c>
      <x:c r="B667" s="65" t="str">
        <x:v>中等题</x:v>
      </x:c>
      <x:c r="C667" s="65" t="str">
        <x:v>中等题</x:v>
      </x:c>
      <x:c r="D667" s="65" t="str">
        <x:v>中等题</x:v>
      </x:c>
      <x:c r="E667" s="65" t="str">
        <x:v>逐题复核后保留GPT裁定</x:v>
      </x:c>
      <x:c r="F667" s="65" t="str">
        <x:v>高</x:v>
      </x:c>
      <x:c r="G667" s="65" t="str">
        <x:v>中等题</x:v>
      </x:c>
      <x:c r="H667" s="65" t="str">
        <x:v>中等题</x:v>
      </x:c>
      <x:c r="I667" s="65" t="str">
        <x:v>需要围绕力学模型、运动/受力与能量关系完成常规的3—4个有效决策，或完成一套完整标准实验/共享过程分析。关系仍显性、方法常规，没有决定性隐含转换、复杂边界筛选或多状态强耦合。</x:v>
      </x:c>
      <x:c r="J667" s="65" t="str">
        <x:v>三次运行错题并集逐题复核</x:v>
      </x:c>
      <x:c r="K667" s="63" t="str">
        <x:v>一辆汽车以$30m/s$的速度从$A$地开往$B$地，然后立即返回，速度是$20m/s$。则汽车往返的平均速度是$(\qquad)$</x:v>
      </x:c>
      <x:c r="L667" s="63" t="str">
        <x:v>A. $24$ $m/s$ B. $25$ $m/s$ C. $26$ $m/s$ D. 无法判断</x:v>
      </x:c>
      <x:c r="M667" s="63" t="str">
        <x:v>设$A$、$B$两地的路程是$s$， $\because v=\dfrac{s}{t}$， $\therefore$ 汽车的运动时间：$t_{1}=\dfrac{s}{{v}_{1}}$，$t_{2}=\dfrac{s}{{v}_{2}}$， 往返的平均速度：$v=\dfrac{s+s}{{t}_{1}+{t}_{2}}=\dfrac{2s}{\dfrac{s}{30m/s}+\dfrac{s}{20m/s}}=24m/s$； 故选：A。</x:v>
      </x:c>
      <x:c r="N667" s="63" t="str">
        <x:v>https://k12static.xdf.cn/k12/image/externalized/6b0d7adc-e79c-4020-8323-869a1b99fa2f.png</x:v>
      </x:c>
      <x:c r="O667" s="63" t="str">
        <x:v>https://k12static.xdf.cn/k12/image/externalized/7f82edb2-03b3-4ea8-bc00-52ca1de21c07.png</x:v>
      </x:c>
      <x:c r="P667" s="63" t="str">
        <x:v>3-5步</x:v>
      </x:c>
      <x:c r="Q667" s="63" t="str">
        <x:v>力学综合</x:v>
      </x:c>
      <x:c r="R667" s="63" t="str">
        <x:v>双状态</x:v>
      </x:c>
      <x:c r="S667" s="63" t="str">
        <x:v>无约束</x:v>
      </x:c>
      <x:c r="T667" s="63" t="str">
        <x:v>无</x:v>
      </x:c>
      <x:c r="U667" s="63" t="str">
        <x:v>无</x:v>
      </x:c>
      <x:c r="V667" s="63" t="str">
        <x:v>多层因果推理</x:v>
      </x:c>
    </x:row>
    <x:row r="668">
      <x:c r="A668" s="64" t="str">
        <x:v>​2354035905352200192</x:v>
      </x:c>
      <x:c r="B668" s="65" t="str">
        <x:v>拔高题</x:v>
      </x:c>
      <x:c r="C668" s="65" t="str">
        <x:v>拔高题</x:v>
      </x:c>
      <x:c r="D668" s="65" t="str">
        <x:v>拔高题</x:v>
      </x:c>
      <x:c r="E668" s="65" t="str">
        <x:v>保留原GPT裁定</x:v>
      </x:c>
      <x:c r="F668" s="65" t="str">
        <x:v>高</x:v>
      </x:c>
      <x:c r="G668" s="65" t="str">
        <x:v>拔高题</x:v>
      </x:c>
      <x:c r="H668" s="65" t="str">
        <x:v>拔高题</x:v>
      </x:c>
      <x:c r="I668" s="65" t="str">
        <x:v>题干、解析与结构证据支持拔高题：step=6-8步，题型=电路综合，状态=双状态，约束=单一约束，推理=逆向推理或临界分析。教师、盲评和多次模型证据中未形成足以推翻原裁定的同向结构证据。</x:v>
      </x:c>
      <x:c r="J668" s="65" t="str">
        <x:v>未进入三次错题并集；逐题结构一致性复核</x:v>
      </x:c>
      <x:c r="K668" s="63" t="str">
        <x:v>如图甲为探究电流与电压关系的电路图，开关S闭合后，将滑动变阻器滑片P从a端移至b端，电流表和电压表的示数变化关系如图乙所示，由图象可知（ ）</x:v>
      </x:c>
      <x:c r="L668" s="63" t="str">
        <x:v>A. 电阻R0两端的电压与通过R0的电流成正比 B. R0的阻值是10Ω C. 该电路的总功率变化范围为 0.05～1.8W D. R的电功率变化范围为0～0.45W</x:v>
      </x:c>
      <x:c r="M668" s="63" t="str">
        <x:v>解： A、由图象可知：电阻一定时，导体中的电流与加在这段导体两端的电压成正比关系，而不能说电阻R0两端的电压与通过R0的电流成正比，故A错误； B、由图甲所示电路图可知，滑片在b端时，电阻R0接在电源两端，电压表测电源电压，此时电路电流最大，由图乙所示图象可知，此时电阻R0两端电压，即电源电压U=3.0V，电路电流I=0.6A， 根据I=$\frac{U}{R}$得电阻R0的阻值为：R0=$\frac{U}{I}$=$\frac{3.0V}{0.6A}$=5Ω，故B错误； C、由图知电路的最小电流为0.1A，该电路的总功率最小为： P小=UI小=3.0V×0.1A=0.3W， 电路的最大电流为0.5A，该电路的总功率最大为： P大=UI大=3.0V×0.6A=1.8W， 所以该电路的总功率变化范围为 0.3～1.8W，故C错误； D、当滑片位于a端时，变阻器接入电路中的电阻最大，此时变阻器R两端的电压为：Ua=U-U0=3V-0.5V=2.5V， 由I=可得，滑动变阻器R的最大阻值：R最大=$\frac{{U}_{a}}{{I}_{最小}}$=$\frac{2.5V}{0.1A}$=25Ω； 滑动变阻器与R0串联，因串联电路中总电阻等于各分电阻之和， 所以，电路中的电流：I=$\frac{U}{R+{R}_{0}}$=$\frac{3V}{5Ω+R}$， 滑动变阻器消耗的电功率： PR=I2R=（$\frac{3V}{5Ω+R}$）2R=$\frac{(3V)^{2}}{\frac{(5Ω+R)^{2}}{R}}$=$\frac{(3V)^{2}}{\frac{(5Ω-R)^{2}}{R}+20Ω}$， 所以，当R=5Ω时，滑动变阻器消耗的电功率最大，即：PRmax=$\frac{(3V)^{2}}{20Ω}$=0.45W， 当滑片P移至b端时，变阻器接入电路的阻值为0，其消耗的功率最小为0， 由此可知，滑动变阻器消耗电功率的范围为0～0.45W，故D正确。 故选：D。</x:v>
      </x:c>
      <x:c r="N668" s="63" t="str">
        <x:v>https://k12static.xdf.cn/k12/image/externalized/1c11995d-0ac2-4c53-90fc-c54e138bfd65.png</x:v>
      </x:c>
      <x:c r="O668" s="63" t="str">
        <x:v>https://k12static.xdf.cn/k12/image/externalized/4f39b967-20b0-45aa-a3a3-214bcc51ba9a.png</x:v>
      </x:c>
      <x:c r="P668" s="63" t="str">
        <x:v>6-8步</x:v>
      </x:c>
      <x:c r="Q668" s="63" t="str">
        <x:v>电路综合</x:v>
      </x:c>
      <x:c r="R668" s="63" t="str">
        <x:v>双状态</x:v>
      </x:c>
      <x:c r="S668" s="63" t="str">
        <x:v>单一约束</x:v>
      </x:c>
      <x:c r="T668" s="63" t="str">
        <x:v>无</x:v>
      </x:c>
      <x:c r="U668" s="63" t="str">
        <x:v>图像反推或外推</x:v>
      </x:c>
      <x:c r="V668" s="63" t="str">
        <x:v>逆向推理或临界分析</x:v>
      </x:c>
    </x:row>
    <x:row r="669">
      <x:c r="A669" s="64" t="str">
        <x:v>​2354270037929373696</x:v>
      </x:c>
      <x:c r="B669" s="65" t="str">
        <x:v>中等题</x:v>
      </x:c>
      <x:c r="C669" s="65" t="str">
        <x:v>中等题</x:v>
      </x:c>
      <x:c r="D669" s="65" t="str">
        <x:v>中等题</x:v>
      </x:c>
      <x:c r="E669" s="65" t="str">
        <x:v>保留原GPT裁定</x:v>
      </x:c>
      <x:c r="F669" s="65" t="str">
        <x:v>高</x:v>
      </x:c>
      <x:c r="G669" s="65" t="str">
        <x:v>中等题</x:v>
      </x:c>
      <x:c r="H669" s="65" t="str">
        <x:v>中等题</x:v>
      </x:c>
      <x:c r="I669" s="65" t="str">
        <x:v>题干、解析与结构证据支持中等题：step=3-5步，题型=概念判断，状态=单状态，约束=无约束，推理=多层因果推理。教师、盲评和多次模型证据中未形成足以推翻原裁定的同向结构证据。</x:v>
      </x:c>
      <x:c r="J669" s="65" t="str">
        <x:v>未进入三次错题并集；逐题结构一致性复核</x:v>
      </x:c>
      <x:c r="K669" s="63" t="str">
        <x:v>如图所示，小新同学在“探究平面镜成像特点”时，在竖立的玻璃板下铺上白纸，玻璃板前放一只点燃的蜡烛A，发现玻璃板后出现蜡烛的像，他再取一段未点燃的相同的蜡烛B放在像处，观察到蜡烛B与蜡烛A的像完全重合。下列说法正确的是（ ）</x:v>
      </x:c>
      <x:c r="L669" s="63" t="str">
        <x:v>A. 实验中研究的物体是蜡烛A的烛身，点燃它是为了使成像更亮 B. 在蜡烛B位置放一个光屏，透过玻璃板在光屏上能看到像，说明平面镜成像是实像 C. 探究像与物的位置关系需要处理平铺的白纸上的信息，要用到刻度尺和量角器 D. 透过玻璃板观察到的“蜡烛B”实为折射成像，因此替代平面镜的玻璃板应选薄的</x:v>
      </x:c>
      <x:c r="M669" s="63" t="str">
        <x:v>解：A、实验中研究的物体是蜡烛A的烛身，点燃它是为了使成像更亮，故A正确； B、说明平面镜成像是虚像，故B错误； C、本实验要研究像与物和镜面的关系，探究像与物的位置关系需要处理平铺的白纸上的信息，要用到刻度尺和量角器，故C正确； D、光从一种介质斜射入另一种介质时，传播方向发生改变，叫光的折射，透过玻璃板观察到的“蜡烛B”实为折射成像，为减小对实验的影响，因此替代平面镜的玻璃板应选薄的，故D正确。 故选ACD。</x:v>
      </x:c>
      <x:c r="N669" s="63" t="str">
        <x:v>https://k12static.xdf.cn/k12/image/externalized/d46592a0-dd70-4daf-ba49-b714f6ca79d9.png</x:v>
      </x:c>
      <x:c r="O669" s="63" t="str">
        <x:v>https://k12static.xdf.cn/k12/image/externalized/a61d14a6-3e85-4ecf-8721-dbff659c7a26.png</x:v>
      </x:c>
      <x:c r="P669" s="63" t="str">
        <x:v>3-5步</x:v>
      </x:c>
      <x:c r="Q669" s="63" t="str">
        <x:v>概念判断</x:v>
      </x:c>
      <x:c r="R669" s="63" t="str">
        <x:v>单状态</x:v>
      </x:c>
      <x:c r="S669" s="63" t="str">
        <x:v>无约束</x:v>
      </x:c>
      <x:c r="T669" s="63" t="str">
        <x:v>控制变量或故障分析</x:v>
      </x:c>
      <x:c r="U669" s="63" t="str">
        <x:v>无</x:v>
      </x:c>
      <x:c r="V669" s="63" t="str">
        <x:v>多层因果推理</x:v>
      </x:c>
    </x:row>
    <x:row r="670">
      <x:c r="A670" s="64" t="str">
        <x:v>​2355423082534158336</x:v>
      </x:c>
      <x:c r="B670" s="65" t="str">
        <x:v>基础题</x:v>
      </x:c>
      <x:c r="C670" s="65" t="str">
        <x:v>基础题</x:v>
      </x:c>
      <x:c r="D670" s="65" t="str">
        <x:v>基础题</x:v>
      </x:c>
      <x:c r="E670" s="65" t="str">
        <x:v>逐题复核后保留GPT裁定</x:v>
      </x:c>
      <x:c r="F670" s="65" t="str">
        <x:v>高</x:v>
      </x:c>
      <x:c r="G670" s="65" t="str">
        <x:v>基础题</x:v>
      </x:c>
      <x:c r="H670" s="65" t="str">
        <x:v>基础题</x:v>
      </x:c>
      <x:c r="I670" s="65" t="str">
        <x:v>多个空/选项彼此独立，不形成连续链；最高难任务属于教材概念与常规物理关系中的1—2步直接应用、规范操作或简单因果判断。需要理解/应用而非纯识记，但没有共享中间结论、完整连续过程或隐含转换。</x:v>
      </x:c>
      <x:c r="J670" s="65" t="str">
        <x:v>三次运行错题并集逐题复核</x:v>
      </x:c>
      <x:c r="K670" s="63" t="str">
        <x:v>密度定义式由于写成如图所示的样式，而被称为“物理最美公式”.下列关于该公式的说法中正确的是（ ）</x:v>
      </x:c>
      <x:c r="L670" s="63" t="str">
        <x:v>A. 同种物质的密度与物体的质量成正比 B. 由公式可知物质的密度由其质量与体积共同决定 C. 对于同种物质组成的不同物体，物体的质量与体积成正比 D. 密度是物质的特性之一，只要物质种类不变，任何条件下它的密度都不改变</x:v>
      </x:c>
      <x:c r="M670" s="63" t="str">
        <x:v>解：AB、密度是物质的一种特性，与物质的质量、体积无关，故AB错误； C、对于同种物质组成的不同物体，质量越大体积越大，物体的质量与体积成正比，故C正确； D、同种物质的密度随温度、状态的变化而变化，故D错误。 故选：C。</x:v>
      </x:c>
      <x:c r="N670" s="63" t="str">
        <x:v>https://k12static.xdf.cn/k12/image/externalized/dda2dff5-6cb3-4f1e-a37e-00d92f9b820c.png</x:v>
      </x:c>
      <x:c r="O670" s="63" t="str">
        <x:v>https://k12static.xdf.cn/k12/image/externalized/09c3ed19-26ca-4da5-b045-5fc954802713.png</x:v>
      </x:c>
      <x:c r="P670" s="63" t="str">
        <x:v>1-2步</x:v>
      </x:c>
      <x:c r="Q670" s="63" t="str">
        <x:v>概念判断</x:v>
      </x:c>
      <x:c r="R670" s="63" t="str">
        <x:v>单状态</x:v>
      </x:c>
      <x:c r="S670" s="63" t="str">
        <x:v>无约束</x:v>
      </x:c>
      <x:c r="T670" s="63" t="str">
        <x:v>无</x:v>
      </x:c>
      <x:c r="U670" s="63" t="str">
        <x:v>无</x:v>
      </x:c>
      <x:c r="V670" s="63" t="str">
        <x:v>简单因果推理</x:v>
      </x:c>
    </x:row>
    <x:row r="671">
      <x:c r="A671" s="64" t="str">
        <x:v>​2355435111378612224</x:v>
      </x:c>
      <x:c r="B671" s="65" t="str">
        <x:v>基础题</x:v>
      </x:c>
      <x:c r="C671" s="65" t="str">
        <x:v>基础题</x:v>
      </x:c>
      <x:c r="D671" s="65" t="str">
        <x:v>基础题</x:v>
      </x:c>
      <x:c r="E671" s="65" t="str">
        <x:v>保留原GPT裁定</x:v>
      </x:c>
      <x:c r="F671" s="65" t="str">
        <x:v>高</x:v>
      </x:c>
      <x:c r="G671" s="65" t="str">
        <x:v>基础题</x:v>
      </x:c>
      <x:c r="H671" s="65" t="str">
        <x:v>基础题</x:v>
      </x:c>
      <x:c r="I671" s="65" t="str">
        <x:v>题干、解析与结构证据支持基础题：step=1-2步，题型=图像表格分析，状态=单状态，约束=无约束，推理=简单因果推理。教师、盲评和多次模型证据中未形成足以推翻原裁定的同向结构证据。</x:v>
      </x:c>
      <x:c r="J671" s="65" t="str">
        <x:v>未进入三次错题并集；逐题结构一致性复核</x:v>
      </x:c>
      <x:c r="K671" s="63" t="str">
        <x:v>如图为甲、乙两种物质的m-V图像。下列说法正确的是（ ）</x:v>
      </x:c>
      <x:c r="L671" s="63" t="str">
        <x:v>A. 体积为20cm3的甲物质的质量为10g B. 乙物质的密度为0.5×103g/cm3 C. 甲物质的密度比乙的密度小 D. 甲、乙质量相同时，乙的体积是甲的2倍</x:v>
      </x:c>
      <x:c r="M671" s="63" t="str">
        <x:v>解：A、由图可知体积为20cm3的甲物质的质量为20g,故A错误； B、乙物质的密度：${ρ}_{乙}=\frac{{m}_{乙}}{{V}_{乙}}=\frac{10g}{20c{m}^{3}}=0.5g/c{m}^{3}$，故B错误； C、由图可知，甲、乙的体积相同时，甲的质量大于乙的质量，由$ρ=\frac{m}{V}$可知甲的密度大于乙的密度，故C错误； D、由图可知，当甲、乙的质量均为10g时，甲的体积为10cm3，乙的体积为20cm3，因此乙的体积是甲的体积的2倍，故D正确。 故选：D。</x:v>
      </x:c>
      <x:c r="N671" s="63" t="str">
        <x:v>https://k12static.xdf.cn/k12/image/externalized/42d991a9-d4d2-488d-9b32-5be2f22147cd.png</x:v>
      </x:c>
      <x:c r="O671" s="63" t="str">
        <x:v>https://k12static.xdf.cn/k12/image/externalized/b04e77af-22ab-43c1-b1b1-e4f019e89fe3.png</x:v>
      </x:c>
      <x:c r="P671" s="63" t="str">
        <x:v>1-2步</x:v>
      </x:c>
      <x:c r="Q671" s="63" t="str">
        <x:v>图像表格分析</x:v>
      </x:c>
      <x:c r="R671" s="63" t="str">
        <x:v>单状态</x:v>
      </x:c>
      <x:c r="S671" s="63" t="str">
        <x:v>无约束</x:v>
      </x:c>
      <x:c r="T671" s="63" t="str">
        <x:v>无</x:v>
      </x:c>
      <x:c r="U671" s="63" t="str">
        <x:v>直接读数</x:v>
      </x:c>
      <x:c r="V671" s="63" t="str">
        <x:v>简单因果推理</x:v>
      </x:c>
    </x:row>
    <x:row r="672">
      <x:c r="A672" s="64" t="str">
        <x:v>​2355955293326233600</x:v>
      </x:c>
      <x:c r="B672" s="65" t="str">
        <x:v>中等题</x:v>
      </x:c>
      <x:c r="C672" s="65" t="str">
        <x:v>中等题</x:v>
      </x:c>
      <x:c r="D672" s="65" t="str">
        <x:v>中等题</x:v>
      </x:c>
      <x:c r="E672" s="65" t="str">
        <x:v>保留原GPT裁定</x:v>
      </x:c>
      <x:c r="F672" s="65" t="str">
        <x:v>高</x:v>
      </x:c>
      <x:c r="G672" s="65" t="str">
        <x:v>中等题</x:v>
      </x:c>
      <x:c r="H672" s="65" t="str">
        <x:v>中等题</x:v>
      </x:c>
      <x:c r="I672" s="65" t="str">
        <x:v>题干、解析与结构证据支持中等题：step=1-2步，题型=概念判断，状态=单状态，约束=无约束，推理=简单因果推理。教师、盲评和多次模型证据中未形成足以推翻原裁定的同向结构证据。</x:v>
      </x:c>
      <x:c r="J672" s="65" t="str">
        <x:v>未进入三次错题并集；逐题结构一致性复核</x:v>
      </x:c>
      <x:c r="K672" s="63" t="str">
        <x:v>某兴趣小组用相同的小烧杯甲、乙盛等量的水，在标准大气压下用相同的热源同时加热。如图所示，甲杯为隔水加热，乙杯为隔油加热，加热足够长时间后，测得甲杯外的水温100℃、乙杯外的油温为300℃，甲、乙两杯中的水不能沸腾的是 ，理由是 达到沸点， 继续吸热（填“能”或“不能”），最终两杯水的温度t甲 t乙（选填“＞”、“=”或“＜”）。</x:v>
      </x:c>
      <x:c r="L672" s="63" t="str"/>
      <x:c r="M672" s="63" t="str">
        <x:v>解：在一标准大气压下，水的沸点为100℃； （1）甲杯中的水温等于100℃，但由于不能继续从外面烧杯中吸收热量，所以不会沸腾； 乙烧杯外的物质达到了300℃，而水的沸点为100℃，故乙烧杯中的水能达到沸点且能够继续吸热，故乙烧杯的水能沸腾； （2）甲杯中的水温等于100℃，因为液体沸腾后温度保持不变，所以乙烧杯中的水温也为100℃，最终两杯水的温度t甲=t乙。 故答案为：甲；甲杯中的水；不能；=。</x:v>
      </x:c>
      <x:c r="N672" s="63" t="str">
        <x:v>https://k12static.xdf.cn/k12/image/externalized/87a1ef39-116c-4e79-9d66-316adea806b0.png</x:v>
      </x:c>
      <x:c r="O672" s="63" t="str">
        <x:v>https://k12static.xdf.cn/k12/image/externalized/ce59823c-7ad6-4c13-9b7c-4007acd7bfaf.png</x:v>
      </x:c>
      <x:c r="P672" s="63" t="str">
        <x:v>1-2步</x:v>
      </x:c>
      <x:c r="Q672" s="63" t="str">
        <x:v>概念判断</x:v>
      </x:c>
      <x:c r="R672" s="63" t="str">
        <x:v>单状态</x:v>
      </x:c>
      <x:c r="S672" s="63" t="str">
        <x:v>无约束</x:v>
      </x:c>
      <x:c r="T672" s="63" t="str">
        <x:v>无</x:v>
      </x:c>
      <x:c r="U672" s="63" t="str">
        <x:v>无</x:v>
      </x:c>
      <x:c r="V672" s="63" t="str">
        <x:v>简单因果推理</x:v>
      </x:c>
    </x:row>
    <x:row r="673">
      <x:c r="A673" s="64" t="str">
        <x:v>​2355961236336234496</x:v>
      </x:c>
      <x:c r="B673" s="65" t="str">
        <x:v>中等题</x:v>
      </x:c>
      <x:c r="C673" s="65" t="str">
        <x:v>中等题</x:v>
      </x:c>
      <x:c r="D673" s="65" t="str">
        <x:v>中等题</x:v>
      </x:c>
      <x:c r="E673" s="65" t="str">
        <x:v>保留原GPT裁定</x:v>
      </x:c>
      <x:c r="F673" s="65" t="str">
        <x:v>高</x:v>
      </x:c>
      <x:c r="G673" s="65" t="str">
        <x:v>中等题</x:v>
      </x:c>
      <x:c r="H673" s="65" t="str">
        <x:v>中等题</x:v>
      </x:c>
      <x:c r="I673" s="65" t="str">
        <x:v>题干、解析与结构证据支持中等题：step=1-2步，题型=实验探究，状态=单状态，约束=无约束，推理=多层因果推理。教师、盲评和多次模型证据中未形成足以推翻原裁定的同向结构证据。</x:v>
      </x:c>
      <x:c r="J673" s="65" t="str">
        <x:v>未进入三次错题并集；逐题结构一致性复核</x:v>
      </x:c>
      <x:c r="K673" s="63" t="str">
        <x:v>小明发现严冬季节水缸里的水结冰了，但腌菜缸里的盐水却没有，小明猜想，水中加入别的物质后，一定会对水的凝固点产生影响。为了验证这一猜想，他将一些盐放入水中，并把盐水用容器盛好放入冰箱，研究盐水的凝固过程。每隔一定时间，小明就观察盐水状态、测出温度，并将凝固过程记录的温度数据画成了凝固图象如图甲所示。 （1）从图象中得到晶体的液态物质在凝固时的温度将 ________ 。（选填“变大”“变小”或“不变”） （2）盐水的凝固点为 ________ ℃．由此证明了小明的猜想是 ________ （选填“正确”、“错误”）的，严寒的冬天，地面上的积雪不能及时熔化，会影响交通安全。人们采取在雪上撒盐的方法，可使雪在较低气温下熔化。原因是：在雪上撒盐可以 ________ （填“提高”或“降低”）雪的熔点。 （3）如果将一个装有冰水混合物的试管放入正在熔化的盐冰水混合物中如图乙所示，试管中冰水混合物中的冰会 ________ （选填“变多”、“变少”或“不变”）。</x:v>
      </x:c>
      <x:c r="L673" s="63" t="str"/>
      <x:c r="M673" s="63" t="str">
        <x:v>解：（1）晶体凝固的过程中温度是保持不变的， （2）从图象可知：温度保持不变的温度是-2℃，故该盐水的凝固点是-2℃； 又知：水的凝固点是0℃，与水相比，盐水的凝固点变低，所以小明的猜想是正确的； 人们采取在雪上撒盐的方法，可使雪在较低气温下熔化。原因是：在雪上撒盐可以降低雪的熔点，使雪在温度较低的情况下也能尽快熔化； （3）冰水混合物的温度是0℃，而盐冰水混合物的温度是-2℃；冰水混合物会向盐冰水混合物放热；冰水混合物中的水会达到凝固结冰的条件，冰水混合物中的冰会变多。 故答案为：（1）不变；（2）-2；正确；降低；（3）变多。</x:v>
      </x:c>
      <x:c r="N673" s="63" t="str">
        <x:v>https://k12static.xdf.cn/k12/image/externalized/be6b4f9b-e00b-4a77-a2d8-ea2465bc8c4a.png</x:v>
      </x:c>
      <x:c r="O673" s="63" t="str">
        <x:v>https://k12static.xdf.cn/k12/image/externalized/5f523c32-d896-4449-96d5-615971d0f278.png</x:v>
      </x:c>
      <x:c r="P673" s="63" t="str">
        <x:v>1-2步</x:v>
      </x:c>
      <x:c r="Q673" s="63" t="str">
        <x:v>实验探究</x:v>
      </x:c>
      <x:c r="R673" s="63" t="str">
        <x:v>单状态</x:v>
      </x:c>
      <x:c r="S673" s="63" t="str">
        <x:v>无约束</x:v>
      </x:c>
      <x:c r="T673" s="63" t="str">
        <x:v>控制变量或故障分析</x:v>
      </x:c>
      <x:c r="U673" s="63" t="str">
        <x:v>直接读数</x:v>
      </x:c>
      <x:c r="V673" s="63" t="str">
        <x:v>多层因果推理</x:v>
      </x:c>
    </x:row>
    <x:row r="674">
      <x:c r="A674" s="64" t="str">
        <x:v>​2356168074272989184</x:v>
      </x:c>
      <x:c r="B674" s="65" t="str">
        <x:v>中等题</x:v>
      </x:c>
      <x:c r="C674" s="65" t="str">
        <x:v>中等题</x:v>
      </x:c>
      <x:c r="D674" s="65" t="str">
        <x:v>中等题</x:v>
      </x:c>
      <x:c r="E674" s="65" t="str">
        <x:v>逐题复核后保留GPT裁定</x:v>
      </x:c>
      <x:c r="F674" s="65" t="str">
        <x:v>高</x:v>
      </x:c>
      <x:c r="G674" s="65" t="str">
        <x:v>中等题</x:v>
      </x:c>
      <x:c r="H674" s="65" t="str">
        <x:v>中等题</x:v>
      </x:c>
      <x:c r="I674" s="65" t="str">
        <x:v>需要围绕光路、成像条件与几何关系完成常规的3—4个有效决策，或完成一套完整标准实验/共享过程分析。关系仍显性、方法常规，没有决定性隐含转换、复杂边界筛选或多状态强耦合。</x:v>
      </x:c>
      <x:c r="J674" s="65" t="str">
        <x:v>三次运行错题并集逐题复核</x:v>
      </x:c>
      <x:c r="K674" s="63" t="str">
        <x:v>有关显隐杯的记载，古籍中不乏其例。其原理是在杯内底中央置一图案，图案上盖一凸透镜。如图所示，杯中倒入酒，俯视时，图案处于酒与凸透镜组成的新透镜焦距之内，会被清楚地看到，则此时（ ）</x:v>
      </x:c>
      <x:c r="L674" s="63" t="str">
        <x:v>A. 杯中酒相当于一块凸透镜 B. 成的是缩小的像 C. 新透镜成像原理与放大镜相同 D. 成的像是实像</x:v>
      </x:c>
      <x:c r="M674" s="63" t="str">
        <x:v>解：杯中酒中间薄、边缘厚，相当于一块凹透镜；杯中倒入酒，俯视时，图案处于处于酒与凸透镜组成的新透镜焦距之内，成正立、放大的虚像，故AC正确。 故选：C。</x:v>
      </x:c>
      <x:c r="N674" s="63" t="str">
        <x:v>https://k12static.xdf.cn/k12/image/externalized/7df33ccd-c2c1-4459-bde9-24b47ae2edf1.png</x:v>
      </x:c>
      <x:c r="O674" s="63" t="str">
        <x:v>https://k12static.xdf.cn/k12/image/externalized/193bffe1-86bd-496d-87f0-c40c6c02805f.png</x:v>
      </x:c>
      <x:c r="P674" s="63" t="str">
        <x:v>1-2步</x:v>
      </x:c>
      <x:c r="Q674" s="63" t="str">
        <x:v>概念判断</x:v>
      </x:c>
      <x:c r="R674" s="63" t="str">
        <x:v>单状态</x:v>
      </x:c>
      <x:c r="S674" s="63" t="str">
        <x:v>无约束</x:v>
      </x:c>
      <x:c r="T674" s="63" t="str">
        <x:v>无</x:v>
      </x:c>
      <x:c r="U674" s="63" t="str">
        <x:v>无</x:v>
      </x:c>
      <x:c r="V674" s="63" t="str">
        <x:v>简单因果推理</x:v>
      </x:c>
    </x:row>
    <x:row r="675">
      <x:c r="A675" s="64" t="str">
        <x:v>​2363152510091567104</x:v>
      </x:c>
      <x:c r="B675" s="65" t="str">
        <x:v>拔高题</x:v>
      </x:c>
      <x:c r="C675" s="65" t="str">
        <x:v>拔高题</x:v>
      </x:c>
      <x:c r="D675" s="65" t="str">
        <x:v>拔高题</x:v>
      </x:c>
      <x:c r="E675" s="65" t="str">
        <x:v>逐题复核后保留GPT裁定</x:v>
      </x:c>
      <x:c r="F675" s="65" t="str">
        <x:v>高</x:v>
      </x:c>
      <x:c r="G675" s="65" t="str">
        <x:v>拔高题</x:v>
      </x:c>
      <x:c r="H675" s="65" t="str">
        <x:v>拔高题</x:v>
      </x:c>
      <x:c r="I675" s="65" t="str">
        <x:v>存在决定性反推/等效/误差/几何转换，或同一装置中的5—6步高密度综合链。 题目证据：最长连续链实际有效物理决策约4步，五维锚定落在中等/拔高区间：知识量涉及匀速直线运动、路程速度时间关系两个关联知识点，过程/对象为平日接站和当日提前出发两个状态，需要自主挖掘隐含的小车往返路程时间关系，思维层次属于逆向推理，数学工具仅简单比例计算。核心任务是发现小车相遇点到平日上车点的时间差，并推导往返的提前时间，属于存在决定性转换的题目。</x:v>
      </x:c>
      <x:c r="J675" s="65" t="str">
        <x:v>三次运行错题并集逐题复核</x:v>
      </x:c>
      <x:c r="K675" s="63" t="str">
        <x:v>某高校每天早上都派小汽车准时接刘教授上班。一次，刘教授为了早一点赶到学校，比平时提前半小时出发步行去学校，走了27min时遇到来接他的小汽车，他上车后小汽车立即掉头前进。设刘教授步行速度恒定为v,小汽车来回速度大小恒定为u,刘教授上车以及小汽车掉头时间不计，则可判断（ ）</x:v>
      </x:c>
      <x:c r="L675" s="63" t="str">
        <x:v>A. 刘教授将会提前9min到校 B. 刘教授将会提前6min到校 C. u：v=6：1 D. u：v=9：1</x:v>
      </x:c>
      <x:c r="M675" s="63" t="str">
        <x:v>解：因为小车是准时的，刘教授提前30min走，现在已经过了27min,如果刘教授等着不走，那么小车现在从遇到刘教授的地方到达刘教授平时上车的地方需要3min,则：刘教授步行的路程为：s=27min×v, 小车行驶这段路程的车速：u=$\frac{s}{3min}$=$\frac{27min×v}{3min}$=9v,所以v：u=1：9； 提前的时间就是小车少走了3min路程的往返时间，即6min。 故选：BD。</x:v>
      </x:c>
      <x:c r="N675" s="63" t="str">
        <x:v>https://k12static.xdf.cn/k12/image/externalized/293851d5-ee2c-4509-a8ee-83011ece0306.png</x:v>
      </x:c>
      <x:c r="O675" s="63" t="str">
        <x:v>https://k12static.xdf.cn/k12/image/externalized/31cb6ea8-3387-4963-9bbe-bf35232cd9c8.png</x:v>
      </x:c>
      <x:c r="P675" s="63" t="str">
        <x:v>3-5步</x:v>
      </x:c>
      <x:c r="Q675" s="63" t="str">
        <x:v>力学综合</x:v>
      </x:c>
      <x:c r="R675" s="63" t="str">
        <x:v>双状态</x:v>
      </x:c>
      <x:c r="S675" s="63" t="str">
        <x:v>单一约束</x:v>
      </x:c>
      <x:c r="T675" s="63" t="str">
        <x:v>无</x:v>
      </x:c>
      <x:c r="U675" s="63" t="str">
        <x:v>无</x:v>
      </x:c>
      <x:c r="V675" s="63" t="str">
        <x:v>逆向推理或临界分析</x:v>
      </x:c>
    </x:row>
    <x:row r="676">
      <x:c r="A676" s="64" t="str">
        <x:v>​2370733779399499776</x:v>
      </x:c>
      <x:c r="B676" s="65" t="str">
        <x:v>送分题</x:v>
      </x:c>
      <x:c r="C676" s="65" t="str">
        <x:v>送分题</x:v>
      </x:c>
      <x:c r="D676" s="65" t="str">
        <x:v>送分题</x:v>
      </x:c>
      <x:c r="E676" s="65" t="str">
        <x:v>保留原GPT裁定</x:v>
      </x:c>
      <x:c r="F676" s="65" t="str">
        <x:v>高</x:v>
      </x:c>
      <x:c r="G676" s="65" t="str">
        <x:v>送分题</x:v>
      </x:c>
      <x:c r="H676" s="65" t="str">
        <x:v>送分题</x:v>
      </x:c>
      <x:c r="I676" s="65" t="str">
        <x:v>题干、解析与结构证据支持送分题：step=1-2步，题型=概念判断，状态=单状态，约束=无约束，推理=直接套用。教师、盲评和多次模型证据中未形成足以推翻原裁定的同向结构证据。</x:v>
      </x:c>
      <x:c r="J676" s="65" t="str">
        <x:v>未进入三次错题并集；逐题结构一致性复核</x:v>
      </x:c>
      <x:c r="K676" s="63" t="str">
        <x:v>从手中抛出的石块，在空气中飞行时，如不计空气的阻力，则石块受到的力有（ ）</x:v>
      </x:c>
      <x:c r="L676" s="63" t="str">
        <x:v>A. 手的推力 B. 重力和手的推力 C. 重力 D. 不受到任何作用力</x:v>
      </x:c>
      <x:c r="M676" s="63" t="str">
        <x:v>解：在地球附近的任何物体都受重力作用，所以抛出去的石块，在不计阻力的情况下，只受重力作用； 故选：C。</x:v>
      </x:c>
      <x:c r="N676" s="63" t="str">
        <x:v>https://k12static.xdf.cn/k12/image/externalized/85277a28-4176-4bbd-9be2-55cf38a5be05.png</x:v>
      </x:c>
      <x:c r="O676" s="63" t="str">
        <x:v>https://k12static.xdf.cn/k12/image/externalized/87cf4acd-d796-458c-8682-0a6fe9d5a32d.png</x:v>
      </x:c>
      <x:c r="P676" s="63" t="str">
        <x:v>1-2步</x:v>
      </x:c>
      <x:c r="Q676" s="63" t="str">
        <x:v>概念判断</x:v>
      </x:c>
      <x:c r="R676" s="63" t="str">
        <x:v>单状态</x:v>
      </x:c>
      <x:c r="S676" s="63" t="str">
        <x:v>无约束</x:v>
      </x:c>
      <x:c r="T676" s="63" t="str">
        <x:v>无</x:v>
      </x:c>
      <x:c r="U676" s="63" t="str">
        <x:v>无</x:v>
      </x:c>
      <x:c r="V676" s="63" t="str">
        <x:v>直接套用</x:v>
      </x:c>
    </x:row>
    <x:row r="677">
      <x:c r="A677" s="64" t="str">
        <x:v>​2371782414588792832</x:v>
      </x:c>
      <x:c r="B677" s="65" t="str">
        <x:v>中等题</x:v>
      </x:c>
      <x:c r="C677" s="65" t="str">
        <x:v>中等题</x:v>
      </x:c>
      <x:c r="D677" s="65" t="str">
        <x:v>中等题</x:v>
      </x:c>
      <x:c r="E677" s="65" t="str">
        <x:v>保留原GPT裁定</x:v>
      </x:c>
      <x:c r="F677" s="65" t="str">
        <x:v>高</x:v>
      </x:c>
      <x:c r="G677" s="65" t="str">
        <x:v>中等题</x:v>
      </x:c>
      <x:c r="H677" s="65" t="str">
        <x:v>中等题</x:v>
      </x:c>
      <x:c r="I677" s="65" t="str">
        <x:v>题干、解析与结构证据支持中等题：step=3-5步，题型=概念判断，状态=单状态，约束=单一约束，推理=多层因果推理。教师、盲评和多次模型证据中未形成足以推翻原裁定的同向结构证据。</x:v>
      </x:c>
      <x:c r="J677" s="65" t="str">
        <x:v>未进入三次错题并集；逐题结构一致性复核</x:v>
      </x:c>
      <x:c r="K677" s="63" t="str">
        <x:v>如图所示，圆柱形容器A、B，盛有体积相同的液体。若两容器底部受到的液体压强分别为pA、pB，液体的质量分别为mA、mB。则下列判断正确的是​（ ）</x:v>
      </x:c>
      <x:c r="L677" s="63" t="str">
        <x:v>A. 若mA等于mB，则pA可能等于pB B. 若mA等于mB，则pA一定等于pB C. 若mA大于mB，则pA一定大于pB D. 若mA小于mB，则pA一定小于pB</x:v>
      </x:c>
      <x:c r="M677" s="63" t="str">
        <x:v>解： AB、若mA等于mB，根据G=mg可知，GA=GB；规则形容器底部受到的压力等于液体的重力，所以两个容器底部受到液体的压力相同；根据图示可知，SA＞SB，根据p=$\frac{F}{S}$可知，pA＜pB，故AB错误； C、若mA大于mB，根据G=mg可知，GA＞GB；规则形容器底部受到的压力等于液体的重力，则FA＞FB；SA＞SB，根据p=$\frac{F}{S}$可知，无法判定压强的大小关系，故C错误； D、若mA大小于mB，根据G=mg可知，GA＜GB；规则形容器底部受到的压力等于液体的重力，则FA＜FB；SA＞SB，根据p=$\frac{F}{S}$可知，pA一定小于pB，故D正确。 故选：D。</x:v>
      </x:c>
      <x:c r="N677" s="63" t="str">
        <x:v>https://k12static.xdf.cn/k12/image/externalized/c3c48f3c-0039-4a6a-a84d-d8ab480a47c1.png</x:v>
      </x:c>
      <x:c r="O677" s="63" t="str">
        <x:v>https://k12static.xdf.cn/k12/image/externalized/90546a88-a0e3-4b17-a0e9-b09b16295cf2.png</x:v>
      </x:c>
      <x:c r="P677" s="63" t="str">
        <x:v>3-5步</x:v>
      </x:c>
      <x:c r="Q677" s="63" t="str">
        <x:v>概念判断</x:v>
      </x:c>
      <x:c r="R677" s="63" t="str">
        <x:v>单状态</x:v>
      </x:c>
      <x:c r="S677" s="63" t="str">
        <x:v>单一约束</x:v>
      </x:c>
      <x:c r="T677" s="63" t="str">
        <x:v>无</x:v>
      </x:c>
      <x:c r="U677" s="63" t="str">
        <x:v>无</x:v>
      </x:c>
      <x:c r="V677" s="63" t="str">
        <x:v>多层因果推理</x:v>
      </x:c>
    </x:row>
    <x:row r="678">
      <x:c r="A678" s="64" t="str">
        <x:v>​2371928948169793536</x:v>
      </x:c>
      <x:c r="B678" s="65" t="str">
        <x:v>拔高题</x:v>
      </x:c>
      <x:c r="C678" s="65" t="str">
        <x:v>拔高题</x:v>
      </x:c>
      <x:c r="D678" s="65" t="str">
        <x:v>拔高题</x:v>
      </x:c>
      <x:c r="E678" s="65" t="str">
        <x:v>保留原GPT裁定</x:v>
      </x:c>
      <x:c r="F678" s="65" t="str">
        <x:v>高</x:v>
      </x:c>
      <x:c r="G678" s="65" t="str">
        <x:v>拔高题</x:v>
      </x:c>
      <x:c r="H678" s="65" t="str">
        <x:v>拔高题</x:v>
      </x:c>
      <x:c r="I678" s="65" t="str">
        <x:v>题干、解析与结构证据支持拔高题：step=3-5步，题型=力学综合，状态=双状态，约束=单一约束，推理=多层因果推理。教师、盲评和多次模型证据中未形成足以推翻原裁定的同向结构证据。</x:v>
      </x:c>
      <x:c r="J678" s="65" t="str">
        <x:v>未进入三次错题并集；逐题结构一致性复核</x:v>
      </x:c>
      <x:c r="K678" s="63" t="str">
        <x:v>质量为1kg的平底空水桶，底面积为700cm2。水桶内装有30cm深的水，放在水平地面上，如图甲所示，水对水桶底的压强比水桶对地面的压强小1000Pa,当小明用竖直向上的力F提水桶，但没有提起来时，如图乙所示，水桶对地面的压强为1800Pa,则下列选项正确的是（g取10N/kg）（ ）</x:v>
      </x:c>
      <x:c r="L678" s="63" t="str">
        <x:v>A. 水对水桶底的压强是4000Pa B. 水桶内水的质量为28kg C. 乙图中桶对地面的压力大小为226N D. 小明竖直向上提水桶的力F大小为154N</x:v>
      </x:c>
      <x:c r="M678" s="63" t="str">
        <x:v>解：A、根据液体压强公式p=ρgh,水对水桶底的压强为：p=ρgh=1.0×103kg/m3×10N/kg×0.3m=3000Pa,故A错误； B、根据水对水桶底的压强比水桶对地面的压强小1000Pa,可知水桶对地面的压强：p地=3000Pa+1000Pa=4000Pa； G水桶=mg=1kg×10N/kg=10N； 根据G总=G水+G水桶=p地S=4000Pa×700×10-4m2=280N，G水=G总-G水桶=280N-10N=270N； m水=$\frac{{G}_{水}}{g}=\frac{270N}{10N/kg}=27kg$，故B错误； C、根据图乙所示，水桶对地面的压强为1800Pa,可得此时水桶对地的压力：F地′=1800Pa×700×10-4m2=126N，故C错误； D、利用水和水桶的重力减去图乙中水桶对地的压力，小明竖直向上提水桶的力：F拉=G总-F地′=280N-126N=154N，故D正确。 故选：D。</x:v>
      </x:c>
      <x:c r="N678" s="63" t="str">
        <x:v>https://k12static.xdf.cn/k12/image/externalized/b7ba1830-f246-4ea8-834f-de770be08734.png</x:v>
      </x:c>
      <x:c r="O678" s="63" t="str">
        <x:v>https://k12static.xdf.cn/k12/image/externalized/dc321deb-2961-4408-a72f-61bf03339ca3.png</x:v>
      </x:c>
      <x:c r="P678" s="63" t="str">
        <x:v>3-5步</x:v>
      </x:c>
      <x:c r="Q678" s="63" t="str">
        <x:v>力学综合</x:v>
      </x:c>
      <x:c r="R678" s="63" t="str">
        <x:v>双状态</x:v>
      </x:c>
      <x:c r="S678" s="63" t="str">
        <x:v>单一约束</x:v>
      </x:c>
      <x:c r="T678" s="63" t="str">
        <x:v>无</x:v>
      </x:c>
      <x:c r="U678" s="63" t="str">
        <x:v>无</x:v>
      </x:c>
      <x:c r="V678" s="63" t="str">
        <x:v>多层因果推理</x:v>
      </x:c>
    </x:row>
    <x:row r="679">
      <x:c r="A679" s="64" t="str">
        <x:v>​2373175160681312256</x:v>
      </x:c>
      <x:c r="B679" s="65" t="str">
        <x:v>中等题</x:v>
      </x:c>
      <x:c r="C679" s="65" t="str">
        <x:v>中等题</x:v>
      </x:c>
      <x:c r="D679" s="65" t="str">
        <x:v>中等题</x:v>
      </x:c>
      <x:c r="E679" s="65" t="str">
        <x:v>逐题复核后保留GPT裁定</x:v>
      </x:c>
      <x:c r="F679" s="65" t="str">
        <x:v>高</x:v>
      </x:c>
      <x:c r="G679" s="65" t="str">
        <x:v>中等题</x:v>
      </x:c>
      <x:c r="H679" s="65" t="str">
        <x:v>中等题</x:v>
      </x:c>
      <x:c r="I679" s="65" t="str">
        <x:v>存在约3—4步常规连续分析、共享过程或完整标准实验任务，关系仍显性。 题目证据：保留原标。最长有效链为1-2步、题型为概念判断、推理为多层因果推理，与中等题边界一致。 复核证据：教师标签与独立盲评一致；三次模型运行使用相近提示词，仅作为辅助证据，不足以推翻两者一致结论。。</x:v>
      </x:c>
      <x:c r="J679" s="65" t="str">
        <x:v>三次运行错题并集逐题复核</x:v>
      </x:c>
      <x:c r="K679" s="63" t="str">
        <x:v>如图所示，叠放在一起的物体A和B，在水平恒力F的作用下一起向右做匀速直线运动，则下列说法中正确的是（ ）</x:v>
      </x:c>
      <x:c r="L679" s="63" t="str">
        <x:v>A. 物体A不受摩擦力 B. 物体B对地面的压力和地面对它的支持力是一对平衡力 C. 若增大拉力F，则物体B与地面间的摩擦力不变 D. 若物体B遇到障碍物突然停止，则物体A向右倾</x:v>
      </x:c>
      <x:c r="M679" s="63" t="str">
        <x:v>解：A、对A受力分析得A受到的力有：重力、B对A的支持力，AB间没有摩擦力，故A正确； B、物体B对地面的压力和地面对它的支持力是一对相互作用力，故B错误； C、影响摩擦力的因素是：压力和接触面的粗糙程度，若将拉力F增大，但压力和接触面的粗糙程度都不变，所以摩擦力不变，故C正确； D、B停止前，A和B一起做匀速直线运动，并且A和B具有共同的速度，当B突然停止时，A由于惯性，还要保持原来大小不变的速度向右做匀速直线运动，由于摩擦力则物体A向右倾，故D正确。 故选：ACD。</x:v>
      </x:c>
      <x:c r="N679" s="63" t="str">
        <x:v>https://k12static.xdf.cn/k12/image/externalized/cd17829c-2c1b-4e5f-836e-acbab0df295e.png</x:v>
      </x:c>
      <x:c r="O679" s="63" t="str">
        <x:v>https://k12static.xdf.cn/k12/image/externalized/7afa7959-f636-4712-9d04-818eb4fac0ba.png</x:v>
      </x:c>
      <x:c r="P679" s="63" t="str">
        <x:v>1-2步</x:v>
      </x:c>
      <x:c r="Q679" s="63" t="str">
        <x:v>概念判断</x:v>
      </x:c>
      <x:c r="R679" s="63" t="str">
        <x:v>单状态</x:v>
      </x:c>
      <x:c r="S679" s="63" t="str">
        <x:v>无约束</x:v>
      </x:c>
      <x:c r="T679" s="63" t="str">
        <x:v>无</x:v>
      </x:c>
      <x:c r="U679" s="63" t="str">
        <x:v>无</x:v>
      </x:c>
      <x:c r="V679" s="63" t="str">
        <x:v>多层因果推理</x:v>
      </x:c>
    </x:row>
    <x:row r="680">
      <x:c r="A680" s="64" t="str">
        <x:v>​2373201996692148224</x:v>
      </x:c>
      <x:c r="B680" s="65" t="str">
        <x:v>中等题</x:v>
      </x:c>
      <x:c r="C680" s="65" t="str">
        <x:v>中等题</x:v>
      </x:c>
      <x:c r="D680" s="65" t="str">
        <x:v>中等题</x:v>
      </x:c>
      <x:c r="E680" s="65" t="str">
        <x:v>保留原GPT裁定</x:v>
      </x:c>
      <x:c r="F680" s="65" t="str">
        <x:v>高</x:v>
      </x:c>
      <x:c r="G680" s="65" t="str">
        <x:v>中等题</x:v>
      </x:c>
      <x:c r="H680" s="65" t="str">
        <x:v>中等题</x:v>
      </x:c>
      <x:c r="I680" s="65" t="str">
        <x:v>题干、解析与结构证据支持中等题：step=3-5步，题型=力学综合，状态=双状态，约束=单一约束，推理=多层因果推理。教师、盲评和多次模型证据中未形成足以推翻原裁定的同向结构证据。</x:v>
      </x:c>
      <x:c r="J680" s="65" t="str">
        <x:v>未进入三次错题并集；逐题结构一致性复核</x:v>
      </x:c>
      <x:c r="K680" s="63" t="str">
        <x:v>如图所示，连通器左端试管横截面的半径为2R，右端试管横截面的半径为R，左、右水面的高度分别为H、$\frac{1}{2}$H，那么打开开关K后，稳定后右管水面距离底部的高度为（ ）</x:v>
      </x:c>
      <x:c r="L680" s="63" t="str">
        <x:v>A. 0.70H B. 0.75H C. 0.83H D. 0.90H</x:v>
      </x:c>
      <x:c r="M680" s="63" t="str">
        <x:v>解： 当打开开关K时，左右容器构成一个连通器；由于连通器内液体静止时，液面相平，因此左边液体将下降，右面液体将升高，左右容器对容器底部产生的压强相等，并且左边减少水的体积等于右边增加水的体积； 设左边液体下降高度为x, 即左边液体下降后的压强是：p左=ρg（H-x）； 右边液体上升后的压强是：p右=ρg（$\frac{H}{2}$+$\frac{π(2R)^{2}x}{π{R}^{2}}$）； 即左右两侧的压强相等，所以 ρg（H-x）=ρg（$\frac{H}{2}$+$\frac{π(2R)^{2}x}{π{R}^{2}}$）； 解得x=0.1H； 所以水面静止时，水面的高度为H-0.1H=0.9H； 故选：D。</x:v>
      </x:c>
      <x:c r="N680" s="63" t="str">
        <x:v>https://k12static.xdf.cn/k12/image/externalized/40b104c8-e72e-4d90-8b82-6cd4daeddb94.png</x:v>
      </x:c>
      <x:c r="O680" s="63" t="str">
        <x:v>https://k12static.xdf.cn/k12/image/externalized/423e9f18-582e-4f90-bd50-0aa6713302d1.png</x:v>
      </x:c>
      <x:c r="P680" s="63" t="str">
        <x:v>3-5步</x:v>
      </x:c>
      <x:c r="Q680" s="63" t="str">
        <x:v>力学综合</x:v>
      </x:c>
      <x:c r="R680" s="63" t="str">
        <x:v>双状态</x:v>
      </x:c>
      <x:c r="S680" s="63" t="str">
        <x:v>单一约束</x:v>
      </x:c>
      <x:c r="T680" s="63" t="str">
        <x:v>无</x:v>
      </x:c>
      <x:c r="U680" s="63" t="str">
        <x:v>无</x:v>
      </x:c>
      <x:c r="V680" s="63" t="str">
        <x:v>多层因果推理</x:v>
      </x:c>
    </x:row>
    <x:row r="681">
      <x:c r="A681" s="64" t="str">
        <x:v>​2381790676835655680</x:v>
      </x:c>
      <x:c r="B681" s="65" t="str">
        <x:v>基础题</x:v>
      </x:c>
      <x:c r="C681" s="65" t="str">
        <x:v>基础题</x:v>
      </x:c>
      <x:c r="D681" s="65" t="str">
        <x:v>基础题</x:v>
      </x:c>
      <x:c r="E681" s="65" t="str">
        <x:v>保留原GPT裁定</x:v>
      </x:c>
      <x:c r="F681" s="65" t="str">
        <x:v>高</x:v>
      </x:c>
      <x:c r="G681" s="65" t="str">
        <x:v>基础题</x:v>
      </x:c>
      <x:c r="H681" s="65" t="str">
        <x:v>基础题</x:v>
      </x:c>
      <x:c r="I681" s="65" t="str">
        <x:v>题干、解析与结构证据支持基础题：step=1-2步，题型=概念判断，状态=单状态，约束=无约束，推理=简单因果推理。教师、盲评和多次模型证据中未形成足以推翻原裁定的同向结构证据。</x:v>
      </x:c>
      <x:c r="J681" s="65" t="str">
        <x:v>未进入三次错题并集；逐题结构一致性复核</x:v>
      </x:c>
      <x:c r="K681" s="63" t="str">
        <x:v>如图是常见的小汽车，下列有关说法中正确的是（ ）</x:v>
      </x:c>
      <x:c r="L681" s="63" t="str">
        <x:v>A. 轮胎上有凹凸不平的花纹是为了减小摩擦 B. 小汽车长时间高速行驶时容易“爆胎”是由于胎内气体温度升高，气压增大的缘故 C. 汽车关闭发动机后，由于受到惯性作用还能继续向前行驶 D. 汽车静止在水平路面上受到的支持力和对地面的压力是一对平衡力</x:v>
      </x:c>
      <x:c r="M681" s="63" t="str">
        <x:v>解：A、轮胎上有凹凸不平的花纹是为了在压力一定时，增大接触面的粗糙程度可以增大摩擦力，故A错误； B、小汽车长时间高速行驶时容易“爆胎”是由于轮胎与地面摩擦，摩擦生热，使胎内气体温度升高，气压增大的缘故，故B正确； C、汽车关闭发动机后还能继续向前行驶是因为汽车具有惯性，但不能说是汽车受到惯性的作用，故C错误； D、汽车静止在路面上时，汽车对地面的压力和地面对汽车的支持力分别作用在地面和汽车上，不是同一物体，所以不是一对平衡力，故D错误。 故选B。</x:v>
      </x:c>
      <x:c r="N681" s="63" t="str">
        <x:v>https://k12static.xdf.cn/k12/image/externalized/263545a3-1e3e-4ba6-8164-8f1d88af7f7b.png</x:v>
      </x:c>
      <x:c r="O681" s="63" t="str">
        <x:v>https://k12static.xdf.cn/k12/image/externalized/7fa8ca24-86d8-48cd-a010-231a2e8c5583.png</x:v>
      </x:c>
      <x:c r="P681" s="63" t="str">
        <x:v>1-2步</x:v>
      </x:c>
      <x:c r="Q681" s="63" t="str">
        <x:v>概念判断</x:v>
      </x:c>
      <x:c r="R681" s="63" t="str">
        <x:v>单状态</x:v>
      </x:c>
      <x:c r="S681" s="63" t="str">
        <x:v>无约束</x:v>
      </x:c>
      <x:c r="T681" s="63" t="str">
        <x:v>无</x:v>
      </x:c>
      <x:c r="U681" s="63" t="str">
        <x:v>无</x:v>
      </x:c>
      <x:c r="V681" s="63" t="str">
        <x:v>简单因果推理</x:v>
      </x:c>
    </x:row>
    <x:row r="682">
      <x:c r="A682" s="64" t="str">
        <x:v>​2381963935786307584</x:v>
      </x:c>
      <x:c r="B682" s="65" t="str">
        <x:v>中等题</x:v>
      </x:c>
      <x:c r="C682" s="65" t="str">
        <x:v>中等题</x:v>
      </x:c>
      <x:c r="D682" s="65" t="str">
        <x:v>中等题</x:v>
      </x:c>
      <x:c r="E682" s="65" t="str">
        <x:v>保留原GPT裁定</x:v>
      </x:c>
      <x:c r="F682" s="65" t="str">
        <x:v>高</x:v>
      </x:c>
      <x:c r="G682" s="65" t="str">
        <x:v>中等题</x:v>
      </x:c>
      <x:c r="H682" s="65" t="str">
        <x:v>中等题</x:v>
      </x:c>
      <x:c r="I682" s="65" t="str">
        <x:v>题干、解析与结构证据支持中等题：step=3-5步，题型=概念判断，状态=双状态，约束=单一约束，推理=多层因果推理。教师、盲评和多次模型证据中未形成足以推翻原裁定的同向结构证据。</x:v>
      </x:c>
      <x:c r="J682" s="65" t="str">
        <x:v>未进入三次错题并集；逐题结构一致性复核</x:v>
      </x:c>
      <x:c r="K682" s="63" t="str">
        <x:v>以前人们去小店买米酒和酱油时，店主用竹筒状的容器来量取，如图所示，但量取相同质量的米酒和酱油所用的容器是不一样的，已知ρ米酒=0.9g/cm3，ρ酱油=1.2g/cm3，下列说法正确的是（ ）</x:v>
      </x:c>
      <x:c r="L682" s="63" t="str">
        <x:v>A. 甲容器是量取米酒的 B. 若两个容器均装满酱油，质量相同 C. 甲容器的容积与乙容器的容积之比是2：3 D. 若两容器均装满米酒，乙比甲多装了62.5g</x:v>
      </x:c>
      <x:c r="M682" s="63" t="str">
        <x:v>解：A．由题意可知，酱油的密度大于米酒的密度，由ρ=$\frac{m}{V}$的变形式V=$\frac{m}{ρ}$可知，质量相同时，酱油的体积小于米酒的体积，所以甲容器是量取酱油的，故A错误； B．由图可知，乙容器的容积大于甲容器的容积，由m=ρV可知，若两个容器均装满酱油，质量不相同，故B错误； C．由图可知，甲乙容器装满酱油和酒精时的质量均为250g,由ρ=$\frac{m}{V}$可得，甲容器的体积与乙容器的体积之比$\frac{{V}_{甲}}{{V}_{乙}}$=$\frac{\frac{m}{{ρ}_{酱油}}}{\frac{m}{{ρ}_{米酒}}}$=$\frac{{ρ}_{米酒}}{{ρ}_{酱油}}$=$\frac{0.9g/c{m}^{3}}{1.2g/c{m}^{3}}$=$\frac{3}{4}$，故C错误； D．甲容器的容积V甲=$\frac{{m}_{甲}}{{ρ}_{酱油}}$=$\frac{250g}{1.2g/c{m}^{3}}$=$\frac{625}{3}$cm3，甲容器装满米酒时米酒的质量m甲′=ρ米酒V甲=0.9g/cm3×$\frac{625}{3}$cm3=187.5g,所以两容器均装满米酒时乙比甲多装250g-187.5=62.5g,故D正确。 故选：D。</x:v>
      </x:c>
      <x:c r="N682" s="63" t="str">
        <x:v>https://k12static.xdf.cn/k12/image/externalized/ec5292d7-fb3d-4de1-8785-b0ebdaff2e60.png</x:v>
      </x:c>
      <x:c r="O682" s="63" t="str">
        <x:v>https://k12static.xdf.cn/k12/image/externalized/e604d42a-fde7-49ae-923a-7e69453c4b8c.png</x:v>
      </x:c>
      <x:c r="P682" s="63" t="str">
        <x:v>3-5步</x:v>
      </x:c>
      <x:c r="Q682" s="63" t="str">
        <x:v>概念判断</x:v>
      </x:c>
      <x:c r="R682" s="63" t="str">
        <x:v>双状态</x:v>
      </x:c>
      <x:c r="S682" s="63" t="str">
        <x:v>单一约束</x:v>
      </x:c>
      <x:c r="T682" s="63" t="str">
        <x:v>无</x:v>
      </x:c>
      <x:c r="U682" s="63" t="str">
        <x:v>无</x:v>
      </x:c>
      <x:c r="V682" s="63" t="str">
        <x:v>多层因果推理</x:v>
      </x:c>
    </x:row>
    <x:row r="683">
      <x:c r="A683" s="64" t="str">
        <x:v>​2381964662237343744</x:v>
      </x:c>
      <x:c r="B683" s="65" t="str">
        <x:v>基础题</x:v>
      </x:c>
      <x:c r="C683" s="65" t="str">
        <x:v>基础题</x:v>
      </x:c>
      <x:c r="D683" s="65" t="str">
        <x:v>基础题</x:v>
      </x:c>
      <x:c r="E683" s="65" t="str">
        <x:v>保留原GPT裁定</x:v>
      </x:c>
      <x:c r="F683" s="65" t="str">
        <x:v>高</x:v>
      </x:c>
      <x:c r="G683" s="65" t="str">
        <x:v>基础题</x:v>
      </x:c>
      <x:c r="H683" s="65" t="str">
        <x:v>基础题</x:v>
      </x:c>
      <x:c r="I683" s="65" t="str">
        <x:v>题干、解析与结构证据支持基础题：step=1-2步，题型=概念判断，状态=单状态，约束=无约束，推理=简单因果推理。教师、盲评和多次模型证据中未形成足以推翻原裁定的同向结构证据。</x:v>
      </x:c>
      <x:c r="J683" s="65" t="str">
        <x:v>未进入三次错题并集；逐题结构一致性复核</x:v>
      </x:c>
      <x:c r="K683" s="63" t="str">
        <x:v>如图所示，把正在响铃的闹钟放在玻璃罩内，逐渐抽出玻璃罩中的空气，听到闹钟的声音逐渐减小。在此过程中，玻璃罩内剩余的空气（ ）</x:v>
      </x:c>
      <x:c r="L683" s="63" t="str">
        <x:v>A. 质量减小，密度不变 B. 质量减小，密度减小 C. 质量不变，密度减小 D. 质量不变，密度不变</x:v>
      </x:c>
      <x:c r="M683" s="63" t="str">
        <x:v>解：用抽气机把罩内部分空气抽出，听到声音变小，这时罩内剩余空气的质量减小，体积不变，根据$ρ=\frac{m}{V}$可知，密度减小，故B正确。 故选：B。</x:v>
      </x:c>
      <x:c r="N683" s="63" t="str">
        <x:v>https://k12static.xdf.cn/k12/image/externalized/c202cef0-2526-490e-827d-f10b25e91fe8.png</x:v>
      </x:c>
      <x:c r="O683" s="63" t="str">
        <x:v>https://k12static.xdf.cn/k12/image/externalized/aadced08-045d-403d-aab6-c5952fb31918.png</x:v>
      </x:c>
      <x:c r="P683" s="63" t="str">
        <x:v>1-2步</x:v>
      </x:c>
      <x:c r="Q683" s="63" t="str">
        <x:v>概念判断</x:v>
      </x:c>
      <x:c r="R683" s="63" t="str">
        <x:v>单状态</x:v>
      </x:c>
      <x:c r="S683" s="63" t="str">
        <x:v>无约束</x:v>
      </x:c>
      <x:c r="T683" s="63" t="str">
        <x:v>无</x:v>
      </x:c>
      <x:c r="U683" s="63" t="str">
        <x:v>无</x:v>
      </x:c>
      <x:c r="V683" s="63" t="str">
        <x:v>简单因果推理</x:v>
      </x:c>
    </x:row>
    <x:row r="684">
      <x:c r="A684" s="64" t="str">
        <x:v>​2406280943653126144</x:v>
      </x:c>
      <x:c r="B684" s="65" t="str">
        <x:v>基础题</x:v>
      </x:c>
      <x:c r="C684" s="65" t="str">
        <x:v>基础题</x:v>
      </x:c>
      <x:c r="D684" s="65" t="str">
        <x:v>基础题</x:v>
      </x:c>
      <x:c r="E684" s="65" t="str">
        <x:v>保留原GPT裁定</x:v>
      </x:c>
      <x:c r="F684" s="65" t="str">
        <x:v>高</x:v>
      </x:c>
      <x:c r="G684" s="65" t="str">
        <x:v>基础题</x:v>
      </x:c>
      <x:c r="H684" s="65" t="str">
        <x:v>基础题</x:v>
      </x:c>
      <x:c r="I684" s="65" t="str">
        <x:v>题干、解析与结构证据支持基础题：step=1-2步，题型=概念判断，状态=单状态，约束=无约束，推理=简单因果推理。教师、盲评和多次模型证据中未形成足以推翻原裁定的同向结构证据。</x:v>
      </x:c>
      <x:c r="J684" s="65" t="str">
        <x:v>未进入三次错题并集；逐题结构一致性复核</x:v>
      </x:c>
      <x:c r="K684" s="63" t="str">
        <x:v>如图所示，在百米赛跑中，关于运动员运动快慢的说法正确的是（ ）</x:v>
      </x:c>
      <x:c r="L684" s="63" t="str">
        <x:v>A. 观众用“相同路程比较时间”的方法来比较运动员运动的快慢 B. 终点裁判用“相同时间比较路程”的方法来比较运动员运动的快慢 C. 物理学中，用裁判的方法来比较物体运动的快慢 D. 物理学中，用观众的方法来比较物体运动的快慢</x:v>
      </x:c>
      <x:c r="M684" s="63" t="str">
        <x:v>解： A、比赛时，观众看到跑在前面的运动员跑的快，说明了在相同的时间内，运动员的路程越大，运动员跑得越快，即观众用“相同的时间比路程”的方法比较运动的快慢，故A正确； B、终点裁判是看谁最先到达终点（即用时短），先到达终点的运动员跑得快，所以终点裁判用“相同路程比时间”的方法比较运动的快慢，故B正确； CD、在物理学中，速度等于单位时间内通过的路程，即根据相等时间内的路程大小来判断物体运动快慢的，是用观众的方法来比较运动的快慢，故C错误、D正确。 故选：D。</x:v>
      </x:c>
      <x:c r="N684" s="63" t="str">
        <x:v>https://k12static.xdf.cn/k12/image/externalized/6bf7c495-25f2-41ab-89ff-b2db7fd6cd0f.png</x:v>
      </x:c>
      <x:c r="O684" s="63" t="str">
        <x:v>https://k12static.xdf.cn/k12/image/externalized/14dbc108-7ba4-4b2f-a4a1-108fcb6c3d71.png</x:v>
      </x:c>
      <x:c r="P684" s="63" t="str">
        <x:v>1-2步</x:v>
      </x:c>
      <x:c r="Q684" s="63" t="str">
        <x:v>概念判断</x:v>
      </x:c>
      <x:c r="R684" s="63" t="str">
        <x:v>单状态</x:v>
      </x:c>
      <x:c r="S684" s="63" t="str">
        <x:v>无约束</x:v>
      </x:c>
      <x:c r="T684" s="63" t="str">
        <x:v>无</x:v>
      </x:c>
      <x:c r="U684" s="63" t="str">
        <x:v>无</x:v>
      </x:c>
      <x:c r="V684" s="63" t="str">
        <x:v>简单因果推理</x:v>
      </x:c>
    </x:row>
    <x:row r="685">
      <x:c r="A685" s="64" t="str">
        <x:v>​2408252441972473856</x:v>
      </x:c>
      <x:c r="B685" s="65" t="str">
        <x:v>拔高题</x:v>
      </x:c>
      <x:c r="C685" s="65" t="str">
        <x:v>拔高题</x:v>
      </x:c>
      <x:c r="D685" s="65" t="str">
        <x:v>拔高题</x:v>
      </x:c>
      <x:c r="E685" s="65" t="str">
        <x:v>保留原GPT裁定</x:v>
      </x:c>
      <x:c r="F685" s="65" t="str">
        <x:v>高</x:v>
      </x:c>
      <x:c r="G685" s="65" t="str">
        <x:v>拔高题</x:v>
      </x:c>
      <x:c r="H685" s="65" t="str">
        <x:v>拔高题</x:v>
      </x:c>
      <x:c r="I685" s="65" t="str">
        <x:v>题干、解析与结构证据支持拔高题：step=3-5步，题型=力学综合，状态=双状态，约束=单一约束，推理=多层因果推理。教师、盲评和多次模型证据中未形成足以推翻原裁定的同向结构证据。</x:v>
      </x:c>
      <x:c r="J685" s="65" t="str">
        <x:v>未进入三次错题并集；逐题结构一致性复核</x:v>
      </x:c>
      <x:c r="K685" s="63" t="str">
        <x:v>讲台上放有甲、乙两个漂着相同的木块的同款盛水烧杯。把铁块a放在木块上面，木块刚好浸没在水中，如图甲所示；将铁块b用细线系在木块下面，木块也刚好浸没在水中，如图乙所示。且此时烧杯中水面相平，已知水的密度为ρ水，铁的密度为ρ铁，则（ ）</x:v>
      </x:c>
      <x:c r="L685" s="63" t="str">
        <x:v>A. a、b两个铁块的体积之比$\frac{{ρ}_{铁}-{ρ}_{水}}{{ρ}_{铁}}$ B. a铁块的重力等于b铁块的重力 C. 两种情况相比较，乙图中水槽对桌面的压强较大 D. 若将a取下投入水中，并剪断b的细线，静止时水对容器底压强p甲＜p乙</x:v>
      </x:c>
      <x:c r="M685" s="63" t="str">
        <x:v>解：AB、甲图中，铁块a和木块一起漂浮在水面，则F浮木=Ga+G木， 所以Ga=F浮木-G木， 即ρ铁gVa=ρ水gV木-ρ木gV木， 乙图中，铁块b和木块一起悬浮在水中，则F浮木+F浮b=Gb+G木， 所以Gb=F浮b+F浮木-G木，比较可知a铁块的重力小于b铁块的重力，故B错误； 即F浮木-G木=Gb-F浮b 所以ρ铁gVa=ρ铁gVb-ρ水gVb=（ρ铁-ρ水）gVb， 所以$\frac{{V}_{a}}{{V}_{b}}$=$\frac{{{ρ}_{铁}-ρ}_{水}}{{ρ}_{铁}}$， 又因为a、b的密度相同，由m=ρV可知a、b两个铁块的质量之比为：$\frac{{m}_{a}}{{m}_{b}}$=$\frac{{V}_{a}}{{V}_{b}}$=$\frac{{{ρ}_{铁}-ρ}_{水}}{{ρ}_{铁}}$，故A正确； C、因为两水槽完全相同且水槽内水面相平，由p=ρgh可知水对容器底面的压强相等，由p=$\frac{F}{S}$可知水对容器底面的压力相等，因为水平桌面上放着两个相同的柱形水槽，由F压=F水+G容可知容器对桌面的压力也相等，故图中水槽对桌面的压强相等，故C错误； D、将a取下投入水中，并剪断b的细线，静止时，木块漂浮，a、b沉底，甲中排开液体体积的变化量等于木块露出的体积与a的体积之差，乙中排开液体体积的变化量等于木块露出的体积，所以甲则排开液体体积的变化量小于乙中排开液体体积的变化量， 因为水平桌面上放着两个相同的柱形水槽，所以水对容器底的压力变化量等于排开水的重力的变化量，等于浮力的变化量， 由Δp=$\frac{\Delta {F}_{压}}{S}$=$\frac{\Delta {F}_{浮}}{S}$可知，Δp甲＜Δp乙， 两图中两水槽的水面相平，则水对容器底部的压强相等，此时水对容器底压强p甲=p-Δp甲，p乙=p-Δp乙，则p甲＞p乙，故D错误。 故选：A。</x:v>
      </x:c>
      <x:c r="N685" s="63" t="str">
        <x:v>https://k12static.xdf.cn/k12/image/externalized/e0fd3c57-1941-4467-ab5f-d3ee12ab79a0.png</x:v>
      </x:c>
      <x:c r="O685" s="63" t="str">
        <x:v>https://k12static.xdf.cn/k12/image/externalized/cf9d4202-9d9c-41ec-9d61-89a37e358b4e.png</x:v>
      </x:c>
      <x:c r="P685" s="63" t="str">
        <x:v>3-5步</x:v>
      </x:c>
      <x:c r="Q685" s="63" t="str">
        <x:v>力学综合</x:v>
      </x:c>
      <x:c r="R685" s="63" t="str">
        <x:v>双状态</x:v>
      </x:c>
      <x:c r="S685" s="63" t="str">
        <x:v>单一约束</x:v>
      </x:c>
      <x:c r="T685" s="63" t="str">
        <x:v>无</x:v>
      </x:c>
      <x:c r="U685" s="63" t="str">
        <x:v>无</x:v>
      </x:c>
      <x:c r="V685" s="63" t="str">
        <x:v>多层因果推理</x:v>
      </x:c>
    </x:row>
    <x:row r="686">
      <x:c r="A686" s="64" t="str">
        <x:v>​2420884848702464000</x:v>
      </x:c>
      <x:c r="B686" s="65" t="str">
        <x:v>中等题</x:v>
      </x:c>
      <x:c r="C686" s="65" t="str">
        <x:v>中等题</x:v>
      </x:c>
      <x:c r="D686" s="65" t="str">
        <x:v>中等题</x:v>
      </x:c>
      <x:c r="E686" s="65" t="str">
        <x:v>保留原GPT裁定</x:v>
      </x:c>
      <x:c r="F686" s="65" t="str">
        <x:v>高</x:v>
      </x:c>
      <x:c r="G686" s="65" t="str">
        <x:v>中等题</x:v>
      </x:c>
      <x:c r="H686" s="65" t="str">
        <x:v>中等题</x:v>
      </x:c>
      <x:c r="I686" s="65" t="str">
        <x:v>题干、解析与结构证据支持中等题：step=3-5步，题型=力学综合，状态=单状态，约束=单一约束，推理=多层因果推理。教师、盲评和多次模型证据中未形成足以推翻原裁定的同向结构证据。</x:v>
      </x:c>
      <x:c r="J686" s="65" t="str">
        <x:v>未进入三次错题并集；逐题结构一致性复核</x:v>
      </x:c>
      <x:c r="K686" s="63" t="str">
        <x:v>北京冬奥会上，运动员孔凡影从斜坡上A点沿直线滑到B点过程中，拍摄的频闪照片如图所示，若相机每隔0.2s闪拍一次，则孔凡影在AB间，重力做功的功率最接近于（ ）</x:v>
      </x:c>
      <x:c r="L686" s="63" t="str">
        <x:v>A. 7W B. 70W C. 700W D. 7000W</x:v>
      </x:c>
      <x:c r="M686" s="63" t="str">
        <x:v>解：运动员的身高约为1.7m,由图可知AB间高度差约为3个运动员的身高，即竖直高度h=3×1.7m=5.1m, 根据题意可知相机每隔0.2s闪拍一次，时间t=2×0.2s=0.4s, 重力的平均速度：v=$\frac{h}{t}$=$\frac{5.1m}{0.4s}$=12.75m/s, 孔凡影的重力约600N， 重力做功的功率P=$\frac{W}{t}$=$\frac{Gh}{t}$=Gv=600N×12.75m/s=7650W，接近7000W，故D正确。 故选：D。</x:v>
      </x:c>
      <x:c r="N686" s="63" t="str">
        <x:v>https://k12static.xdf.cn/k12/image/externalized/09b1d343-193e-4f73-a85e-5a282db72f9c.png</x:v>
      </x:c>
      <x:c r="O686" s="63" t="str">
        <x:v>https://k12static.xdf.cn/k12/image/externalized/acd29eff-6b2e-49d3-8724-ca68cede1974.png</x:v>
      </x:c>
      <x:c r="P686" s="63" t="str">
        <x:v>3-5步</x:v>
      </x:c>
      <x:c r="Q686" s="63" t="str">
        <x:v>力学综合</x:v>
      </x:c>
      <x:c r="R686" s="63" t="str">
        <x:v>单状态</x:v>
      </x:c>
      <x:c r="S686" s="63" t="str">
        <x:v>单一约束</x:v>
      </x:c>
      <x:c r="T686" s="63" t="str">
        <x:v>无</x:v>
      </x:c>
      <x:c r="U686" s="63" t="str">
        <x:v>无</x:v>
      </x:c>
      <x:c r="V686" s="63" t="str">
        <x:v>多层因果推理</x:v>
      </x:c>
    </x:row>
    <x:row r="687">
      <x:c r="A687" s="64" t="str">
        <x:v>​2420939180307193856</x:v>
      </x:c>
      <x:c r="B687" s="65" t="str">
        <x:v>中等题</x:v>
      </x:c>
      <x:c r="C687" s="65" t="str">
        <x:v>中等题</x:v>
      </x:c>
      <x:c r="D687" s="65" t="str">
        <x:v>中等题</x:v>
      </x:c>
      <x:c r="E687" s="65" t="str">
        <x:v>逐题复核后保留GPT裁定</x:v>
      </x:c>
      <x:c r="F687" s="65" t="str">
        <x:v>高</x:v>
      </x:c>
      <x:c r="G687" s="65" t="str">
        <x:v>中等题</x:v>
      </x:c>
      <x:c r="H687" s="65" t="str">
        <x:v>中等题</x:v>
      </x:c>
      <x:c r="I687" s="65" t="str">
        <x:v>需要围绕标准实验流程、读数与数据归纳完成常规的3—4个有效决策，或完成一套完整标准实验/共享过程分析。关系仍显性、方法常规，没有决定性隐含转换、复杂边界筛选或多状态强耦合。</x:v>
      </x:c>
      <x:c r="J687" s="65" t="str">
        <x:v>三次运行错题并集逐题复核</x:v>
      </x:c>
      <x:c r="K687" s="63" t="str">
        <x:v>我国北方秋、冬两季的清晨，树枝上常出现雾凇，那么雾凇是怎样形成的？小明做了如图所示实验来进行探究，将冰块放于易拉罐中并加入适量的盐，用筷子搅拌一会儿，发现易拉罐内有冰与盐水混合物、底部出现了白霜。则下列说法正确的是（ ）</x:v>
      </x:c>
      <x:c r="L687" s="63" t="str">
        <x:v>A. 雾凇是水蒸气凝华形成的 B. 白霜是水蒸气凝固形成的 C. 雾凇形成过程中放出热量 D. 易拉罐内冰与盐水混合物的温度低于0℃</x:v>
      </x:c>
      <x:c r="M687" s="63" t="str">
        <x:v>解：A、雾凇是空气中的水蒸气凝华形成的小冰晶，故A说法正确； B、白霜是空气中的水蒸气凝华形成的小冰晶，故B说法不正确； C、雾凇形成过程属于凝华，凝华过程放出热量，故C说法正确； D、霜是由水蒸气温度下降到0℃以下凝华形成的，即要形成霜温度必须要低于0℃，因此易拉罐内冰与盐水混合物的温度低于0℃，故D正确。 故选：ACD。</x:v>
      </x:c>
      <x:c r="N687" s="63" t="str">
        <x:v>https://k12static.xdf.cn/k12/image/externalized/ac10e4aa-34bb-4917-aa8c-3407286fb6f6.png</x:v>
      </x:c>
      <x:c r="O687" s="63" t="str">
        <x:v>https://k12static.xdf.cn/k12/image/externalized/30f5f806-3385-40af-96a9-63ec00025b2d.png</x:v>
      </x:c>
      <x:c r="P687" s="63" t="str">
        <x:v>1-2步</x:v>
      </x:c>
      <x:c r="Q687" s="63" t="str">
        <x:v>概念判断</x:v>
      </x:c>
      <x:c r="R687" s="63" t="str">
        <x:v>单状态</x:v>
      </x:c>
      <x:c r="S687" s="63" t="str">
        <x:v>无约束</x:v>
      </x:c>
      <x:c r="T687" s="63" t="str">
        <x:v>无</x:v>
      </x:c>
      <x:c r="U687" s="63" t="str">
        <x:v>无</x:v>
      </x:c>
      <x:c r="V687" s="63" t="str">
        <x:v>简单因果推理</x:v>
      </x:c>
    </x:row>
    <x:row r="688">
      <x:c r="A688" s="64" t="str">
        <x:v>​2421003259392614400</x:v>
      </x:c>
      <x:c r="B688" s="65" t="str">
        <x:v>中等题</x:v>
      </x:c>
      <x:c r="C688" s="65" t="str">
        <x:v>中等题</x:v>
      </x:c>
      <x:c r="D688" s="65" t="str">
        <x:v>中等题</x:v>
      </x:c>
      <x:c r="E688" s="65" t="str">
        <x:v>保留原GPT裁定</x:v>
      </x:c>
      <x:c r="F688" s="65" t="str">
        <x:v>高</x:v>
      </x:c>
      <x:c r="G688" s="65" t="str">
        <x:v>中等题</x:v>
      </x:c>
      <x:c r="H688" s="65" t="str">
        <x:v>中等题</x:v>
      </x:c>
      <x:c r="I688" s="65" t="str">
        <x:v>题干、解析与结构证据支持中等题：step=3-5步，题型=概念判断，状态=多状态，约束=单一约束，推理=多层因果推理。教师、盲评和多次模型证据中未形成足以推翻原裁定的同向结构证据。</x:v>
      </x:c>
      <x:c r="J688" s="65" t="str">
        <x:v>未进入三次错题并集；逐题结构一致性复核</x:v>
      </x:c>
      <x:c r="K688" s="63" t="str">
        <x:v>如图所示，用一水平压力F将重为10N的物体压在粗糙程度相同的竖直墙壁上。当压力F为30N时，物体处于静止状态；当压力F为25N时，物体恰好匀速下滑。下列说法中正确的是（ ）</x:v>
      </x:c>
      <x:c r="L688" s="63" t="str">
        <x:v>A. 物体处于静止状态时，受到墙壁对它竖直向下的摩擦力为10N B. 若物体匀速下滑的速度为0.2m/s,则其重力做功的功率为5W C. 物体在匀速下滑过程中，受到墙壁对它竖直向上的摩擦力为15N D. 保持25N的压力不变，物体匀速上滑时受到竖直向上20N的拉力</x:v>
      </x:c>
      <x:c r="M688" s="63" t="str">
        <x:v>解：A、当压力F为30N时，物体处于静止状态，在竖直方向上受到的重力和摩擦力是一对平衡力，所以f=G=10N，方向是竖直向上，故A错误； C、当压力F为25N时，物体恰好匀速下滑，在竖直方向上受到的重力和摩擦力是一对平衡力，所以f滑=G=10N，方向是竖直向上，故C错误； B、重力做功的功率：P=$\frac{W}{t}$=$\frac{Gh}{t}$=Gv=10N×0.2m/s=2W，故B错误； D、物体匀速上滑时，由于压力和接触面的粗糙程度不变，此时的摩擦力不变仍为10N，由于物体向上运动，因此摩擦力方向竖直向下，此时的物体受到竖直向上的拉力、竖直向下的重力、摩擦力的共同作用处于平衡状态，因此竖直向上的拉力：F拉=G+f滑=10N+10N=20N，故D正确。 故选：D。</x:v>
      </x:c>
      <x:c r="N688" s="63" t="str">
        <x:v>https://k12static.xdf.cn/k12/image/externalized/9d939433-addc-45fc-ab51-642407551e47.png</x:v>
      </x:c>
      <x:c r="O688" s="63" t="str">
        <x:v>https://k12static.xdf.cn/k12/image/externalized/34d308af-319e-453a-8e16-8637b1c118f2.png</x:v>
      </x:c>
      <x:c r="P688" s="63" t="str">
        <x:v>3-5步</x:v>
      </x:c>
      <x:c r="Q688" s="63" t="str">
        <x:v>概念判断</x:v>
      </x:c>
      <x:c r="R688" s="63" t="str">
        <x:v>多状态</x:v>
      </x:c>
      <x:c r="S688" s="63" t="str">
        <x:v>单一约束</x:v>
      </x:c>
      <x:c r="T688" s="63" t="str">
        <x:v>无</x:v>
      </x:c>
      <x:c r="U688" s="63" t="str">
        <x:v>无</x:v>
      </x:c>
      <x:c r="V688" s="63" t="str">
        <x:v>多层因果推理</x:v>
      </x:c>
    </x:row>
    <x:row r="689">
      <x:c r="A689" s="64" t="str">
        <x:v>​2425089161972948992</x:v>
      </x:c>
      <x:c r="B689" s="65" t="str">
        <x:v>基础题</x:v>
      </x:c>
      <x:c r="C689" s="65" t="str">
        <x:v>基础题</x:v>
      </x:c>
      <x:c r="D689" s="65" t="str">
        <x:v>基础题</x:v>
      </x:c>
      <x:c r="E689" s="65" t="str">
        <x:v>保留原GPT裁定</x:v>
      </x:c>
      <x:c r="F689" s="65" t="str">
        <x:v>高</x:v>
      </x:c>
      <x:c r="G689" s="65" t="str">
        <x:v>基础题</x:v>
      </x:c>
      <x:c r="H689" s="65" t="str">
        <x:v>基础题</x:v>
      </x:c>
      <x:c r="I689" s="65" t="str">
        <x:v>题干、解析与结构证据支持基础题：step=1-2步，题型=概念判断，状态=单状态，约束=无约束，推理=简单因果推理。教师、盲评和多次模型证据中未形成足以推翻原裁定的同向结构证据。</x:v>
      </x:c>
      <x:c r="J689" s="65" t="str">
        <x:v>未进入三次错题并集；逐题结构一致性复核</x:v>
      </x:c>
      <x:c r="K689" s="63" t="str">
        <x:v>小朗同学打乒乓球时，不小心把球踩瘪了，但球没有破裂。对于球内的气体而言，没有发生变化的物理量是（ ）</x:v>
      </x:c>
      <x:c r="L689" s="63" t="str">
        <x:v>A. 体积 B. 密度 C. 质量 D. 内能</x:v>
      </x:c>
      <x:c r="M689" s="63" t="str">
        <x:v>解：ABC、质量是物体内所含物质的多少。当球被踩瘪时，虽然球内的气体体积减小，但由于球没有破裂，球内气体的分子数量没有增多也没有减少，所以球内气体的质量没有发生变化，但由于气体体积减小，根据ρ=$\frac{m}{V}$知，所以球内气体的密度会变大，故AB不符合题意，C符号题意； D、小朗不小心踩瘪了乒乓球，压缩空气做功，空气的内能增加，温度升高，故D不符合题意。 故选：C。</x:v>
      </x:c>
      <x:c r="N689" s="63" t="str">
        <x:v>https://k12static.xdf.cn/k12/image/externalized/4bc50991-180c-42da-9fd5-8e7b5a6fec93.png</x:v>
      </x:c>
      <x:c r="O689" s="63" t="str">
        <x:v>https://k12static.xdf.cn/k12/image/externalized/ea06d22a-5969-4d1b-9972-20fce9d961ed.png</x:v>
      </x:c>
      <x:c r="P689" s="63" t="str">
        <x:v>1-2步</x:v>
      </x:c>
      <x:c r="Q689" s="63" t="str">
        <x:v>概念判断</x:v>
      </x:c>
      <x:c r="R689" s="63" t="str">
        <x:v>单状态</x:v>
      </x:c>
      <x:c r="S689" s="63" t="str">
        <x:v>无约束</x:v>
      </x:c>
      <x:c r="T689" s="63" t="str">
        <x:v>无</x:v>
      </x:c>
      <x:c r="U689" s="63" t="str">
        <x:v>无</x:v>
      </x:c>
      <x:c r="V689" s="63" t="str">
        <x:v>简单因果推理</x:v>
      </x:c>
    </x:row>
    <x:row r="690">
      <x:c r="A690" s="64" t="str">
        <x:v>​2426710764579491840</x:v>
      </x:c>
      <x:c r="B690" s="65" t="str">
        <x:v>送分题</x:v>
      </x:c>
      <x:c r="C690" s="65" t="str">
        <x:v>送分题</x:v>
      </x:c>
      <x:c r="D690" s="65" t="str">
        <x:v>送分题</x:v>
      </x:c>
      <x:c r="E690" s="65" t="str">
        <x:v>保留原GPT裁定</x:v>
      </x:c>
      <x:c r="F690" s="65" t="str">
        <x:v>高</x:v>
      </x:c>
      <x:c r="G690" s="65" t="str">
        <x:v>送分题</x:v>
      </x:c>
      <x:c r="H690" s="65" t="str">
        <x:v>送分题</x:v>
      </x:c>
      <x:c r="I690" s="65" t="str">
        <x:v>题干、解析与结构证据支持送分题：step=1-2步，题型=概念判断，状态=单状态，约束=无约束，推理=直接套用。教师、盲评和多次模型证据中未形成足以推翻原裁定的同向结构证据。</x:v>
      </x:c>
      <x:c r="J690" s="65" t="str">
        <x:v>未进入三次错题并集；逐题结构一致性复核</x:v>
      </x:c>
      <x:c r="K690" s="63" t="str">
        <x:v>下列传播信号的途径中，传播容量最大的是（ ）</x:v>
      </x:c>
      <x:c r="L690" s="63" t="str">
        <x:v>A. 电缆 B. 电磁波 C. 光纤 D. 普通电线</x:v>
      </x:c>
      <x:c r="M690" s="63" t="str">
        <x:v>解：A、有线电视的信号所用的就是电缆，传输量一般。错误。 B、收音机信号所用的就是电磁波的一种，传输量小，错误。 C、一根光纤相当于几万根电话线的信号总量，传输量最大，正确。 D、电线其实就是铜线，传输量小。错误。 故选：C。</x:v>
      </x:c>
      <x:c r="N690" s="63" t="str">
        <x:v>https://k12static.xdf.cn/k12/image/externalized/11178542-09e7-4e9e-bb0e-06d31bc337fb.png</x:v>
      </x:c>
      <x:c r="O690" s="63" t="str">
        <x:v>https://k12static.xdf.cn/k12/image/externalized/d2697825-7bde-4907-8bc4-0226cb156c70.png</x:v>
      </x:c>
      <x:c r="P690" s="63" t="str">
        <x:v>1-2步</x:v>
      </x:c>
      <x:c r="Q690" s="63" t="str">
        <x:v>概念判断</x:v>
      </x:c>
      <x:c r="R690" s="63" t="str">
        <x:v>单状态</x:v>
      </x:c>
      <x:c r="S690" s="63" t="str">
        <x:v>无约束</x:v>
      </x:c>
      <x:c r="T690" s="63" t="str">
        <x:v>无</x:v>
      </x:c>
      <x:c r="U690" s="63" t="str">
        <x:v>无</x:v>
      </x:c>
      <x:c r="V690" s="63" t="str">
        <x:v>直接套用</x:v>
      </x:c>
    </x:row>
    <x:row r="691">
      <x:c r="A691" s="64" t="str">
        <x:v>​2429815530065801216</x:v>
      </x:c>
      <x:c r="B691" s="65" t="str">
        <x:v>拔高题</x:v>
      </x:c>
      <x:c r="C691" s="65" t="str">
        <x:v>拔高题</x:v>
      </x:c>
      <x:c r="D691" s="65" t="str">
        <x:v>拔高题</x:v>
      </x:c>
      <x:c r="E691" s="65" t="str">
        <x:v>保留原GPT裁定</x:v>
      </x:c>
      <x:c r="F691" s="65" t="str">
        <x:v>高</x:v>
      </x:c>
      <x:c r="G691" s="65" t="str">
        <x:v>拔高题</x:v>
      </x:c>
      <x:c r="H691" s="65" t="str">
        <x:v>拔高题</x:v>
      </x:c>
      <x:c r="I691" s="65" t="str">
        <x:v>题干、解析与结构证据支持拔高题：step=6-8步，题型=热学综合，状态=多状态，约束=多约束，推理=逆向推理或临界分析。教师、盲评和多次模型证据中未形成足以推翻原裁定的同向结构证据。</x:v>
      </x:c>
      <x:c r="J691" s="65" t="str">
        <x:v>未进入三次错题并集；逐题结构一致性复核</x:v>
      </x:c>
      <x:c r="K691" s="63" t="str">
        <x:v>将一杯热水倒入盛有冷水的容器中，冷水的温度升高了10℃，再向容器中倒入一杯相同质量和温度的热水，容器中的水温又升高了6℃．不考虑对外散热，如果继续向容器中倒入一杯同样的热水，则容器中的水温会升高________，以及最开始冷水与热水的质量之比是________．（ ）</x:v>
      </x:c>
      <x:c r="L691" s="63" t="str">
        <x:v>A. 4℃4：1 B. 4℃3：1 C. 2℃4：1 D. 2℃3：1</x:v>
      </x:c>
      <x:c r="M691" s="63" t="str">
        <x:v>解：设热水和冷水的温度差为t, 质量为m0的一杯热水倒入盛有质量为m的冷水的容器中，使得冷水温度升高了10℃， 则有：Q吸=Q放，即：cm0（t-10℃）=cm×10℃-------① 又向容器中倒入一杯同质量为m0同温度的热水，水温又上升了6℃， 则有：Q吸=Q放，即：cm0（t-10℃-6℃）=c（m+m0）×6℃-------② 则①-②得：6℃×cm0=10℃×cm-6℃×cm-6℃×cm0， 整理得：12℃×cm0=4℃×cm, 解得：m=3m0，即 $\frac{m}{{m}_{0}}$=$\frac{3}{1}$ 代入①式可得：t=40℃； 假设我们将全部热水一次性注入，则由热平衡方程可知： 3m0c（40℃-Δt）=mcΔt,m=3m0； 联立两式解得：Δt=20℃； 则注入后3杯水后，水温还会上升：20℃-10℃-6℃=4℃。 故选：B。</x:v>
      </x:c>
      <x:c r="N691" s="63" t="str">
        <x:v>https://k12static.xdf.cn/k12/image/externalized/c5219994-0b89-4e43-b223-51a95805bf8f.png</x:v>
      </x:c>
      <x:c r="O691" s="63" t="str">
        <x:v>https://k12static.xdf.cn/k12/image/externalized/f2437234-ddd1-4588-bac1-0cc3735e4cfa.png</x:v>
      </x:c>
      <x:c r="P691" s="63" t="str">
        <x:v>6-8步</x:v>
      </x:c>
      <x:c r="Q691" s="63" t="str">
        <x:v>热学综合</x:v>
      </x:c>
      <x:c r="R691" s="63" t="str">
        <x:v>多状态</x:v>
      </x:c>
      <x:c r="S691" s="63" t="str">
        <x:v>多约束</x:v>
      </x:c>
      <x:c r="T691" s="63" t="str">
        <x:v>无</x:v>
      </x:c>
      <x:c r="U691" s="63" t="str">
        <x:v>无</x:v>
      </x:c>
      <x:c r="V691" s="63" t="str">
        <x:v>逆向推理或临界分析</x:v>
      </x:c>
    </x:row>
    <x:row r="692">
      <x:c r="A692" s="64" t="str">
        <x:v>​2435226366255091712</x:v>
      </x:c>
      <x:c r="B692" s="65" t="str">
        <x:v>基础题</x:v>
      </x:c>
      <x:c r="C692" s="65" t="str">
        <x:v>基础题</x:v>
      </x:c>
      <x:c r="D692" s="65" t="str">
        <x:v>基础题</x:v>
      </x:c>
      <x:c r="E692" s="65" t="str">
        <x:v>保留原GPT裁定</x:v>
      </x:c>
      <x:c r="F692" s="65" t="str">
        <x:v>高</x:v>
      </x:c>
      <x:c r="G692" s="65" t="str">
        <x:v>基础题</x:v>
      </x:c>
      <x:c r="H692" s="65" t="str">
        <x:v>基础题</x:v>
      </x:c>
      <x:c r="I692" s="65" t="str">
        <x:v>题干、解析与结构证据支持基础题：step=1-2步，题型=概念判断，状态=单状态，约束=无约束，推理=简单因果推理。教师、盲评和多次模型证据中未形成足以推翻原裁定的同向结构证据。</x:v>
      </x:c>
      <x:c r="J692" s="65" t="str">
        <x:v>未进入三次错题并集；逐题结构一致性复核</x:v>
      </x:c>
      <x:c r="K692" s="63" t="str">
        <x:v>如图是我国自主研制的某新型战斗机上的光电搜索跟踪系统。该系统功能与人眼相似，能为战斗机提供感知外界的“视觉”，系统内置的光电传感器，相当于人眼的视网膜，最外层窗口和传感器之间的光学元件，相当于人眼的晶状体。关于该系统说法不正确的是（ ）</x:v>
      </x:c>
      <x:c r="L692" s="63" t="str">
        <x:v>A. 该系统的光学元件相当于一个凸透镜 B. 该系统在光电传感器上成的是倒立、放大的实像 C. 景物到镜头的距离越远，所成的像越小 D. 该系统的成像原理与照相机的成像原理相同</x:v>
      </x:c>
      <x:c r="M692" s="63" t="str">
        <x:v>解：A、该系统的光学元件相当于一个凸透镜，故A正确； B、系统功能与人眼相似，成的是倒立、缩小的实像，故B错误； C、景物到镜头的距离越远，物距越大，像距越小，所成的像越小，故C正确； D、该系统的成像原理与照相机的成像原理相同，故D正确。 故选：B。</x:v>
      </x:c>
      <x:c r="N692" s="63" t="str">
        <x:v>https://k12static.xdf.cn/k12/image/externalized/bc261dcc-98dd-4520-8a9d-518b4de093e8.png</x:v>
      </x:c>
      <x:c r="O692" s="63" t="str">
        <x:v>https://k12static.xdf.cn/k12/image/externalized/58c954ca-3df2-4dda-bea8-e9f5eb0c6823.png</x:v>
      </x:c>
      <x:c r="P692" s="63" t="str">
        <x:v>1-2步</x:v>
      </x:c>
      <x:c r="Q692" s="63" t="str">
        <x:v>概念判断</x:v>
      </x:c>
      <x:c r="R692" s="63" t="str">
        <x:v>单状态</x:v>
      </x:c>
      <x:c r="S692" s="63" t="str">
        <x:v>无约束</x:v>
      </x:c>
      <x:c r="T692" s="63" t="str">
        <x:v>无</x:v>
      </x:c>
      <x:c r="U692" s="63" t="str">
        <x:v>无</x:v>
      </x:c>
      <x:c r="V692" s="63" t="str">
        <x:v>简单因果推理</x:v>
      </x:c>
    </x:row>
    <x:row r="693">
      <x:c r="A693" s="64" t="str">
        <x:v>​2435262456626159616</x:v>
      </x:c>
      <x:c r="B693" s="65" t="str">
        <x:v>中等题</x:v>
      </x:c>
      <x:c r="C693" s="65" t="str">
        <x:v>中等题</x:v>
      </x:c>
      <x:c r="D693" s="65" t="str">
        <x:v>中等题</x:v>
      </x:c>
      <x:c r="E693" s="65" t="str">
        <x:v>保留原GPT裁定</x:v>
      </x:c>
      <x:c r="F693" s="65" t="str">
        <x:v>高</x:v>
      </x:c>
      <x:c r="G693" s="65" t="str">
        <x:v>中等题</x:v>
      </x:c>
      <x:c r="H693" s="65" t="str">
        <x:v>中等题</x:v>
      </x:c>
      <x:c r="I693" s="65" t="str">
        <x:v>题干、解析与结构证据支持中等题：step=3-5步，题型=力学综合，状态=双状态，约束=单一约束，推理=多层因果推理。教师、盲评和多次模型证据中未形成足以推翻原裁定的同向结构证据。</x:v>
      </x:c>
      <x:c r="J693" s="65" t="str">
        <x:v>未进入三次错题并集；逐题结构一致性复核</x:v>
      </x:c>
      <x:c r="K693" s="63" t="str">
        <x:v>如图所示，物体A、B的重分别为20N、10N，滑轮重和滑轮与绳子之间的摩擦忽略不计，此时物体A在水平面上向右做匀速直线运动，若用力F向左拉物体A，使物体A向左做匀速直线运动，则（ ）</x:v>
      </x:c>
      <x:c r="L693" s="63" t="str">
        <x:v>A. F=20N B. F=10N C. F=5N D. F=30N</x:v>
      </x:c>
      <x:c r="M693" s="63" t="str">
        <x:v>解： 滑轮重和滑轮与绳子之间的摩擦忽略不计，由图知，此滑轮组由2段绳子承担B物体的重力， 所以绳子上的拉力FA=$\frac{1}{2}$GB=$\frac{1}{2}$×10N=5N； A向右做匀速直线运动时，在水平方向A受到的摩擦力和绳对A的拉力平衡，所以f=FA=5N，方向水平向左； 若使物体A向左做匀速直线运动，此时A受向左的拉力F、向右的摩擦力和向右的绳子拉力FA，且A对水平面的压力大小和接触面的粗糙程度不变，则A受到的摩擦力大小不变（仍为5N）， 因A处于平衡状态且绳子上的拉力大小不变，则由力的平衡条件可得向左的拉力F=FA+f=5N+5N=10N。 故选：B。</x:v>
      </x:c>
      <x:c r="N693" s="63" t="str">
        <x:v>https://k12static.xdf.cn/k12/image/externalized/a71bcb9e-01ce-45cf-a92d-5d9f6b15d194.png</x:v>
      </x:c>
      <x:c r="O693" s="63" t="str">
        <x:v>https://k12static.xdf.cn/k12/image/externalized/05cf250b-e8b5-4f6b-83b7-90c70ad6a636.png</x:v>
      </x:c>
      <x:c r="P693" s="63" t="str">
        <x:v>3-5步</x:v>
      </x:c>
      <x:c r="Q693" s="63" t="str">
        <x:v>力学综合</x:v>
      </x:c>
      <x:c r="R693" s="63" t="str">
        <x:v>双状态</x:v>
      </x:c>
      <x:c r="S693" s="63" t="str">
        <x:v>单一约束</x:v>
      </x:c>
      <x:c r="T693" s="63" t="str">
        <x:v>无</x:v>
      </x:c>
      <x:c r="U693" s="63" t="str">
        <x:v>无</x:v>
      </x:c>
      <x:c r="V693" s="63" t="str">
        <x:v>多层因果推理</x:v>
      </x:c>
    </x:row>
    <x:row r="694">
      <x:c r="A694" s="64" t="str">
        <x:v>​2448661254153973760</x:v>
      </x:c>
      <x:c r="B694" s="65" t="str">
        <x:v>中等题</x:v>
      </x:c>
      <x:c r="C694" s="65" t="str">
        <x:v>中等题</x:v>
      </x:c>
      <x:c r="D694" s="65" t="str">
        <x:v>中等题</x:v>
      </x:c>
      <x:c r="E694" s="65" t="str">
        <x:v>保留原GPT裁定</x:v>
      </x:c>
      <x:c r="F694" s="65" t="str">
        <x:v>高</x:v>
      </x:c>
      <x:c r="G694" s="65" t="str">
        <x:v>中等题</x:v>
      </x:c>
      <x:c r="H694" s="65" t="str">
        <x:v>中等题</x:v>
      </x:c>
      <x:c r="I694" s="65" t="str">
        <x:v>题干、解析与结构证据支持中等题：step=3-5步，题型=实验探究，状态=双状态，约束=单一约束，推理=多层因果推理。教师、盲评和多次模型证据中未形成足以推翻原裁定的同向结构证据。</x:v>
      </x:c>
      <x:c r="J694" s="65" t="str">
        <x:v>未进入三次错题并集；逐题结构一致性复核</x:v>
      </x:c>
      <x:c r="K694" s="63" t="str">
        <x:v>在“探究水沸腾时温度变化的特点”的实验中，某组同学用如图甲所示的实验装置进行了两次实验，并根据实验数据绘制了如图乙所示的图象。下列说法正确的是（ ）</x:v>
      </x:c>
      <x:c r="L694" s="63" t="str">
        <x:v>A. 两次实验时大气压都高于标准大气压 B. 水在沸腾的时候温度上升 C. 两次实验水的初温不同，所以没有办法比较出两次所用水的质量大小 D. 第一次实验所用水的质量比第二次实验所用水的质量多</x:v>
      </x:c>
      <x:c r="M694" s="63" t="str">
        <x:v>解：A．由图可知，两次实验中水的沸点都是98℃，低于一个标准大气压下水的沸点100℃，说明此时大气压低于标准大气压，故A错误； B．水在沸腾时，吸收热量，温度保持不变，故B错误； CD．根据Q吸=cmΔt,在装置相同的情况下，相同时间吸收热量相同，则：cm1Δt1=cm2Δt2， 可得第一次实验和第二次实验所用水的质量之比：$\frac{{m}_{1}}{{m}_{2}}$=$\frac{\Delta {t}_{2}}{\Delta {t}_{1}}$=$\frac{98℃−88℃}{98℃−92℃}$=$\frac{5}{3}$，故C错误，D正确。 故选D。</x:v>
      </x:c>
      <x:c r="N694" s="63" t="str">
        <x:v>https://k12static.xdf.cn/k12/image/externalized/12263dfc-6547-486b-824d-b0b23a9e5627.png</x:v>
      </x:c>
      <x:c r="O694" s="63" t="str">
        <x:v>https://k12static.xdf.cn/k12/image/externalized/d2fae53e-ac84-43f0-a3d3-8bf45862ee78.png</x:v>
      </x:c>
      <x:c r="P694" s="63" t="str">
        <x:v>3-5步</x:v>
      </x:c>
      <x:c r="Q694" s="63" t="str">
        <x:v>实验探究</x:v>
      </x:c>
      <x:c r="R694" s="63" t="str">
        <x:v>双状态</x:v>
      </x:c>
      <x:c r="S694" s="63" t="str">
        <x:v>单一约束</x:v>
      </x:c>
      <x:c r="T694" s="63" t="str">
        <x:v>控制变量或故障分析</x:v>
      </x:c>
      <x:c r="U694" s="63" t="str">
        <x:v>多组比较归纳</x:v>
      </x:c>
      <x:c r="V694" s="63" t="str">
        <x:v>多层因果推理</x:v>
      </x:c>
    </x:row>
    <x:row r="695">
      <x:c r="A695" s="64" t="str">
        <x:v>​2457009190530240512</x:v>
      </x:c>
      <x:c r="B695" s="65" t="str">
        <x:v>基础题</x:v>
      </x:c>
      <x:c r="C695" s="65" t="str">
        <x:v>基础题</x:v>
      </x:c>
      <x:c r="D695" s="65" t="str">
        <x:v>基础题</x:v>
      </x:c>
      <x:c r="E695" s="65" t="str">
        <x:v>保留原GPT裁定</x:v>
      </x:c>
      <x:c r="F695" s="65" t="str">
        <x:v>高</x:v>
      </x:c>
      <x:c r="G695" s="65" t="str">
        <x:v>基础题</x:v>
      </x:c>
      <x:c r="H695" s="65" t="str">
        <x:v>基础题</x:v>
      </x:c>
      <x:c r="I695" s="65" t="str">
        <x:v>题干、解析与结构证据支持基础题：step=1-2步，题型=概念判断，状态=单状态，约束=无约束，推理=简单因果推理。教师、盲评和多次模型证据中未形成足以推翻原裁定的同向结构证据。</x:v>
      </x:c>
      <x:c r="J695" s="65" t="str">
        <x:v>未进入三次错题并集；逐题结构一致性复核</x:v>
      </x:c>
      <x:c r="K695" s="63" t="str">
        <x:v>小明匀速爬杆，小刚匀速爬绳，有关他们受到的摩擦力，下面说法正确的是（ ）</x:v>
      </x:c>
      <x:c r="L695" s="63" t="str">
        <x:v>A. 因为爬杆时手握杆的压力大，所以小明受到的摩擦力一定大 B. 因为绳子粗糙，所以小刚受到的摩擦力一定大 C. 小明和小刚受到的摩擦力一定相等 D. 若小明的体重大，则他受到的摩擦力一定大</x:v>
      </x:c>
      <x:c r="M695" s="63" t="str">
        <x:v>解：（1）由于匀速上升，他们受的是一对平衡力，即摩擦力都等于他们的重力； （2）由于小明所受的摩擦力等于其自身的重力，小刚所受的摩擦力也等于自身的重力，若是小明的体重大时，小明所受的摩擦力一定大。故D正确，ABC错误； 故选：D。</x:v>
      </x:c>
      <x:c r="N695" s="63" t="str">
        <x:v>https://k12static.xdf.cn/k12/image/externalized/c2df211f-b03e-4b36-a377-dc1265b777c3.png</x:v>
      </x:c>
      <x:c r="O695" s="63" t="str">
        <x:v>https://k12static.xdf.cn/k12/image/externalized/62589423-71be-44d9-84b4-b33dfa05023c.png</x:v>
      </x:c>
      <x:c r="P695" s="63" t="str">
        <x:v>1-2步</x:v>
      </x:c>
      <x:c r="Q695" s="63" t="str">
        <x:v>概念判断</x:v>
      </x:c>
      <x:c r="R695" s="63" t="str">
        <x:v>单状态</x:v>
      </x:c>
      <x:c r="S695" s="63" t="str">
        <x:v>无约束</x:v>
      </x:c>
      <x:c r="T695" s="63" t="str">
        <x:v>无</x:v>
      </x:c>
      <x:c r="U695" s="63" t="str">
        <x:v>无</x:v>
      </x:c>
      <x:c r="V695" s="63" t="str">
        <x:v>简单因果推理</x:v>
      </x:c>
    </x:row>
    <x:row r="696">
      <x:c r="A696" s="64" t="str">
        <x:v>​2464206706517221376</x:v>
      </x:c>
      <x:c r="B696" s="65" t="str">
        <x:v>中等题</x:v>
      </x:c>
      <x:c r="C696" s="65" t="str">
        <x:v>中等题</x:v>
      </x:c>
      <x:c r="D696" s="65" t="str">
        <x:v>中等题</x:v>
      </x:c>
      <x:c r="E696" s="65" t="str">
        <x:v>逐题复核后保留GPT裁定</x:v>
      </x:c>
      <x:c r="F696" s="65" t="str">
        <x:v>高</x:v>
      </x:c>
      <x:c r="G696" s="65" t="str">
        <x:v>中等题</x:v>
      </x:c>
      <x:c r="H696" s="65" t="str">
        <x:v>中等题</x:v>
      </x:c>
      <x:c r="I696" s="65" t="str">
        <x:v>需要围绕教材概念与常规物理关系完成常规的3—4个有效决策，或完成一套完整标准实验/共享过程分析。关系仍显性、方法常规，没有决定性隐含转换、复杂边界筛选或多状态强耦合。</x:v>
      </x:c>
      <x:c r="J696" s="65" t="str">
        <x:v>三次运行错题并集逐题复核</x:v>
      </x:c>
      <x:c r="K696" s="63" t="str">
        <x:v>某同学需称量20g水，在调节天平平衡时，未将游码归零，仅调节平衡螺母使天平平衡，则测量结果应是（ ）</x:v>
      </x:c>
      <x:c r="L696" s="63" t="str">
        <x:v>A. 测量值大于真实值 B. 测量值小于真实值 C. 测量值等于真实值 D. 条件不足，不好判断</x:v>
      </x:c>
      <x:c r="M696" s="63" t="str">
        <x:v>解：称量出具体的液体质量（20g水），虽然未将游码归零，就调节平衡螺母使天平平衡，这只会使测量出来的空烧杯的质量有偏差，不影响测量的水的质量。因为烧杯放在左盘后，通过调节砝码和游码使天平平衡后，再往右盘中添加一个20g的砝码，接下来就是往左盘中滴加水，直至天平平衡，那烧杯中水的质量就是20g。测量值和真实值是一样的。因为最终称量的结果是差值，前后误差抵消掉了，所以对结果无影响。 故选：C。</x:v>
      </x:c>
      <x:c r="N696" s="63" t="str">
        <x:v>https://k12static.xdf.cn/k12/image/externalized/8647705f-0162-4e0e-9442-3e9e4446e491.png</x:v>
      </x:c>
      <x:c r="O696" s="63" t="str">
        <x:v>https://k12static.xdf.cn/k12/image/externalized/bf2bb7fa-2212-4e71-bcfb-f75ab2a66b41.png</x:v>
      </x:c>
      <x:c r="P696" s="63" t="str">
        <x:v>3-5步</x:v>
      </x:c>
      <x:c r="Q696" s="63" t="str">
        <x:v>概念判断</x:v>
      </x:c>
      <x:c r="R696" s="63" t="str">
        <x:v>单状态</x:v>
      </x:c>
      <x:c r="S696" s="63" t="str">
        <x:v>无约束</x:v>
      </x:c>
      <x:c r="T696" s="63" t="str">
        <x:v>无</x:v>
      </x:c>
      <x:c r="U696" s="63" t="str">
        <x:v>无</x:v>
      </x:c>
      <x:c r="V696" s="63" t="str">
        <x:v>多层因果推理</x:v>
      </x:c>
    </x:row>
    <x:row r="697">
      <x:c r="A697" s="64" t="str">
        <x:v>​2464488215958835200</x:v>
      </x:c>
      <x:c r="B697" s="65" t="str">
        <x:v>中等题</x:v>
      </x:c>
      <x:c r="C697" s="65" t="str">
        <x:v>中等题</x:v>
      </x:c>
      <x:c r="D697" s="65" t="str">
        <x:v>中等题</x:v>
      </x:c>
      <x:c r="E697" s="65" t="str">
        <x:v>保留原GPT裁定</x:v>
      </x:c>
      <x:c r="F697" s="65" t="str">
        <x:v>高</x:v>
      </x:c>
      <x:c r="G697" s="65" t="str">
        <x:v>中等题</x:v>
      </x:c>
      <x:c r="H697" s="65" t="str">
        <x:v>中等题</x:v>
      </x:c>
      <x:c r="I697" s="65" t="str">
        <x:v>题干、解析与结构证据支持中等题：step=3-5步，题型=概念判断，状态=单状态，约束=单一约束，推理=多层因果推理。教师、盲评和多次模型证据中未形成足以推翻原裁定的同向结构证据。</x:v>
      </x:c>
      <x:c r="J697" s="65" t="str">
        <x:v>未进入三次错题并集；逐题结构一致性复核</x:v>
      </x:c>
      <x:c r="K697" s="63" t="str">
        <x:v>如图所示，用水平推力F将质量均为m的木块A、B压在竖直墙面上保持静止，下列说法中正确的是（ ）</x:v>
      </x:c>
      <x:c r="L697" s="63" t="str">
        <x:v>A. 木块B受到的摩擦力大小一定等于F B. 木块A受到木块B的摩擦力方向竖直向下 C. 木块A受到墙面的摩擦力等于mg D. 若增大力F，则木块B受到的摩擦力变大</x:v>
      </x:c>
      <x:c r="M697" s="63" t="str">
        <x:v>解：A．木块B受到的摩擦力和重力是一对平衡力，所以摩擦力的大小一定等于B的重力，不一定等于F，故A错误； B．木块B受到的摩擦力和重力是一对平衡力，方向相反，所以A对B的摩擦力方向竖直向上；木块A受到B的摩擦力和木块A对B的摩擦力是一对相互作用力，方向相反，所以，木块A受到木块B的摩擦力方向竖直向下，故B正确； C．把AB作为一个整体进行分析，木块A受到墙面的摩擦力与AB两物体的总重力是一对平衡力，则木块A受到墙面的摩擦力大小应该为2mg,故C错误； D．若增大力F，木块B受到的摩擦力和B的重力仍是一对平衡力，则木块B受到的摩擦力大小仍不变，故D错误。 故选：B。</x:v>
      </x:c>
      <x:c r="N697" s="63" t="str">
        <x:v>https://k12static.xdf.cn/k12/image/externalized/a9288968-8308-4891-8a5b-5f2af41d3c74.png</x:v>
      </x:c>
      <x:c r="O697" s="63" t="str">
        <x:v>https://k12static.xdf.cn/k12/image/externalized/a0fe1815-0255-4ad0-ab5b-79c0405dd75e.png</x:v>
      </x:c>
      <x:c r="P697" s="63" t="str">
        <x:v>3-5步</x:v>
      </x:c>
      <x:c r="Q697" s="63" t="str">
        <x:v>概念判断</x:v>
      </x:c>
      <x:c r="R697" s="63" t="str">
        <x:v>单状态</x:v>
      </x:c>
      <x:c r="S697" s="63" t="str">
        <x:v>单一约束</x:v>
      </x:c>
      <x:c r="T697" s="63" t="str">
        <x:v>无</x:v>
      </x:c>
      <x:c r="U697" s="63" t="str">
        <x:v>无</x:v>
      </x:c>
      <x:c r="V697" s="63" t="str">
        <x:v>多层因果推理</x:v>
      </x:c>
    </x:row>
    <x:row r="698">
      <x:c r="A698" s="64" t="str">
        <x:v>​2483355081485094912</x:v>
      </x:c>
      <x:c r="B698" s="65" t="str">
        <x:v>中等题</x:v>
      </x:c>
      <x:c r="C698" s="65" t="str">
        <x:v>中等题</x:v>
      </x:c>
      <x:c r="D698" s="65" t="str">
        <x:v>中等题</x:v>
      </x:c>
      <x:c r="E698" s="65" t="str">
        <x:v>保留原GPT裁定</x:v>
      </x:c>
      <x:c r="F698" s="65" t="str">
        <x:v>高</x:v>
      </x:c>
      <x:c r="G698" s="65" t="str">
        <x:v>中等题</x:v>
      </x:c>
      <x:c r="H698" s="65" t="str">
        <x:v>中等题</x:v>
      </x:c>
      <x:c r="I698" s="65" t="str">
        <x:v>题干、解析与结构证据支持中等题：step=3-5步，题型=概念判断，状态=双状态，约束=单一约束，推理=多层因果推理。教师、盲评和多次模型证据中未形成足以推翻原裁定的同向结构证据。</x:v>
      </x:c>
      <x:c r="J698" s="65" t="str">
        <x:v>未进入三次错题并集；逐题结构一致性复核</x:v>
      </x:c>
      <x:c r="K698" s="63" t="str">
        <x:v>可回收垃圾投放前应保持清洁。小晋在清洗金属材质的空鞋油管时，发现挤瘪的空鞋油管沉在水底（如图甲所示），而将它撑鼓后却浮在水面（如图乙所示）。下列分析正确的是（ ）</x:v>
      </x:c>
      <x:c r="L698" s="63" t="str">
        <x:v>A. 图甲中，鞋油管所受的浮力小于它排开水所受的重力 B. 图乙中，鞋油管所受的浮力大于它自身所受的重力 C. 图甲中鞋油管排开水的体积小于图乙中鞋油管排开水的体积 D. 图甲中鞋油管所受的浮力大于图乙中鞋油管所受的浮力</x:v>
      </x:c>
      <x:c r="M698" s="63" t="str">
        <x:v>解：A、由阿基米德原理可知，鞋油管所受的浮力等于它排开水所受的重力，故A错误； B、乙中鞋油管漂浮在水面上，则F乙=G乙，故B错误； CD、同一块空鞋油管做成不同形状的物体，空鞋油管的质量不变，由G=mg可得，二者所受的重力相等，即G甲=G乙；甲中鞋油管沉入水底，则F甲＜G甲，乙中鞋油管漂浮在水面上，则F乙=G乙，所以F甲＜F乙，根据由F浮=ρ水gV排可得两次鞋油管排开水的体积V甲＜V乙，故C正确，D错误。 故选：C。</x:v>
      </x:c>
      <x:c r="N698" s="63" t="str">
        <x:v>https://k12static.xdf.cn/k12/image/externalized/f01fabe7-7e68-4999-8f19-0753acbdcb55.png</x:v>
      </x:c>
      <x:c r="O698" s="63" t="str">
        <x:v>https://k12static.xdf.cn/k12/image/externalized/786e2f9c-5c30-4e4e-83a2-22e16d8e332d.png</x:v>
      </x:c>
      <x:c r="P698" s="63" t="str">
        <x:v>3-5步</x:v>
      </x:c>
      <x:c r="Q698" s="63" t="str">
        <x:v>概念判断</x:v>
      </x:c>
      <x:c r="R698" s="63" t="str">
        <x:v>双状态</x:v>
      </x:c>
      <x:c r="S698" s="63" t="str">
        <x:v>单一约束</x:v>
      </x:c>
      <x:c r="T698" s="63" t="str">
        <x:v>无</x:v>
      </x:c>
      <x:c r="U698" s="63" t="str">
        <x:v>无</x:v>
      </x:c>
      <x:c r="V698" s="63" t="str">
        <x:v>多层因果推理</x:v>
      </x:c>
    </x:row>
    <x:row r="699">
      <x:c r="A699" s="64" t="str">
        <x:v>​2486105535563530240</x:v>
      </x:c>
      <x:c r="B699" s="65" t="str">
        <x:v>中等题</x:v>
      </x:c>
      <x:c r="C699" s="65" t="str">
        <x:v>中等题</x:v>
      </x:c>
      <x:c r="D699" s="65" t="str">
        <x:v>中等题</x:v>
      </x:c>
      <x:c r="E699" s="65" t="str">
        <x:v>保留原GPT裁定</x:v>
      </x:c>
      <x:c r="F699" s="65" t="str">
        <x:v>高</x:v>
      </x:c>
      <x:c r="G699" s="65" t="str">
        <x:v>中等题</x:v>
      </x:c>
      <x:c r="H699" s="65" t="str">
        <x:v>中等题</x:v>
      </x:c>
      <x:c r="I699" s="65" t="str">
        <x:v>题干、解析与结构证据支持中等题：step=3-5步，题型=概念判断，状态=单状态，约束=单一约束，推理=多层因果推理。教师、盲评和多次模型证据中未形成足以推翻原裁定的同向结构证据。</x:v>
      </x:c>
      <x:c r="J699" s="65" t="str">
        <x:v>未进入三次错题并集；逐题结构一致性复核</x:v>
      </x:c>
      <x:c r="K699" s="63" t="str">
        <x:v>磁悬浮列车是一种现代高科技轨道交通工具，它的简化原理图如图所示：将A、B两个磁环先后套在光滑的木支架上，并使两磁环相对面的磁极相同从而产生排斥力，此时可以看到上方的磁环A“悬浮”在空中，整个系统处于静止状态。设两磁环受到的重力相等且都为G，磁环B对木支架的压力为F，则下列说法正确的是（ ）</x:v>
      </x:c>
      <x:c r="L699" s="63" t="str">
        <x:v>A. 磁悬浮列车利用了分离接触面来减小摩擦力，实现了列车的无阻力前进 B. 当磁悬浮列车沿轨道匀速直线运动时，只受到了竖直方向的平衡力作用 C. 原理图中A磁环受到的斥力等于2G D. 磁环B对木支架的压力F等于2G</x:v>
      </x:c>
      <x:c r="M699" s="63" t="str">
        <x:v>解：A、磁悬浮列车利用了磁极间的相互作用使接触面分离来减小摩擦力，但列车仍然受到阻力作用，故A错误； B、当磁悬浮列车沿轨道匀速直线运动时，水平方向上受牵引力和阻力一对平衡力，竖直方向上受重力和磁力一对平衡力，故B错误； C、对于磁环A，受到重力和磁环B的排斥力F斥，因为磁环A悬浮，所以F斥=G，故C错误； D、对于磁环B，受到地面的支持力F支、重力和磁环A的排斥力F斥′，因为磁环B静止，所以F支=G+F斥′， 因为力的作用是相互的，磁环A对磁环B的磁力F′斥与磁环B对磁环A的磁力F斥是一对相互作用力，大小相等， 所以F斥=F斥′=G 所以F支=G+F斥′=2G， 因为磁环B对木支架的压力F与磁环B受到地面的支持力F支是一对相互作用力， 所以磁环B对木支架底座的压力：F=F支=2G．故D正确。 故选：D。</x:v>
      </x:c>
      <x:c r="N699" s="63" t="str">
        <x:v>https://k12static.xdf.cn/k12/image/externalized/6990f164-7c9c-4671-84d8-e216b0e7de11.png</x:v>
      </x:c>
      <x:c r="O699" s="63" t="str">
        <x:v>https://k12static.xdf.cn/k12/image/externalized/ed26755b-e86f-4734-af99-69af49be576f.png</x:v>
      </x:c>
      <x:c r="P699" s="63" t="str">
        <x:v>3-5步</x:v>
      </x:c>
      <x:c r="Q699" s="63" t="str">
        <x:v>概念判断</x:v>
      </x:c>
      <x:c r="R699" s="63" t="str">
        <x:v>单状态</x:v>
      </x:c>
      <x:c r="S699" s="63" t="str">
        <x:v>单一约束</x:v>
      </x:c>
      <x:c r="T699" s="63" t="str">
        <x:v>无</x:v>
      </x:c>
      <x:c r="U699" s="63" t="str">
        <x:v>无</x:v>
      </x:c>
      <x:c r="V699" s="63" t="str">
        <x:v>多层因果推理</x:v>
      </x:c>
    </x:row>
    <x:row r="700">
      <x:c r="A700" s="64" t="str">
        <x:v>​2487390741370834944</x:v>
      </x:c>
      <x:c r="B700" s="65" t="str">
        <x:v>中等题</x:v>
      </x:c>
      <x:c r="C700" s="65" t="str">
        <x:v>中等题</x:v>
      </x:c>
      <x:c r="D700" s="65" t="str">
        <x:v>中等题</x:v>
      </x:c>
      <x:c r="E700" s="65" t="str">
        <x:v>保留原GPT裁定</x:v>
      </x:c>
      <x:c r="F700" s="65" t="str">
        <x:v>高</x:v>
      </x:c>
      <x:c r="G700" s="65" t="str">
        <x:v>中等题</x:v>
      </x:c>
      <x:c r="H700" s="65" t="str">
        <x:v>中等题</x:v>
      </x:c>
      <x:c r="I700" s="65" t="str">
        <x:v>题干、解析与结构证据支持中等题：step=1-2步，题型=概念判断，状态=单状态，约束=无约束，推理=多层因果推理。教师、盲评和多次模型证据中未形成足以推翻原裁定的同向结构证据。</x:v>
      </x:c>
      <x:c r="J700" s="65" t="str">
        <x:v>未进入三次错题并集；逐题结构一致性复核</x:v>
      </x:c>
      <x:c r="K700" s="63" t="str">
        <x:v>投影射灯能够将旋转的彩色画面投影在地面，射灯主要由强光源、图像芯片、凸透镜镜头等部件组成，下列说法中错误的是​（ ）</x:v>
      </x:c>
      <x:c r="L700" s="63" t="str">
        <x:v>A. 若将装置中的凸透镜镜头焦距增大，调整镜头与地面的距离，图像清晰时，地面的投影将增大 B. 如果将射灯中的凸透镜更换成小孔，在地面上仍然能看见其成的像 C. 顺着光源照射方向看，顺时针旋转图像芯片，地面成像将逆时针转动 D. 如果射灯投影区是黑色柏油路面，广告的视觉效果较差</x:v>
      </x:c>
      <x:c r="M700" s="63" t="str">
        <x:v>解：A、若将装置中的凸透镜镜头焦距增大，相当于缩小了物距，因而调整镜头与地面的距离，图像清晰时，根据物近像远像变大，地面的投影将增大，故A正确； B、小孔成像是倒立的实像，如果将射灯中的凸透镜更换成小孔，在地面上仍然能看见其成的像，故B正确； C、站在地面上的顺时针旋转图像中，从同一个方向看图像芯片和像的旋转方向一致，故C错误； D、因黑色物体确实能够吸收所有颜色的光，如果射灯投影区是黑色柏油路面，经地面反射的光进入人眼少，广告的视觉效果较差，故D正确。 故选：C。</x:v>
      </x:c>
      <x:c r="N700" s="63" t="str">
        <x:v>https://k12static.xdf.cn/k12/image/externalized/a05f6d95-650d-4ed9-8058-c162bff09106.png</x:v>
      </x:c>
      <x:c r="O700" s="63" t="str">
        <x:v>https://k12static.xdf.cn/k12/image/externalized/24c14ca3-110a-4428-9e42-a112571b935d.png</x:v>
      </x:c>
      <x:c r="P700" s="63" t="str">
        <x:v>1-2步</x:v>
      </x:c>
      <x:c r="Q700" s="63" t="str">
        <x:v>概念判断</x:v>
      </x:c>
      <x:c r="R700" s="63" t="str">
        <x:v>单状态</x:v>
      </x:c>
      <x:c r="S700" s="63" t="str">
        <x:v>无约束</x:v>
      </x:c>
      <x:c r="T700" s="63" t="str">
        <x:v>无</x:v>
      </x:c>
      <x:c r="U700" s="63" t="str">
        <x:v>无</x:v>
      </x:c>
      <x:c r="V700" s="63" t="str">
        <x:v>多层因果推理</x:v>
      </x:c>
    </x:row>
    <x:row r="701">
      <x:c r="A701" s="64" t="str">
        <x:v>​2490532263826100224</x:v>
      </x:c>
      <x:c r="B701" s="65" t="str">
        <x:v>基础题</x:v>
      </x:c>
      <x:c r="C701" s="65" t="str">
        <x:v>基础题</x:v>
      </x:c>
      <x:c r="D701" s="65" t="str">
        <x:v>基础题</x:v>
      </x:c>
      <x:c r="E701" s="65" t="str">
        <x:v>保留原GPT裁定</x:v>
      </x:c>
      <x:c r="F701" s="65" t="str">
        <x:v>高</x:v>
      </x:c>
      <x:c r="G701" s="65" t="str">
        <x:v>基础题</x:v>
      </x:c>
      <x:c r="H701" s="65" t="str">
        <x:v>基础题</x:v>
      </x:c>
      <x:c r="I701" s="65" t="str">
        <x:v>题干、解析与结构证据支持基础题：step=1-2步，题型=概念判断，状态=单状态，约束=无约束，推理=简单因果推理。教师、盲评和多次模型证据中未形成足以推翻原裁定的同向结构证据。</x:v>
      </x:c>
      <x:c r="J701" s="65" t="str">
        <x:v>未进入三次错题并集；逐题结构一致性复核</x:v>
      </x:c>
      <x:c r="K701" s="63" t="str">
        <x:v>一位年轻的护士在忙碌中用同一支体温计连续测了甲、乙、丙三人的体温，中途没有将水银甩回玻璃泡内，结果三人的体温都是38.5℃，有关三人真实体温下列说法正确的是（ ）</x:v>
      </x:c>
      <x:c r="L701" s="63" t="str">
        <x:v>A. 三个人体温都是38.5℃ B. 甲的体温一定是38.5℃ C. 乙、丙两人的体温都低于38.5℃ D. 三个人中有至少一人体温是38.5℃</x:v>
      </x:c>
      <x:c r="M701" s="63" t="str">
        <x:v>解：用同一支体温计连续测了甲、乙、丙三人的体温，中途没有将水银甩回玻璃泡内，则温度计的示数不会下降，故甲的体温一定为38.5℃，乙和丙的体温低于或等于38.5℃，故ACD错误，B正确。 故答案为：B。</x:v>
      </x:c>
      <x:c r="N701" s="63" t="str">
        <x:v>https://k12static.xdf.cn/k12/image/externalized/90f4e53b-8a05-4772-98c3-6ef39b293123.png</x:v>
      </x:c>
      <x:c r="O701" s="63" t="str">
        <x:v>https://k12static.xdf.cn/k12/image/externalized/961127a9-5941-4661-aac7-70dcca9aa23e.png</x:v>
      </x:c>
      <x:c r="P701" s="63" t="str">
        <x:v>1-2步</x:v>
      </x:c>
      <x:c r="Q701" s="63" t="str">
        <x:v>概念判断</x:v>
      </x:c>
      <x:c r="R701" s="63" t="str">
        <x:v>单状态</x:v>
      </x:c>
      <x:c r="S701" s="63" t="str">
        <x:v>无约束</x:v>
      </x:c>
      <x:c r="T701" s="63" t="str">
        <x:v>无</x:v>
      </x:c>
      <x:c r="U701" s="63" t="str">
        <x:v>无</x:v>
      </x:c>
      <x:c r="V701" s="63" t="str">
        <x:v>简单因果推理</x:v>
      </x:c>
    </x:row>
    <x:row r="702">
      <x:c r="A702" s="64" t="str">
        <x:v>​2490547233079513088</x:v>
      </x:c>
      <x:c r="B702" s="65" t="str">
        <x:v>中等题</x:v>
      </x:c>
      <x:c r="C702" s="65" t="str">
        <x:v>中等题</x:v>
      </x:c>
      <x:c r="D702" s="65" t="str">
        <x:v>中等题</x:v>
      </x:c>
      <x:c r="E702" s="65" t="str">
        <x:v>逐题复核后保留GPT裁定</x:v>
      </x:c>
      <x:c r="F702" s="65" t="str">
        <x:v>高</x:v>
      </x:c>
      <x:c r="G702" s="65" t="str">
        <x:v>中等题</x:v>
      </x:c>
      <x:c r="H702" s="65" t="str">
        <x:v>中等题</x:v>
      </x:c>
      <x:c r="I702" s="65" t="str">
        <x:v>存在约3—4步常规连续分析、共享过程或完整标准实验任务，关系仍显性。 题目证据：最高难选项的实际有效推理约3步，五维锚定中知识量、思维层次均接近中等档，情境不增加额外难度，无复杂计算。四个选项分别需要从表格读取对应凝固点或沸点，结合测温原理、沸腾条件、凝固条件分别判断，每个选项均为独立的有效推理，考查不同条件下的物态变化分析。</x:v>
      </x:c>
      <x:c r="J702" s="65" t="str">
        <x:v>三次运行错题并集逐题复核</x:v>
      </x:c>
      <x:c r="K702" s="63" t="str">
        <x:v>根据表中列出的几种物质凝固点和沸点（在标准大气压下），判断下列说法中正确的是（ ） 物质名称 水银 酒精 水 某食用油 某食用醋 凝固点/℃ -39 -117 0 -8 —— 沸点/℃ 357 78 100 200以上 约60</x:v>
      </x:c>
      <x:c r="L702" s="63" t="str">
        <x:v>A. 我国东北地区的最低气温曾达到-52.3℃，这时可以使用水银温度计测量气温 B. 可以使用酒精温度计测量水的沸点 C. 魔术师表演“油锅取物”时，将手伸入沸腾的锅中取出东西，此时锅中沸腾的油醋混合物的温度在200℃以上 D. 标准大气压下0℃的水不一定结冰</x:v>
      </x:c>
      <x:c r="M702" s="63" t="str">
        <x:v>解：A、我国东北地区的最低气温曾达到-52.3℃，而水银的凝固点是-39℃，这时不可用水银温度计测量我国东北地区的气温，故A正确； B、在标准大气压下，酒精的沸点为78℃，水的沸点为100℃，因水的沸点高于酒精的沸点，所以不能用酒精温度计测量水的沸点，故B错误； C、魔术师表演“油锅取物”时，将手伸入沸腾的锅中取出东西，此时锅中沸腾的油醋混合物的温度在60℃，故C错误； D、标准大气压下0℃时水可能是固态，有可能是液态，还有可能是固液共存态，所以不一定会结冰，故D正确。 故选：D。</x:v>
      </x:c>
      <x:c r="N702" s="63" t="str">
        <x:v>https://k12static.xdf.cn/k12/image/externalized/5ea23ef3-8e13-462c-b647-df3e87308c49.png</x:v>
      </x:c>
      <x:c r="O702" s="63" t="str">
        <x:v>https://k12static.xdf.cn/k12/image/externalized/c84073f6-a089-44d7-a6bd-692fdfde2e65.png</x:v>
      </x:c>
      <x:c r="P702" s="63" t="str">
        <x:v>1-2步</x:v>
      </x:c>
      <x:c r="Q702" s="63" t="str">
        <x:v>概念判断</x:v>
      </x:c>
      <x:c r="R702" s="63" t="str">
        <x:v>单状态</x:v>
      </x:c>
      <x:c r="S702" s="63" t="str">
        <x:v>无约束</x:v>
      </x:c>
      <x:c r="T702" s="63" t="str">
        <x:v>无</x:v>
      </x:c>
      <x:c r="U702" s="63" t="str">
        <x:v>直接读数</x:v>
      </x:c>
      <x:c r="V702" s="63" t="str">
        <x:v>简单因果推理</x:v>
      </x:c>
    </x:row>
    <x:row r="703">
      <x:c r="A703" s="64" t="str">
        <x:v>​2490549689147248640</x:v>
      </x:c>
      <x:c r="B703" s="65" t="str">
        <x:v>基础题</x:v>
      </x:c>
      <x:c r="C703" s="65" t="str">
        <x:v>基础题</x:v>
      </x:c>
      <x:c r="D703" s="65" t="str">
        <x:v>基础题</x:v>
      </x:c>
      <x:c r="E703" s="65" t="str">
        <x:v>保留原GPT裁定</x:v>
      </x:c>
      <x:c r="F703" s="65" t="str">
        <x:v>高</x:v>
      </x:c>
      <x:c r="G703" s="65" t="str">
        <x:v>基础题</x:v>
      </x:c>
      <x:c r="H703" s="65" t="str">
        <x:v>基础题</x:v>
      </x:c>
      <x:c r="I703" s="65" t="str">
        <x:v>题干、解析与结构证据支持基础题：step=1-2步，题型=概念判断，状态=单状态，约束=无约束，推理=简单因果推理。教师、盲评和多次模型证据中未形成足以推翻原裁定的同向结构证据。</x:v>
      </x:c>
      <x:c r="J703" s="65" t="str">
        <x:v>未进入三次错题并集；逐题结构一致性复核</x:v>
      </x:c>
      <x:c r="K703" s="63" t="str">
        <x:v>从冰箱内取出的冰棍会冒“白气”；水烧开后水壶嘴会喷出“白气”，下列分析正确的是（ ）</x:v>
      </x:c>
      <x:c r="L703" s="63" t="str">
        <x:v>A. 这两种情况下的“白气”都是汽化现象 B. 这两种情况下的“白气”都是空气中的水蒸气液化而成的小水珠 C. 冰棍周围的“白气”是空气液化形成的小水珠 D. 冰棍周围的“白气”在形成的过程中要放出热量</x:v>
      </x:c>
      <x:c r="M703" s="63" t="str">
        <x:v>解：A、这两种情况下的“白气”都是液态的小水滴，属于液化现象，故A错误； B、冰棍周围的“白气”是空气中的水蒸气遇冷的冰块液化形成的；壶嘴喷出的“白气”是壶中水汽化成的水蒸气遇到冷的空气液化形成，故B错误； CD、冰棍周围的“白气”是水蒸气液化形成的小水珠，液化过程需要放出热量，故C错误，D正确。 故选：D。</x:v>
      </x:c>
      <x:c r="N703" s="63" t="str">
        <x:v>https://k12static.xdf.cn/k12/image/externalized/10e1bbd0-db1b-473a-b3d1-b511b70f33b1.png</x:v>
      </x:c>
      <x:c r="O703" s="63" t="str">
        <x:v>https://k12static.xdf.cn/k12/image/externalized/c6633cf5-42a9-4058-82fa-73a944d695f0.png</x:v>
      </x:c>
      <x:c r="P703" s="63" t="str">
        <x:v>1-2步</x:v>
      </x:c>
      <x:c r="Q703" s="63" t="str">
        <x:v>概念判断</x:v>
      </x:c>
      <x:c r="R703" s="63" t="str">
        <x:v>单状态</x:v>
      </x:c>
      <x:c r="S703" s="63" t="str">
        <x:v>无约束</x:v>
      </x:c>
      <x:c r="T703" s="63" t="str">
        <x:v>无</x:v>
      </x:c>
      <x:c r="U703" s="63" t="str">
        <x:v>无</x:v>
      </x:c>
      <x:c r="V703" s="63" t="str">
        <x:v>简单因果推理</x:v>
      </x:c>
    </x:row>
    <x:row r="704">
      <x:c r="A704" s="64" t="str">
        <x:v>​2490568645809586176</x:v>
      </x:c>
      <x:c r="B704" s="65" t="str">
        <x:v>基础题</x:v>
      </x:c>
      <x:c r="C704" s="65" t="str">
        <x:v>基础题</x:v>
      </x:c>
      <x:c r="D704" s="65" t="str">
        <x:v>基础题</x:v>
      </x:c>
      <x:c r="E704" s="65" t="str">
        <x:v>保留原GPT裁定</x:v>
      </x:c>
      <x:c r="F704" s="65" t="str">
        <x:v>高</x:v>
      </x:c>
      <x:c r="G704" s="65" t="str">
        <x:v>基础题</x:v>
      </x:c>
      <x:c r="H704" s="65" t="str">
        <x:v>基础题</x:v>
      </x:c>
      <x:c r="I704" s="65" t="str">
        <x:v>题干、解析与结构证据支持基础题：step=1-2步，题型=概念判断，状态=单状态，约束=无约束，推理=简单因果推理。教师、盲评和多次模型证据中未形成足以推翻原裁定的同向结构证据。</x:v>
      </x:c>
      <x:c r="J704" s="65" t="str">
        <x:v>未进入三次错题并集；逐题结构一致性复核</x:v>
      </x:c>
      <x:c r="K704" s="63" t="str">
        <x:v>下列四幅图片中，涉及到的光学知识说法正确的是（ ） ​​</x:v>
      </x:c>
      <x:c r="L704" s="63" t="str">
        <x:v>A. 甲图中小红看到地上的书是因为光的直线传播 B. 乙图中太阳灶是利用凹面镜发散光原理制成的 C. 丙图中是利用凸透镜来扩大视野 D. 丁图中演员画脸谱时，看到的像是由光的反射形成的</x:v>
      </x:c>
      <x:c r="M704" s="63" t="str">
        <x:v>解：A．小红看到地上的书，发生了光的反射，故A错误； B．乙图中太阳灶是利用凹面镜会聚光原理制成的，故B错误； C．丙图中是利用凸面镜来扩大视野，故C错误； D．演员画脸谱，属于平面镜成像，看到的虚像是由光的反射形成的，故D正确。 故选：D。</x:v>
      </x:c>
      <x:c r="N704" s="63" t="str">
        <x:v>https://k12static.xdf.cn/k12/image/externalized/c810ed02-7e8e-4542-9673-497a107deb8a.png</x:v>
      </x:c>
      <x:c r="O704" s="63" t="str">
        <x:v>https://k12static.xdf.cn/k12/image/externalized/df092356-cf3d-4d6b-8af6-2866ef706d9c.png</x:v>
      </x:c>
      <x:c r="P704" s="63" t="str">
        <x:v>1-2步</x:v>
      </x:c>
      <x:c r="Q704" s="63" t="str">
        <x:v>概念判断</x:v>
      </x:c>
      <x:c r="R704" s="63" t="str">
        <x:v>单状态</x:v>
      </x:c>
      <x:c r="S704" s="63" t="str">
        <x:v>无约束</x:v>
      </x:c>
      <x:c r="T704" s="63" t="str">
        <x:v>无</x:v>
      </x:c>
      <x:c r="U704" s="63" t="str">
        <x:v>无</x:v>
      </x:c>
      <x:c r="V704" s="63" t="str">
        <x:v>简单因果推理</x:v>
      </x:c>
    </x:row>
    <x:row r="705">
      <x:c r="A705" s="64" t="str">
        <x:v>​2491136848844910592</x:v>
      </x:c>
      <x:c r="B705" s="65" t="str">
        <x:v>中等题</x:v>
      </x:c>
      <x:c r="C705" s="65" t="str">
        <x:v>中等题</x:v>
      </x:c>
      <x:c r="D705" s="65" t="str">
        <x:v>中等题</x:v>
      </x:c>
      <x:c r="E705" s="65" t="str">
        <x:v>保留原GPT裁定</x:v>
      </x:c>
      <x:c r="F705" s="65" t="str">
        <x:v>高</x:v>
      </x:c>
      <x:c r="G705" s="65" t="str">
        <x:v>中等题</x:v>
      </x:c>
      <x:c r="H705" s="65" t="str">
        <x:v>中等题</x:v>
      </x:c>
      <x:c r="I705" s="65" t="str">
        <x:v>题干、解析与结构证据支持中等题：step=3-5步，题型=力学综合，状态=单状态，约束=单一约束，推理=多层因果推理。教师、盲评和多次模型证据中未形成足以推翻原裁定的同向结构证据。</x:v>
      </x:c>
      <x:c r="J705" s="65" t="str">
        <x:v>未进入三次错题并集；逐题结构一致性复核</x:v>
      </x:c>
      <x:c r="K705" s="63" t="str">
        <x:v>如图所示，工人利用滑轮组提升一个重为$400N$的货物，动滑轮的重力${{G}_{动}}=100N$，货物以$0.3m/s$的速度匀速上升（忽略绳重及摩擦），下列说法正确的是$(\qquad)$</x:v>
      </x:c>
      <x:c r="L705" s="63" t="str">
        <x:v>A. 拉力$F$为$200N$ B. 货物上升$1m$，绳子自由端移动$3m$ C. 拉力$F$做功的功率$120W$ D. 该滑轮组的机械效率为$80\%$</x:v>
      </x:c>
      <x:c r="M705" s="63" t="str">
        <x:v>A、由图可知，承担动滑轮绳子的股数$n=2$，因为不计绳重和摩擦，所以绳子自由端的拉力：$F=\dfrac{1}{n}\left( G+{{G}_{动}} \right)=\dfrac{1}{2}\times \left( 400N+100N \right)=250N$，故 A 错误； B、绳子自由端移动的距离：$s=nh=2\times 1m=2m$，故 B 错误； C、绳子自由端移动的速度：$v=n{{v}_{物}}=2\times 0.3m/s=0.6m/s$， 拉力做功的功率：$P=\dfrac{W}{t}=\dfrac{Fs}{t}=Fv=250N\times 0.6m/s=150W$，故 C 错误； D、因为不计绳重和摩擦，所以滑轮组的机械效率： $\eta =\dfrac{{{W}_{有}}}{{{W}_{总}}}=\dfrac{{{W}_{有}}}{{{W}_{有}}+{{W}_{额外}}}=\dfrac{Gh}{Gh+{{G}_{动}}h}=\dfrac{G}{G+{{G}_{动}}}=\dfrac{400N}{400N+100N}\times 100\%=80\%$，故 D 正确。 故选：D。</x:v>
      </x:c>
      <x:c r="N705" s="63" t="str">
        <x:v>https://k12static.xdf.cn/k12/image/externalized/356c0626-0374-4bfc-b84a-ee67ee74f44e.png</x:v>
      </x:c>
      <x:c r="O705" s="63" t="str">
        <x:v>https://k12static.xdf.cn/k12/image/externalized/194a9fd9-0261-4da3-be49-382eb2fc1641.png</x:v>
      </x:c>
      <x:c r="P705" s="63" t="str">
        <x:v>3-5步</x:v>
      </x:c>
      <x:c r="Q705" s="63" t="str">
        <x:v>力学综合</x:v>
      </x:c>
      <x:c r="R705" s="63" t="str">
        <x:v>单状态</x:v>
      </x:c>
      <x:c r="S705" s="63" t="str">
        <x:v>单一约束</x:v>
      </x:c>
      <x:c r="T705" s="63" t="str">
        <x:v>无</x:v>
      </x:c>
      <x:c r="U705" s="63" t="str">
        <x:v>无</x:v>
      </x:c>
      <x:c r="V705" s="63" t="str">
        <x:v>多层因果推理</x:v>
      </x:c>
    </x:row>
    <x:row r="706">
      <x:c r="A706" s="64" t="str">
        <x:v>​2491137493878534144</x:v>
      </x:c>
      <x:c r="B706" s="65" t="str">
        <x:v>中等题</x:v>
      </x:c>
      <x:c r="C706" s="65" t="str">
        <x:v>中等题</x:v>
      </x:c>
      <x:c r="D706" s="65" t="str">
        <x:v>中等题</x:v>
      </x:c>
      <x:c r="E706" s="65" t="str">
        <x:v>保留原GPT裁定</x:v>
      </x:c>
      <x:c r="F706" s="65" t="str">
        <x:v>高</x:v>
      </x:c>
      <x:c r="G706" s="65" t="str">
        <x:v>中等题</x:v>
      </x:c>
      <x:c r="H706" s="65" t="str">
        <x:v>中等题</x:v>
      </x:c>
      <x:c r="I706" s="65" t="str">
        <x:v>题干、解析与结构证据支持中等题：step=3-5步，题型=力学综合，状态=单状态，约束=单一约束，推理=多层因果推理。教师、盲评和多次模型证据中未形成足以推翻原裁定的同向结构证据。</x:v>
      </x:c>
      <x:c r="J706" s="65" t="str">
        <x:v>未进入三次错题并集；逐题结构一致性复核</x:v>
      </x:c>
      <x:c r="K706" s="63" t="str">
        <x:v>如图，用$12N$的拉力$F$竖直向上匀速提升木块，$2s$内木块升高的高度为$0.1m$、木块重力$G=30N$，下列判断正确的是$(\qquad)$</x:v>
      </x:c>
      <x:c r="L706" s="63" t="str">
        <x:v>A. 拉力$F$做功为$1.2J$ B. 滑轮组做的有用功为$1.2J$ C. 滑轮组机械效率为$40\%$ D. 拉力$F$做功的功率为$1.8W$</x:v>
      </x:c>
      <x:c r="M706" s="63" t="str">
        <x:v>AB、滑轮组做的有用功为：${{W}_{有用}}=Gh=30N\times 0.1m=3J$， 由图可知，$n=3$，$s=3h=3\times 0.1m=0.3m$， 拉力$F$做功为：${{W}_{总}}=Fs=12N\times 0.3m=3.6J$，故 AB 错误； C、机械效率为：$\eta =\dfrac{{{W}_{有}}}{{{W}_{总}}}\times 100\%=\dfrac{3J}{3.6J}\times 100\%\approx 83.3\%$，故 C 错误； D、拉力$F$做功的功率为：$P\dfrac{\;W}{t}=\dfrac{3.6J}{2s}=1.8W$，故 D 正确。 故选：D。</x:v>
      </x:c>
      <x:c r="N706" s="63" t="str">
        <x:v>https://k12static.xdf.cn/k12/image/externalized/9f418013-b8b6-4889-a2fe-e1931de6085d.png</x:v>
      </x:c>
      <x:c r="O706" s="63" t="str">
        <x:v>https://k12static.xdf.cn/k12/image/externalized/cf21dc17-d78f-41a2-8616-368d5a19379a.png</x:v>
      </x:c>
      <x:c r="P706" s="63" t="str">
        <x:v>3-5步</x:v>
      </x:c>
      <x:c r="Q706" s="63" t="str">
        <x:v>力学综合</x:v>
      </x:c>
      <x:c r="R706" s="63" t="str">
        <x:v>单状态</x:v>
      </x:c>
      <x:c r="S706" s="63" t="str">
        <x:v>单一约束</x:v>
      </x:c>
      <x:c r="T706" s="63" t="str">
        <x:v>无</x:v>
      </x:c>
      <x:c r="U706" s="63" t="str">
        <x:v>无</x:v>
      </x:c>
      <x:c r="V706" s="63" t="str">
        <x:v>多层因果推理</x:v>
      </x:c>
    </x:row>
    <x:row r="707">
      <x:c r="A707" s="64" t="str">
        <x:v>​2495046222746816512</x:v>
      </x:c>
      <x:c r="B707" s="65" t="str">
        <x:v>基础题</x:v>
      </x:c>
      <x:c r="C707" s="65" t="str">
        <x:v>基础题</x:v>
      </x:c>
      <x:c r="D707" s="65" t="str">
        <x:v>基础题</x:v>
      </x:c>
      <x:c r="E707" s="65" t="str">
        <x:v>逐题复核后保留GPT裁定</x:v>
      </x:c>
      <x:c r="F707" s="65" t="str">
        <x:v>高</x:v>
      </x:c>
      <x:c r="G707" s="65" t="str">
        <x:v>基础题</x:v>
      </x:c>
      <x:c r="H707" s="65" t="str">
        <x:v>基础题</x:v>
      </x:c>
      <x:c r="I707" s="65" t="str">
        <x:v>多个空/选项彼此独立，不形成连续链；最高难任务属于教材概念与常规物理关系中的1—2步直接应用、规范操作或简单因果判断。需要理解/应用而非纯识记，但没有共享中间结论、完整连续过程或隐含转换。</x:v>
      </x:c>
      <x:c r="J707" s="65" t="str">
        <x:v>三次运行错题并集逐题复核</x:v>
      </x:c>
      <x:c r="K707" s="63" t="str">
        <x:v>如图所示的是学校运动会上百米赛跑的情景，下列说法正确的是（ ）</x:v>
      </x:c>
      <x:c r="L707" s="63" t="str">
        <x:v>A. 比赛过程中观众是通过相同时间比路程的方法认为跑在最前面的同学跑得快 B. 终点裁判员是通过相同路程比时间的方法来判定最先到达终点的同学跑得快 C. 物理学中的速度是采用相同路程比时间的方法比较物体运动快慢的 D. 物理学中的速度是采用相同时间比路程的方法比较物体运动快慢的</x:v>
      </x:c>
      <x:c r="M707" s="63" t="str">
        <x:v>解：A、比赛时，观众看到跑在前面的运动员跑得快，说明了在相同的时间内，运动员的路程越大，运动员跑得越快，观众是根据相同的时间内，比较路程大小得出结论的，故A正确； B、裁判判定最先到达终点的人快，这是用“相同路程比时间”的方法比较运动快慢，时间越短，运动越快，故B正确 CD、在物理学中，一般根据单位时间内通过的路程（平均速度）来比较运动的快慢，相当于相同时间比路程，与观众的方法相同，故C错误，D正确。 故选：ABD。</x:v>
      </x:c>
      <x:c r="N707" s="63" t="str">
        <x:v>https://k12static.xdf.cn/k12/image/externalized/7eb98f2f-951b-4e22-b6d7-b1505a68b81a.png</x:v>
      </x:c>
      <x:c r="O707" s="63" t="str">
        <x:v>https://k12static.xdf.cn/k12/image/externalized/9130165f-328c-4fc7-bf17-382c00072b43.png</x:v>
      </x:c>
      <x:c r="P707" s="63" t="str">
        <x:v>1-2步</x:v>
      </x:c>
      <x:c r="Q707" s="63" t="str">
        <x:v>概念判断</x:v>
      </x:c>
      <x:c r="R707" s="63" t="str">
        <x:v>单状态</x:v>
      </x:c>
      <x:c r="S707" s="63" t="str">
        <x:v>无约束</x:v>
      </x:c>
      <x:c r="T707" s="63" t="str">
        <x:v>无</x:v>
      </x:c>
      <x:c r="U707" s="63" t="str">
        <x:v>无</x:v>
      </x:c>
      <x:c r="V707" s="63" t="str">
        <x:v>多层因果推理</x:v>
      </x:c>
    </x:row>
    <x:row r="708">
      <x:c r="A708" s="64" t="str">
        <x:v>​2496144280112119808</x:v>
      </x:c>
      <x:c r="B708" s="65" t="str">
        <x:v>中等题</x:v>
      </x:c>
      <x:c r="C708" s="65" t="str">
        <x:v>中等题</x:v>
      </x:c>
      <x:c r="D708" s="65" t="str">
        <x:v>中等题</x:v>
      </x:c>
      <x:c r="E708" s="65" t="str">
        <x:v>逐题复核后保留GPT裁定</x:v>
      </x:c>
      <x:c r="F708" s="65" t="str">
        <x:v>高</x:v>
      </x:c>
      <x:c r="G708" s="65" t="str">
        <x:v>中等题</x:v>
      </x:c>
      <x:c r="H708" s="65" t="str">
        <x:v>中等题</x:v>
      </x:c>
      <x:c r="I708" s="65" t="str">
        <x:v>需要围绕教材概念与常规物理关系完成常规的3—4个有效决策，或完成一套完整标准实验/共享过程分析。关系仍显性、方法常规，没有决定性隐含转换、复杂边界筛选或多状态强耦合。</x:v>
      </x:c>
      <x:c r="J708" s="65" t="str">
        <x:v>三次运行错题并集逐题复核</x:v>
      </x:c>
      <x:c r="K708" s="63" t="str">
        <x:v>如图所示为鱼缸中的电动过滤增氧泵的原理图。电动机带动水泵的叶轮旋转把水从进水口吸入，从喷水口中快速喷出，空气就会从进气管进入水中，随水流一起从出水口流出。下列说法正确的是（ ）</x:v>
      </x:c>
      <x:c r="L708" s="63" t="str">
        <x:v>A. 水从进水口进入水泵，主要利用了大气压 B. 水从水泵中快速甩出来，水泵对水做了功 C. 喷水口越狭窄，进气管底端的压强就越小 D. 增氧泵工作时，把电能转化为水的机械能</x:v>
      </x:c>
      <x:c r="M708" s="63" t="str">
        <x:v>解：A、当水泵工作时，泵内气压小于外界大气压，水在外界大气压的作用下被压入水泵内，主要是利用大气压来工作的，故A正确； B、当水从出水管口快速喷出时，水泵对水做功，将水从出水管口压出，故B正确； C、喷水口越狭窄，喷水口中水的流速越快，进气管底端的压强就越小，故C正确； D、增氧泵工作时，消耗电能，把水从低处运到高处，水的机械能增加，所以是把电能转化为水的机械能，故D正确。 故选：ABCD。</x:v>
      </x:c>
      <x:c r="N708" s="63" t="str">
        <x:v>https://k12static.xdf.cn/k12/image/externalized/e6a99d70-f48a-4a3b-a086-04f7ac937eb8.png</x:v>
      </x:c>
      <x:c r="O708" s="63" t="str">
        <x:v>https://k12static.xdf.cn/k12/image/externalized/83fa4c44-d73a-486c-8552-a4d5ef73bb71.png</x:v>
      </x:c>
      <x:c r="P708" s="63" t="str">
        <x:v>1-2步</x:v>
      </x:c>
      <x:c r="Q708" s="63" t="str">
        <x:v>概念判断</x:v>
      </x:c>
      <x:c r="R708" s="63" t="str">
        <x:v>单状态</x:v>
      </x:c>
      <x:c r="S708" s="63" t="str">
        <x:v>无约束</x:v>
      </x:c>
      <x:c r="T708" s="63" t="str">
        <x:v>无</x:v>
      </x:c>
      <x:c r="U708" s="63" t="str">
        <x:v>无</x:v>
      </x:c>
      <x:c r="V708" s="63" t="str">
        <x:v>简单因果推理</x:v>
      </x:c>
    </x:row>
    <x:row r="709">
      <x:c r="A709" s="64" t="str">
        <x:v>​2497763960733614080</x:v>
      </x:c>
      <x:c r="B709" s="65" t="str">
        <x:v>中等题</x:v>
      </x:c>
      <x:c r="C709" s="65" t="str">
        <x:v>中等题</x:v>
      </x:c>
      <x:c r="D709" s="65" t="str">
        <x:v>中等题</x:v>
      </x:c>
      <x:c r="E709" s="65" t="str">
        <x:v>逐题复核后保留GPT裁定</x:v>
      </x:c>
      <x:c r="F709" s="65" t="str">
        <x:v>高</x:v>
      </x:c>
      <x:c r="G709" s="65" t="str">
        <x:v>中等题</x:v>
      </x:c>
      <x:c r="H709" s="65" t="str">
        <x:v>中等题</x:v>
      </x:c>
      <x:c r="I709" s="65" t="str">
        <x:v>需要围绕教材概念与常规物理关系完成常规的3—4个有效决策，或完成一套完整标准实验/共享过程分析。关系仍显性、方法常规，没有决定性隐含转换、复杂边界筛选或多状态强耦合。</x:v>
      </x:c>
      <x:c r="J709" s="65" t="str">
        <x:v>三次运行错题并集逐题复核</x:v>
      </x:c>
      <x:c r="K709" s="63" t="str">
        <x:v>关于如图的各种情景，下列说法正确的是（ ）</x:v>
      </x:c>
      <x:c r="L709" s="63" t="str">
        <x:v>A. 甲图中：容器侧面开口处的橡皮膜向外凸起，说明液体向各个方向都有压强 B. 乙图中：微小压强计也属于连通器 C. 丙图中：人推木箱但没有推动，是因为人推木箱的力小于木箱受到的摩擦力 D. 丁图中：金鱼吐出的气泡在水中上升过程中，受到水的浮力逐渐变大</x:v>
      </x:c>
      <x:c r="M709" s="63" t="str">
        <x:v>解：A、甲图中：容器侧面开口处的橡皮膜向外凸起，说明液体对容器侧壁都有压强，故A错误； B、测量液体压强的U形管虽然下端相连通，但上端没有直接开口，所以不属于连通器，故B错误； C、人推木箱但没有推动，处于静止状态，是因为人推木箱的力等于木箱受到的摩擦力，故C错误； D、金鱼吐出的气泡正在水中上升时，因为水对它的压强越来越小，所以气泡变大，排水体积变大，受到水的浮力变大，故D正确。 故选：D。</x:v>
      </x:c>
      <x:c r="N709" s="63" t="str">
        <x:v>https://k12static.xdf.cn/k12/image/externalized/12962a50-65db-461c-aee3-e2847e04edc3.png</x:v>
      </x:c>
      <x:c r="O709" s="63" t="str">
        <x:v>https://k12static.xdf.cn/k12/image/externalized/b791f840-8e34-4d7c-a880-675d1f5152b4.png</x:v>
      </x:c>
      <x:c r="P709" s="63" t="str">
        <x:v>1-2步</x:v>
      </x:c>
      <x:c r="Q709" s="63" t="str">
        <x:v>概念判断</x:v>
      </x:c>
      <x:c r="R709" s="63" t="str">
        <x:v>单状态</x:v>
      </x:c>
      <x:c r="S709" s="63" t="str">
        <x:v>无约束</x:v>
      </x:c>
      <x:c r="T709" s="63" t="str">
        <x:v>无</x:v>
      </x:c>
      <x:c r="U709" s="63" t="str">
        <x:v>无</x:v>
      </x:c>
      <x:c r="V709" s="63" t="str">
        <x:v>简单因果推理</x:v>
      </x:c>
    </x:row>
    <x:row r="710">
      <x:c r="A710" s="64" t="str">
        <x:v>​2503368190393679872</x:v>
      </x:c>
      <x:c r="B710" s="65" t="str">
        <x:v>基础题</x:v>
      </x:c>
      <x:c r="C710" s="65" t="str">
        <x:v>基础题</x:v>
      </x:c>
      <x:c r="D710" s="65" t="str">
        <x:v>基础题</x:v>
      </x:c>
      <x:c r="E710" s="65" t="str">
        <x:v>保留原GPT裁定</x:v>
      </x:c>
      <x:c r="F710" s="65" t="str">
        <x:v>高</x:v>
      </x:c>
      <x:c r="G710" s="65" t="str">
        <x:v>基础题</x:v>
      </x:c>
      <x:c r="H710" s="65" t="str">
        <x:v>基础题</x:v>
      </x:c>
      <x:c r="I710" s="65" t="str">
        <x:v>题干、解析与结构证据支持基础题：step=1-2步，题型=概念判断，状态=单状态，约束=无约束，推理=简单因果推理。教师、盲评和多次模型证据中未形成足以推翻原裁定的同向结构证据。</x:v>
      </x:c>
      <x:c r="J710" s="65" t="str">
        <x:v>未进入三次错题并集；逐题结构一致性复核</x:v>
      </x:c>
      <x:c r="K710" s="63" t="str">
        <x:v>为了判断一根钢棒是否有磁性，小明进行了以下几组小实验，其中不能达到目的的是（ ）</x:v>
      </x:c>
      <x:c r="L710" s="63" t="str">
        <x:v>A. 让钢棒靠近铁屑，铁屑被吸引，则钢棒具有磁性 B. 用细线将钢棒吊起来，使它能在水平面内自由转动，静止时总是指南北方向，则钢棒具有磁性 C. 小磁针靠近钢棒，若钢棒与小磁针相互排斥，则钢棒具有磁性 D. 让小磁针靠近钢棒，若钢棒与小磁针相互吸引，则钢棒具有磁性</x:v>
      </x:c>
      <x:c r="M710" s="63" t="str">
        <x:v>解：A、钢棒能够吸引铁屑，说明了钢棒具有磁体才具有的性质：能够吸引铁钴镍等物质，即钢棒有磁性。故A能达到目的。 B、具有磁体由于受到地磁场的作用，当其自由静止时，要指向南北方向，即磁体的指向性。故B能达到目的。 C、小磁针具有磁性，而相斥说明了钢棒也具有磁性，因为只有同名磁极才会相斥。故C能达到目的。 D、小磁针靠近钢棒，即使钢棒没有磁性，小磁针也会吸引钢棒。所以不能确定钢棒是否具有磁性。故D不能达到目的。 故选：D。</x:v>
      </x:c>
      <x:c r="N710" s="63" t="str">
        <x:v>https://k12static.xdf.cn/k12/image/externalized/a8d99280-0e6c-47d7-9bcf-b3149049d5f6.png</x:v>
      </x:c>
      <x:c r="O710" s="63" t="str">
        <x:v>https://k12static.xdf.cn/k12/image/externalized/6ec93169-0bcf-4428-937d-91199045fea3.png</x:v>
      </x:c>
      <x:c r="P710" s="63" t="str">
        <x:v>1-2步</x:v>
      </x:c>
      <x:c r="Q710" s="63" t="str">
        <x:v>概念判断</x:v>
      </x:c>
      <x:c r="R710" s="63" t="str">
        <x:v>单状态</x:v>
      </x:c>
      <x:c r="S710" s="63" t="str">
        <x:v>无约束</x:v>
      </x:c>
      <x:c r="T710" s="63" t="str">
        <x:v>无</x:v>
      </x:c>
      <x:c r="U710" s="63" t="str">
        <x:v>无</x:v>
      </x:c>
      <x:c r="V710" s="63" t="str">
        <x:v>简单因果推理</x:v>
      </x:c>
    </x:row>
    <x:row r="711">
      <x:c r="A711" s="64" t="str">
        <x:v>​2512351963531821056</x:v>
      </x:c>
      <x:c r="B711" s="65" t="str">
        <x:v>基础题</x:v>
      </x:c>
      <x:c r="C711" s="65" t="str">
        <x:v>基础题</x:v>
      </x:c>
      <x:c r="D711" s="65" t="str">
        <x:v>基础题</x:v>
      </x:c>
      <x:c r="E711" s="65" t="str">
        <x:v>逐题复核后保留GPT裁定</x:v>
      </x:c>
      <x:c r="F711" s="65" t="str">
        <x:v>高</x:v>
      </x:c>
      <x:c r="G711" s="65" t="str">
        <x:v>基础题</x:v>
      </x:c>
      <x:c r="H711" s="65" t="str">
        <x:v>基础题</x:v>
      </x:c>
      <x:c r="I711" s="65" t="str">
        <x:v>最高难任务为1—2步显性应用、规范操作或简单因果，没有连续模型转换。 题目证据：最长连续链实际有效物理决策为2步：第一步识别潜望镜由两块平面镜组成，第二步分析两次成像后左右方向的最终结果。五维锚定：知识量为单一平面镜成像知识点，过程/对象为单装置静态结构，数学工具无运算，情境为教材常见自制装置原型，思维层次为简单应用。核心任务是利用平面镜成像特点分析两次成像的最终像，没有复杂转换或耦合结构。</x:v>
      </x:c>
      <x:c r="J711" s="65" t="str">
        <x:v>三次运行错题并集逐题复核</x:v>
      </x:c>
      <x:c r="K711" s="63" t="str">
        <x:v>如图所示，是小明同学自制的潜望镜。用该潜望镜观察如图甲所示的字母F时，观察到的像是（ ）</x:v>
      </x:c>
      <x:c r="L711" s="63" t="str"/>
      <x:c r="M711" s="63" t="str">
        <x:v>解： 由题知，潜望镜中使用的是两块平面镜；第一个镜子成正立等大、左右颠倒的像，第二个镜子成正立等大、左右再次颠倒的像，所以最后的像（即观察到的像）就是跟物体完全一样的像。 故选：C。</x:v>
      </x:c>
      <x:c r="N711" s="63" t="str">
        <x:v>https://k12static.xdf.cn/k12/image/externalized/f27fdeae-3c09-487d-896e-14c25ed50ffe.png</x:v>
      </x:c>
      <x:c r="O711" s="63" t="str">
        <x:v>https://k12static.xdf.cn/k12/image/externalized/07942999-5fa7-4f86-b4e7-c03e6eaeb7d1.png</x:v>
      </x:c>
      <x:c r="P711" s="63" t="str">
        <x:v>1-2步</x:v>
      </x:c>
      <x:c r="Q711" s="63" t="str">
        <x:v>光学声学综合</x:v>
      </x:c>
      <x:c r="R711" s="63" t="str">
        <x:v>单状态</x:v>
      </x:c>
      <x:c r="S711" s="63" t="str">
        <x:v>无约束</x:v>
      </x:c>
      <x:c r="T711" s="63" t="str">
        <x:v>无</x:v>
      </x:c>
      <x:c r="U711" s="63" t="str">
        <x:v>无</x:v>
      </x:c>
      <x:c r="V711" s="63" t="str">
        <x:v>简单因果推理</x:v>
      </x:c>
    </x:row>
    <x:row r="712">
      <x:c r="A712" s="64" t="str">
        <x:v>​2518191378149720064</x:v>
      </x:c>
      <x:c r="B712" s="65" t="str">
        <x:v>拔高题</x:v>
      </x:c>
      <x:c r="C712" s="65" t="str">
        <x:v>拔高题</x:v>
      </x:c>
      <x:c r="D712" s="65" t="str">
        <x:v>拔高题</x:v>
      </x:c>
      <x:c r="E712" s="65" t="str">
        <x:v>逐题复核后保留GPT裁定</x:v>
      </x:c>
      <x:c r="F712" s="65" t="str">
        <x:v>高</x:v>
      </x:c>
      <x:c r="G712" s="65" t="str">
        <x:v>拔高题</x:v>
      </x:c>
      <x:c r="H712" s="65" t="str">
        <x:v>拔高题</x:v>
      </x:c>
      <x:c r="I712" s="65" t="str">
        <x:v>最高难任务在力学模型、运动/受力与能量关系中包含图线反推、状态转换、误差评价、几何/等效转换、方程联立或参数反求等决定性卡点，整体约5—6个有效决策；尚未形成压轴所需的完整复杂约束网络。</x:v>
      </x:c>
      <x:c r="J712" s="65" t="str">
        <x:v>三次运行错题并集逐题复核</x:v>
      </x:c>
      <x:c r="K712" s="63" t="str">
        <x:v>一个重力为G的小球从某一高度竖直下落，撞到竖直放置的弹簧上，然后又被弹起，如图所示，空气阻力大小不变且小于重力，则下列说法正确的是（注：空气阻力与运动方向相反）（ ） ​​​</x:v>
      </x:c>
      <x:c r="L712" s="63" t="str">
        <x:v>A. 小球接触弹簧向下运动的过程合力先向下后向上 B. 小球运动到最低点时处于平衡状态 C. 上升过程和下降过程中合力为零的位置是重合的 D. 不和弹簧接触时，下降阶段小球受到的合力小于上升阶段小球受到的合力</x:v>
      </x:c>
      <x:c r="M712" s="63" t="str">
        <x:v>解：小球下落到最低点分四个关键： 第一关键：小球刚刚接触A之前，小球受到竖直向下的重力和竖直向上的空气阻力，重力大于空气阻力，合力的方向竖直向下，合力大小等于重力和空气阻力的差。 第二关键：小球从A运动到B段，小球受到重力空气阻力和弹力的作用，小球下降过程中，竖直向下的重力不变，竖直向上的空气阻力不变，弹簧的弹性形变在不断增大，竖直向上弹力不断在增大，在到达B点之前，竖直向下的重力大于竖直向上的空气阻力和弹力的和，所以合力向下。 第三关键：到B点时竖直向下的重力和空气阻力、弹力是平衡力，合力为零，由于惯性，小球继续向下运动。 第四关键：小球从B运动到C段，小球下降过程中，竖直向下的重力不变，竖直向上的空气阻力不变，弹簧的弹性形变在不断增大，竖直向上弹力不断在增大，竖直向下的重力小于竖直向上的空气阻力和弹力的和，所以合力向上。到达最低点时，小球受到的力不是平衡力，不能处于静止状态。 A、由上面的第二、三、四关键可分析，小球接触弹簧时合力先向下，瞬间相等，最后向上，故A正确。 B、小球到达最低点时，小球受到的竖直向下的重力小于竖直向上的弹力，小球受到的力不是平衡力，所以小球不能处于静止状态，故B错误。 C、小球下降过程中，小球受到竖直向下的重力，竖直向上的空气阻力，竖直向上的弹力，当小球受到平衡力时，弹力的大小应该等于重力和空气阻力的差；小球上升过程中，小球受到竖直向下的重力，竖直向下的空气阻力，竖直向上的弹力，当小球受到平衡力时，弹力的大小应该等于重力和空气阻力的和，况且下降时弹性形变从A开始，上升时弹性形变从C开始，很难巧合到合力为零时位置相同，故C错误。 D、不和弹簧接触时，小球下降阶段，小球受到竖直向下的重力和竖直向上的空气阻力，合力大小等于重力和空气阻力的差。小球上升过程中，小球受到竖直向下的重力，竖直向下的空气阻力，合力等于重力和空气阻力的和。所以下降时的合力小于小球上升时合力，故D 正确。 故选：AD。</x:v>
      </x:c>
      <x:c r="N712" s="63" t="str">
        <x:v>https://k12static.xdf.cn/k12/image/externalized/143bd047-a040-4729-9fd3-680c18ff7f27.png</x:v>
      </x:c>
      <x:c r="O712" s="63" t="str">
        <x:v>https://k12static.xdf.cn/k12/image/externalized/f88c8cfd-bb91-46b6-99ef-6904ef799f38.png</x:v>
      </x:c>
      <x:c r="P712" s="63" t="str">
        <x:v>3-5步</x:v>
      </x:c>
      <x:c r="Q712" s="63" t="str">
        <x:v>概念判断</x:v>
      </x:c>
      <x:c r="R712" s="63" t="str">
        <x:v>多状态</x:v>
      </x:c>
      <x:c r="S712" s="63" t="str">
        <x:v>单一约束</x:v>
      </x:c>
      <x:c r="T712" s="63" t="str">
        <x:v>无</x:v>
      </x:c>
      <x:c r="U712" s="63" t="str">
        <x:v>无</x:v>
      </x:c>
      <x:c r="V712" s="63" t="str">
        <x:v>多层因果推理</x:v>
      </x:c>
    </x:row>
    <x:row r="713">
      <x:c r="A713" s="64" t="str">
        <x:v>​2520127541355237376</x:v>
      </x:c>
      <x:c r="B713" s="65" t="str">
        <x:v>送分题</x:v>
      </x:c>
      <x:c r="C713" s="65" t="str">
        <x:v>送分题</x:v>
      </x:c>
      <x:c r="D713" s="65" t="str">
        <x:v>送分题</x:v>
      </x:c>
      <x:c r="E713" s="65" t="str">
        <x:v>保留原GPT裁定</x:v>
      </x:c>
      <x:c r="F713" s="65" t="str">
        <x:v>高</x:v>
      </x:c>
      <x:c r="G713" s="65" t="str">
        <x:v>送分题</x:v>
      </x:c>
      <x:c r="H713" s="65" t="str">
        <x:v>送分题</x:v>
      </x:c>
      <x:c r="I713" s="65" t="str">
        <x:v>题干、解析与结构证据支持送分题：step=1-2步，题型=概念判断，状态=单状态，约束=无约束，推理=直接套用。教师、盲评和多次模型证据中未形成足以推翻原裁定的同向结构证据。</x:v>
      </x:c>
      <x:c r="J713" s="65" t="str">
        <x:v>未进入三次错题并集；逐题结构一致性复核</x:v>
      </x:c>
      <x:c r="K713" s="63" t="str">
        <x:v>下列微观粒子中尺度最小的是$(\qquad)$</x:v>
      </x:c>
      <x:c r="L713" s="63" t="str">
        <x:v>A. 原子 B. 质子 C. 分子 D. 原子核</x:v>
      </x:c>
      <x:c r="M713" s="63" t="str">
        <x:v>物质是由分子组成的，分子是由原子组成的，原子是由原子核和电子组成的，原子核是由质子和中子构成，质子和中子又由夸克组成。所以在原子、质子、分子和原子核中，尺度最小的是质子。 故选：B。</x:v>
      </x:c>
      <x:c r="N713" s="63" t="str">
        <x:v>https://k12static.xdf.cn/k12/image/externalized/1095ea1e-80c3-4280-a254-3937aa72c2d5.png</x:v>
      </x:c>
      <x:c r="O713" s="63" t="str">
        <x:v>https://k12static.xdf.cn/k12/image/externalized/8dbe8f2e-11a5-48af-8a78-25f051bb970a.png</x:v>
      </x:c>
      <x:c r="P713" s="63" t="str">
        <x:v>1-2步</x:v>
      </x:c>
      <x:c r="Q713" s="63" t="str">
        <x:v>概念判断</x:v>
      </x:c>
      <x:c r="R713" s="63" t="str">
        <x:v>单状态</x:v>
      </x:c>
      <x:c r="S713" s="63" t="str">
        <x:v>无约束</x:v>
      </x:c>
      <x:c r="T713" s="63" t="str">
        <x:v>无</x:v>
      </x:c>
      <x:c r="U713" s="63" t="str">
        <x:v>无</x:v>
      </x:c>
      <x:c r="V713" s="63" t="str">
        <x:v>直接套用</x:v>
      </x:c>
    </x:row>
    <x:row r="714">
      <x:c r="A714" s="64" t="str">
        <x:v>​2527196695997480960</x:v>
      </x:c>
      <x:c r="B714" s="65" t="str">
        <x:v>中等题</x:v>
      </x:c>
      <x:c r="C714" s="65" t="str">
        <x:v>中等题</x:v>
      </x:c>
      <x:c r="D714" s="65" t="str">
        <x:v>中等题</x:v>
      </x:c>
      <x:c r="E714" s="65" t="str">
        <x:v>逐题复核后保留GPT裁定</x:v>
      </x:c>
      <x:c r="F714" s="65" t="str">
        <x:v>高</x:v>
      </x:c>
      <x:c r="G714" s="65" t="str">
        <x:v>中等题</x:v>
      </x:c>
      <x:c r="H714" s="65" t="str">
        <x:v>中等题</x:v>
      </x:c>
      <x:c r="I714" s="65" t="str">
        <x:v>存在约3—4步常规连续分析、共享过程或完整标准实验任务，关系仍显性。 题目证据：所有小问均为静电基础概念应用，最长连续有效物理决策仅2步，五维锚定知识量为2-3个关联静电知识点，过程为单对象单状态，数学工具无计算，情境为常见教材实验，思维层次为简单应用。各小问相互独立，均考查静电现象中电荷相互作用规律的直接应用，第(4)(5)问需要结合表格信息进行简单比较推理，最高难小问无复杂转换。</x:v>
      </x:c>
      <x:c r="J714" s="65" t="str">
        <x:v>三次运行错题并集逐题复核</x:v>
      </x:c>
      <x:c r="K714" s="63" t="str">
        <x:v>下面是有关静电现象的几个小实验： （1）当A、B两个通草球出现如图甲所示的情形时，若A带正电，则B带 ________ 电。 （2）如图乙所示，用餐巾纸摩擦吸管可以使其带电，这是 ________ 现象；现用另带电的物体靠近吸管带电的一端，发现它们互相吸引，说明它们带的是 ________ （选填“同种”或“异种”）电荷。 （3）如图丙所示，用一个摩擦过的气球靠近空易拉罐，发现空易拉罐向气球方向滚动，这是利用了带电体具有 ________ 的性质。 （4）下表是研究摩擦起电得出的物体带电次序，表中任何两种物体相互摩擦时，次序在前的带正电，次序在后的带负电。 研究资料1 石棉 玻璃 羊毛 木棉 石蜡 研究资料2 羊毛 尼龙 木棉 火碱 树脂 由表中可知，玻璃与石棉摩擦后，玻璃将带 ________ （选填“正”或“负”）电；羊毛对电子的束缚能力要比木棉 ________ （选填“强”或“弱”）。 （5）根据表格 ________ （选填“能”或“不能”）判断玻璃和尼龙摩擦后二者的带电情况。</x:v>
      </x:c>
      <x:c r="L714" s="63" t="str"/>
      <x:c r="M714" s="63" t="str">
        <x:v>解：（1）当A、B两个通草球出现如图甲所示相互排斥时，因为同种电荷相互排斥，若A带正电，则B带正电； （2）用餐巾纸摩擦吸管可以使其带电，这是摩擦起电现象，现用另一带电的物体靠近吸管带电的一端，发现它们互相吸引，说明：它们带的是异种电荷； （3）用一根摩擦过的气球靠近空易拉罐，如图所示，发现空易拉罐向气球方向滚动，这是利用了带电体具有吸引轻小物体的性质； （4）表格中次序在前的带正电，次序在后的带负电，说明后者的原子核束缚电子的本领强，获得电子。玻璃与石棉摩擦后，玻璃将带负电。羊毛排在木棉之前，木棉带负电，羊毛到正电，说明羊毛对电子的束缚能力要比木棉弱； （5）由表中能判断玻璃和尼龙摩擦后二者的带电情况；可先比较玻璃与羊毛对核外电子的束缚能力，羊毛带负电，玻璃带正电，再比较尼龙与羊毛对核外电子的束缚能力，羊毛带正电，尼龙带负电，可判断它们带电情况。 故答案为：（1）正；（2）摩擦起电；异种；（3）吸引轻小物体；（4）负；弱；（5）能。</x:v>
      </x:c>
      <x:c r="N714" s="63" t="str">
        <x:v>https://k12static.xdf.cn/k12/image/externalized/d2c26478-cb05-4e36-9441-26aa5231a95e.png</x:v>
      </x:c>
      <x:c r="O714" s="63" t="str">
        <x:v>https://k12static.xdf.cn/k12/image/externalized/c74cee70-7959-4bf1-9610-c4be651bbdc2.png</x:v>
      </x:c>
      <x:c r="P714" s="63" t="str">
        <x:v>1-2步</x:v>
      </x:c>
      <x:c r="Q714" s="63" t="str">
        <x:v>概念判断</x:v>
      </x:c>
      <x:c r="R714" s="63" t="str">
        <x:v>单状态</x:v>
      </x:c>
      <x:c r="S714" s="63" t="str">
        <x:v>无约束</x:v>
      </x:c>
      <x:c r="T714" s="63" t="str">
        <x:v>无</x:v>
      </x:c>
      <x:c r="U714" s="63" t="str">
        <x:v>多组比较归纳</x:v>
      </x:c>
      <x:c r="V714" s="63" t="str">
        <x:v>简单因果推理</x:v>
      </x:c>
    </x:row>
    <x:row r="715">
      <x:c r="A715" s="64" t="str">
        <x:v>​2528036310928605184</x:v>
      </x:c>
      <x:c r="B715" s="65" t="str">
        <x:v>基础题</x:v>
      </x:c>
      <x:c r="C715" s="65" t="str">
        <x:v>基础题</x:v>
      </x:c>
      <x:c r="D715" s="65" t="str">
        <x:v>基础题</x:v>
      </x:c>
      <x:c r="E715" s="65" t="str">
        <x:v>保留原GPT裁定</x:v>
      </x:c>
      <x:c r="F715" s="65" t="str">
        <x:v>高</x:v>
      </x:c>
      <x:c r="G715" s="65" t="str">
        <x:v>基础题</x:v>
      </x:c>
      <x:c r="H715" s="65" t="str">
        <x:v>基础题</x:v>
      </x:c>
      <x:c r="I715" s="65" t="str">
        <x:v>题干、解析与结构证据支持基础题：step=1-2步，题型=概念判断，状态=单状态，约束=无约束，推理=简单因果推理。教师、盲评和多次模型证据中未形成足以推翻原裁定的同向结构证据。</x:v>
      </x:c>
      <x:c r="J715" s="65" t="str">
        <x:v>未进入三次错题并集；逐题结构一致性复核</x:v>
      </x:c>
      <x:c r="K715" s="63" t="str">
        <x:v>在某小区内，多处垃圾桶站点的四色垃圾桶已安装了“滑轮拉手”。如图所示，使用时只需轻轻拉一下拉手，垃圾桶盖就可以打开，居民们可以放心地无接触投放垃圾。下列说法正确的是（ ）​</x:v>
      </x:c>
      <x:c r="L715" s="63" t="str">
        <x:v>A. 装置中所安装的滑轮是定滑轮 B. 装置中的滑轮工作时可以省功 C. 装置中的滑轮改变了力的方向 D. 绳子拉起桶盖时，桶盖可视为省力杠杆</x:v>
      </x:c>
      <x:c r="M715" s="63" t="str">
        <x:v>解：A、装置中的两个滑轮在使用时轴的位置固定不动，都是定滑轮，故A正确； B、使用任何简单机械都不能省功，故B错误； C、装置中的定滑轮可以改变力的方向，故C正确； D、D、绳子拉起桶盖时，动力臂大于阻力臂，桶盖可视为省力杠杆，故D正确。 故选：ACD。</x:v>
      </x:c>
      <x:c r="N715" s="63" t="str">
        <x:v>https://k12static.xdf.cn/k12/image/externalized/4218cc44-2384-47ba-bb1b-71f519538158.png</x:v>
      </x:c>
      <x:c r="O715" s="63" t="str">
        <x:v>https://k12static.xdf.cn/k12/image/externalized/db55e29e-c5b5-4af4-bbf2-46d06359523b.png</x:v>
      </x:c>
      <x:c r="P715" s="63" t="str">
        <x:v>1-2步</x:v>
      </x:c>
      <x:c r="Q715" s="63" t="str">
        <x:v>概念判断</x:v>
      </x:c>
      <x:c r="R715" s="63" t="str">
        <x:v>单状态</x:v>
      </x:c>
      <x:c r="S715" s="63" t="str">
        <x:v>无约束</x:v>
      </x:c>
      <x:c r="T715" s="63" t="str">
        <x:v>无</x:v>
      </x:c>
      <x:c r="U715" s="63" t="str">
        <x:v>无</x:v>
      </x:c>
      <x:c r="V715" s="63" t="str">
        <x:v>简单因果推理</x:v>
      </x:c>
    </x:row>
    <x:row r="716">
      <x:c r="A716" s="64" t="str">
        <x:v>​2529663057478852608</x:v>
      </x:c>
      <x:c r="B716" s="65" t="str">
        <x:v>中等题</x:v>
      </x:c>
      <x:c r="C716" s="65" t="str">
        <x:v>中等题</x:v>
      </x:c>
      <x:c r="D716" s="65" t="str">
        <x:v>中等题</x:v>
      </x:c>
      <x:c r="E716" s="65" t="str">
        <x:v>保留原GPT裁定</x:v>
      </x:c>
      <x:c r="F716" s="65" t="str">
        <x:v>高</x:v>
      </x:c>
      <x:c r="G716" s="65" t="str">
        <x:v>中等题</x:v>
      </x:c>
      <x:c r="H716" s="65" t="str">
        <x:v>中等题</x:v>
      </x:c>
      <x:c r="I716" s="65" t="str">
        <x:v>题干、解析与结构证据支持中等题：step=3-5步，题型=力学综合，状态=单状态，约束=单一约束，推理=多层因果推理。教师、盲评和多次模型证据中未形成足以推翻原裁定的同向结构证据。</x:v>
      </x:c>
      <x:c r="J716" s="65" t="str">
        <x:v>未进入三次错题并集；逐题结构一致性复核</x:v>
      </x:c>
      <x:c r="K716" s="63" t="str">
        <x:v>如图是一个轻质杠杆的示意图，O是转动轴，不计绳重及摩擦，挂在OA中点B处的重物重力为150N，在竖直向上的拉力F作用下物体以0.01m/s速度上升。下列说法不正确的是（ ）</x:v>
      </x:c>
      <x:c r="L716" s="63" t="str">
        <x:v>A. 拉力F=75N B. 拉力F做功的功率是0.75W C. 该杠杆的机械效率是100% D. 杠杆转动到虚线位置的过程中，拉力F保持不变</x:v>
      </x:c>
      <x:c r="M716" s="63" t="str">
        <x:v>解： A、D、此机械绕O点转动，机械可视为杠杆， 阻力F2=G=mg=150N， 图题：加在A点拉力的方向始终竖直向上，阻力方向与物体重力方向相同始终竖直向下， 所以其力臂之比：$\frac{{l}_{1}}{{l}_{2}}$=$\frac{OA}{OB}$=$\frac{2}{1}$， 根据杠杆平衡条件：F1l1=F2l2，可得： F=F1=$\frac{{l}_{2}}{{l}_{}}$×F2=$\frac{1}{2}$×150N=75N，故A、D正确。 B、v1=2v2=2×0.01m/s=0.02m/s,根据功率公式P=$\frac{W}{t}$=$\frac{Fs}{t}$=$\frac{F{v}_{1}t}{t}$=Fv1=75N×0.02m/s=1.5W，故B错误； C、力臂之比：$\frac{{l}_{1}}{{l}_{2}}$=$\frac{OA}{OB}$=$\frac{2}{1}$，F：G=1：2，杠杆是轻质杠杆，不计自重。所以机械效率为：η=$\frac{G{l}_{1}}{F{l}_{2}}$×100%=100%，故C正确； 故选：B。</x:v>
      </x:c>
      <x:c r="N716" s="63" t="str">
        <x:v>https://k12static.xdf.cn/k12/image/externalized/027993b0-1262-410d-bd0b-269152d905db.png</x:v>
      </x:c>
      <x:c r="O716" s="63" t="str">
        <x:v>https://k12static.xdf.cn/k12/image/externalized/d58f8a06-790e-47a9-9cdc-58800f3bdfe5.png</x:v>
      </x:c>
      <x:c r="P716" s="63" t="str">
        <x:v>3-5步</x:v>
      </x:c>
      <x:c r="Q716" s="63" t="str">
        <x:v>力学综合</x:v>
      </x:c>
      <x:c r="R716" s="63" t="str">
        <x:v>单状态</x:v>
      </x:c>
      <x:c r="S716" s="63" t="str">
        <x:v>单一约束</x:v>
      </x:c>
      <x:c r="T716" s="63" t="str">
        <x:v>无</x:v>
      </x:c>
      <x:c r="U716" s="63" t="str">
        <x:v>无</x:v>
      </x:c>
      <x:c r="V716" s="63" t="str">
        <x:v>多层因果推理</x:v>
      </x:c>
    </x:row>
    <x:row r="717">
      <x:c r="A717" s="64" t="str">
        <x:v>​2531525130076389376</x:v>
      </x:c>
      <x:c r="B717" s="65" t="str">
        <x:v>拔高题</x:v>
      </x:c>
      <x:c r="C717" s="65" t="str">
        <x:v>拔高题</x:v>
      </x:c>
      <x:c r="D717" s="65" t="str">
        <x:v>拔高题</x:v>
      </x:c>
      <x:c r="E717" s="65" t="str">
        <x:v>保留原GPT裁定</x:v>
      </x:c>
      <x:c r="F717" s="65" t="str">
        <x:v>高</x:v>
      </x:c>
      <x:c r="G717" s="65" t="str">
        <x:v>拔高题</x:v>
      </x:c>
      <x:c r="H717" s="65" t="str">
        <x:v>拔高题</x:v>
      </x:c>
      <x:c r="I717" s="65" t="str">
        <x:v>题干、解析与结构证据支持拔高题：step=3-5步，题型=力学综合，状态=双状态，约束=单一约束，推理=多层因果推理。教师、盲评和多次模型证据中未形成足以推翻原裁定的同向结构证据。</x:v>
      </x:c>
      <x:c r="J717" s="65" t="str">
        <x:v>未进入三次错题并集；逐题结构一致性复核</x:v>
      </x:c>
      <x:c r="K717" s="63" t="str">
        <x:v>甲同学想测量一卷筒纸的总长度。考虑到纸筒上绕的纸很长，不可能将纸全部放开拉直了再用尺测量。甲同学的方法是：首先测出卷筒纸内半径为r,外半径为R，然后拉开部分卷筒纸测出它的长度为L0，此时卷筒纸的外半径由一开始的R减小到R0，则卷筒纸的总长度L为多少？（用上面的字母表示）</x:v>
      </x:c>
      <x:c r="L717" s="63" t="str"/>
      <x:c r="M717" s="63" t="str">
        <x:v>解： 卷筒纸的横截面积的大小为：π（R2-r2）； 被拉开的部分卷筒纸横截面积的大小为：π（R2-R02）； 因为纸的厚度为d=$\frac{π({R}^{2}-{R}_{0}^{2})}{{L}_{0}}$； 所以纸的总长度（L）的计算表达式： L=$\frac{π({R}^{2}-{r}^{2})}{\frac{π({R}^{2}-{R}_{0}^{2})}{{L}_{0}}}$=$\frac{({R}^{2}-{r}^{2}){L}_{0}}{({R}^{2}-{R}_{0}^{2})}$。 答：卷筒纸的总长度为$\frac{({R}^{2}-{r}^{2}){L}_{0}}{({R}^{2}-{R}_{0}^{2})}$。</x:v>
      </x:c>
      <x:c r="N717" s="63" t="str">
        <x:v>https://k12static.xdf.cn/k12/image/externalized/108440b9-223a-421e-9c32-869a8996a9a7.png</x:v>
      </x:c>
      <x:c r="O717" s="63" t="str">
        <x:v>https://k12static.xdf.cn/k12/image/externalized/142b0e00-00f5-451e-b6a8-1a6e7fbd9d06.png</x:v>
      </x:c>
      <x:c r="P717" s="63" t="str">
        <x:v>3-5步</x:v>
      </x:c>
      <x:c r="Q717" s="63" t="str">
        <x:v>力学综合</x:v>
      </x:c>
      <x:c r="R717" s="63" t="str">
        <x:v>双状态</x:v>
      </x:c>
      <x:c r="S717" s="63" t="str">
        <x:v>单一约束</x:v>
      </x:c>
      <x:c r="T717" s="63" t="str">
        <x:v>无</x:v>
      </x:c>
      <x:c r="U717" s="63" t="str">
        <x:v>无</x:v>
      </x:c>
      <x:c r="V717" s="63" t="str">
        <x:v>多层因果推理</x:v>
      </x:c>
    </x:row>
    <x:row r="718">
      <x:c r="A718" s="64" t="str">
        <x:v>​2531723969645264896</x:v>
      </x:c>
      <x:c r="B718" s="65" t="str">
        <x:v>中等题</x:v>
      </x:c>
      <x:c r="C718" s="65" t="str">
        <x:v>中等题</x:v>
      </x:c>
      <x:c r="D718" s="65" t="str">
        <x:v>中等题</x:v>
      </x:c>
      <x:c r="E718" s="65" t="str">
        <x:v>逐题复核后保留GPT裁定</x:v>
      </x:c>
      <x:c r="F718" s="65" t="str">
        <x:v>高</x:v>
      </x:c>
      <x:c r="G718" s="65" t="str">
        <x:v>中等题</x:v>
      </x:c>
      <x:c r="H718" s="65" t="str">
        <x:v>中等题</x:v>
      </x:c>
      <x:c r="I718" s="65" t="str">
        <x:v>存在约3—4步常规连续分析、共享过程或完整标准实验任务，关系仍显性。 题目证据：最高难选项实际有效推理约3步，五维锚定落在中等档。本题是单状态滑轮组常规分析，四个选项分别涉及绳端距离计算、拉力功率计算、机械效率计算和功的原理判断，每个选项都需要独立的公式应用和计算，整体围绕滑轮组核心公式和功的原理完成常规分析，无决定性转换或复杂耦合。</x:v>
      </x:c>
      <x:c r="J718" s="65" t="str">
        <x:v>三次运行错题并集逐题复核</x:v>
      </x:c>
      <x:c r="K718" s="63" t="str">
        <x:v>用如图所示的滑轮组将重$300N$的物体匀速提升$1m$，所用时间为$2s$，作用在绳子末端的拉力$F$为$200N$（不计绳重和绳与滑轮间的摩擦），下列说法中正确的是$(\qquad)$</x:v>
      </x:c>
      <x:c r="L718" s="63" t="str">
        <x:v>A. 绳子自由端移动的距离为$3m$ B. 拉力$F$做功的功率为$150W$ C. 滑轮组此时的机械效率是$75\%$ D. 利用该滑轮组既可以省力还可以省功</x:v>
      </x:c>
      <x:c r="M718" s="63" t="str">
        <x:v>A、由图可知$n=2$，绳子自由端移动的距离$s=nh=2\times 1m=2m$，故 A 错误； B、拉力$F$做的总功${{W}_{总}}=Fs=200N\times 2m=400J$， 拉力$F$做功的功率$P=\dfrac{{{W}_{总}}}{t}=\dfrac{400J}{2s}=200W$，故 B 错误； C、有用功${{W}_{有用}}=Gh=300N\times 1m=300J$， 滑轮组此时的机械效率$\eta =\dfrac{{{W}_{有用}}}{{{W}_{总}}}=\dfrac{300J}{400J}\times 100\%=75\%$，故 C 正确； D、已知$F=200N&lt;G$，故利用该滑轮组可以省力，根据功的原理可知使用任何机械都不省功，故 D 错误。 故选：C。</x:v>
      </x:c>
      <x:c r="N718" s="63" t="str">
        <x:v>https://k12static.xdf.cn/k12/image/externalized/91f56727-f15a-456a-b623-f14f0e333f17.png</x:v>
      </x:c>
      <x:c r="O718" s="63" t="str">
        <x:v>https://k12static.xdf.cn/k12/image/externalized/e0fcc9eb-14d2-49f8-b413-1204926694d1.png</x:v>
      </x:c>
      <x:c r="P718" s="63" t="str">
        <x:v>3-5步</x:v>
      </x:c>
      <x:c r="Q718" s="63" t="str">
        <x:v>力学综合</x:v>
      </x:c>
      <x:c r="R718" s="63" t="str">
        <x:v>单状态</x:v>
      </x:c>
      <x:c r="S718" s="63" t="str">
        <x:v>单一约束</x:v>
      </x:c>
      <x:c r="T718" s="63" t="str">
        <x:v>无</x:v>
      </x:c>
      <x:c r="U718" s="63" t="str">
        <x:v>无</x:v>
      </x:c>
      <x:c r="V718" s="63" t="str">
        <x:v>多层因果推理</x:v>
      </x:c>
    </x:row>
    <x:row r="719">
      <x:c r="A719" s="64" t="str">
        <x:v>​2531724277037416448</x:v>
      </x:c>
      <x:c r="B719" s="65" t="str">
        <x:v>基础题</x:v>
      </x:c>
      <x:c r="C719" s="65" t="str">
        <x:v>基础题</x:v>
      </x:c>
      <x:c r="D719" s="65" t="str">
        <x:v>基础题</x:v>
      </x:c>
      <x:c r="E719" s="65" t="str">
        <x:v>保留原GPT裁定</x:v>
      </x:c>
      <x:c r="F719" s="65" t="str">
        <x:v>高</x:v>
      </x:c>
      <x:c r="G719" s="65" t="str">
        <x:v>基础题</x:v>
      </x:c>
      <x:c r="H719" s="65" t="str">
        <x:v>基础题</x:v>
      </x:c>
      <x:c r="I719" s="65" t="str">
        <x:v>题干、解析与结构证据支持基础题：step=1-2步，题型=概念判断，状态=单状态，约束=无约束，推理=简单因果推理。教师、盲评和多次模型证据中未形成足以推翻原裁定的同向结构证据。</x:v>
      </x:c>
      <x:c r="J719" s="65" t="str">
        <x:v>未进入三次错题并集；逐题结构一致性复核</x:v>
      </x:c>
      <x:c r="K719" s="63" t="str">
        <x:v>$0{}^\circ\mathrm{C}$的冰熔化成$0{}^\circ\mathrm{C}$的水，下列分析中正确的是$(\qquad)$</x:v>
      </x:c>
      <x:c r="L719" s="63" t="str">
        <x:v>A. 比热容增大 B. 比热容不变 C. 内能不变 D. 内能减小</x:v>
      </x:c>
      <x:c r="M719" s="63" t="str">
        <x:v>AB、水的比热是$4.2\times 10^{3}J/(kg\cdot {}^\circ\mathrm{C})$，冰的比热是$2.1\times 10^{3}J/(kg\cdot {}^\circ\mathrm{C})$，选项 A 正确，选项 B 错误； CD、冰熔化成水时要吸热，所以$0{}^\circ\mathrm{C}$的冰熔化成$0{}^\circ\mathrm{C}$的水，温度虽然不变，但内能增加，选项 CD 都错误。 故选：A。</x:v>
      </x:c>
      <x:c r="N719" s="63" t="str">
        <x:v>https://k12static.xdf.cn/k12/image/externalized/12092f34-5169-4035-bc31-83ff8936c722.png</x:v>
      </x:c>
      <x:c r="O719" s="63" t="str">
        <x:v>https://k12static.xdf.cn/k12/image/externalized/96e65cf1-3343-43f1-8c26-515725277538.png</x:v>
      </x:c>
      <x:c r="P719" s="63" t="str">
        <x:v>1-2步</x:v>
      </x:c>
      <x:c r="Q719" s="63" t="str">
        <x:v>概念判断</x:v>
      </x:c>
      <x:c r="R719" s="63" t="str">
        <x:v>单状态</x:v>
      </x:c>
      <x:c r="S719" s="63" t="str">
        <x:v>无约束</x:v>
      </x:c>
      <x:c r="T719" s="63" t="str">
        <x:v>无</x:v>
      </x:c>
      <x:c r="U719" s="63" t="str">
        <x:v>无</x:v>
      </x:c>
      <x:c r="V719" s="63" t="str">
        <x:v>简单因果推理</x:v>
      </x:c>
    </x:row>
    <x:row r="720">
      <x:c r="A720" s="64" t="str">
        <x:v>​2532548027423412224</x:v>
      </x:c>
      <x:c r="B720" s="65" t="str">
        <x:v>拔高题</x:v>
      </x:c>
      <x:c r="C720" s="65" t="str">
        <x:v>拔高题</x:v>
      </x:c>
      <x:c r="D720" s="65" t="str">
        <x:v>拔高题</x:v>
      </x:c>
      <x:c r="E720" s="65" t="str">
        <x:v>逐题复核后保留GPT裁定</x:v>
      </x:c>
      <x:c r="F720" s="65" t="str">
        <x:v>高</x:v>
      </x:c>
      <x:c r="G720" s="65" t="str">
        <x:v>拔高题</x:v>
      </x:c>
      <x:c r="H720" s="65" t="str">
        <x:v>拔高题</x:v>
      </x:c>
      <x:c r="I720" s="65" t="str">
        <x:v>最高难任务在电路状态、图线/参数与安全约束中包含图线反推、状态转换、误差评价、几何/等效转换、方程联立或参数反求等决定性卡点，整体约5—6个有效决策；尚未形成压轴所需的完整复杂约束网络。</x:v>
      </x:c>
      <x:c r="J720" s="65" t="str">
        <x:v>三次运行错题并集逐题复核</x:v>
      </x:c>
      <x:c r="K720" s="63" t="str">
        <x:v>如图所示，甲、乙、丙、丁四个相同容器里装有质量和初温相同的水，每个容器放入同种材料绕成的导电线圈，其电阻R1=R3，R2=R4，2R2=3R1，若同时通电，不考虑热量散失，经过一段时间后这四个容器中的水温从高到低的顺序是（ ）</x:v>
      </x:c>
      <x:c r="L720" s="63" t="str">
        <x:v>A. 乙、甲、丙、丁 B. 乙、甲、丁、丙 C. 丙、丁、甲、乙 D. 丙、丁、乙、甲</x:v>
      </x:c>
      <x:c r="M720" s="63" t="str">
        <x:v>解：左图中，R1与R2串联，根据串联电路特点和焦耳定律Q=I2Rt可知，在电流和通电时间相同的情况下，电阻大的产生的热量多。因为2R2=3R1，R2=1.5R1，所以Q2＞Q1； 右图中，R3与R4并联，根据并联电路特点和焦耳定律公式的变形式Q=t可知，在电压和通电时间相同的情况下，电阻小的产生的热量多。因为R1=R3，R2=R4，2R2=3R1，R3＜R4，所以Q3＞Q4； 因为R2=R4，根据串联分压，R2的电压小于电源电压，并联时，R4的电压等于电源电压， 电阻相同，电压大的电流大，故I2＜I4，根据Q=I2Rt知，Q2＜Q4； 这样我们得出了这四个电阻产生的热量关系是：Q3＞Q4＞Q2＞Q1； 经过一段时间后这四个容器中的水温从高到低的顺序是丙、丁、乙、甲。 故选D。</x:v>
      </x:c>
      <x:c r="N720" s="63" t="str">
        <x:v>https://k12static.xdf.cn/k12/image/externalized/e1bb9b30-13f2-4864-8acd-307cde97bd0a.png</x:v>
      </x:c>
      <x:c r="O720" s="63" t="str">
        <x:v>https://k12static.xdf.cn/k12/image/externalized/077f552f-c6d3-4863-9a8e-0db90a7d89b6.png</x:v>
      </x:c>
      <x:c r="P720" s="63" t="str">
        <x:v>3-5步</x:v>
      </x:c>
      <x:c r="Q720" s="63" t="str">
        <x:v>电路综合</x:v>
      </x:c>
      <x:c r="R720" s="63" t="str">
        <x:v>单状态</x:v>
      </x:c>
      <x:c r="S720" s="63" t="str">
        <x:v>单一约束</x:v>
      </x:c>
      <x:c r="T720" s="63" t="str">
        <x:v>无</x:v>
      </x:c>
      <x:c r="U720" s="63" t="str">
        <x:v>无</x:v>
      </x:c>
      <x:c r="V720" s="63" t="str">
        <x:v>多层因果推理</x:v>
      </x:c>
    </x:row>
    <x:row r="721">
      <x:c r="A721" s="64" t="str">
        <x:v>​2532606065465114624</x:v>
      </x:c>
      <x:c r="B721" s="65" t="str">
        <x:v>送分题</x:v>
      </x:c>
      <x:c r="C721" s="65" t="str">
        <x:v>送分题</x:v>
      </x:c>
      <x:c r="D721" s="65" t="str">
        <x:v>送分题</x:v>
      </x:c>
      <x:c r="E721" s="65" t="str">
        <x:v>逐题复核后保留GPT裁定</x:v>
      </x:c>
      <x:c r="F721" s="65" t="str">
        <x:v>高</x:v>
      </x:c>
      <x:c r="G721" s="65" t="str">
        <x:v>送分题</x:v>
      </x:c>
      <x:c r="H721" s="65" t="str">
        <x:v>送分题</x:v>
      </x:c>
      <x:c r="I721" s="65" t="str">
        <x:v>只需识别一个熟悉教材模板，没有第二次物理决策。 题目证据：最长连续链仅1步有效物理决策，五维锚定符合送分题标准，任务为直接识别机械运动概念，四个选项均围绕机械运动的定义逐一判断，属于单一规则下的直接检索。</x:v>
      </x:c>
      <x:c r="J721" s="65" t="str">
        <x:v>三次运行错题并集逐题复核</x:v>
      </x:c>
      <x:c r="K721" s="63" t="str">
        <x:v>下列现象描述的运动中，属于机械运动的是（ ）</x:v>
      </x:c>
      <x:c r="L721" s="63" t="str">
        <x:v>A. 雪花飞舞 B. 花香四溢 C. 小树长高 D. 电子转动</x:v>
      </x:c>
      <x:c r="M721" s="63" t="str">
        <x:v>解：A、雪花飞舞是宏观物体的位置发生改变，属于机械运动，故A符合题意； B、花香四溢是分子运动，不是机械运动，故B不符合题意； C、小树长高是植物的生长变化，但是位置没有改变，因此不属于机械运动，故C不符合题意； D、电子转动不属于机械运动，故D不符合题意。 故选：A。</x:v>
      </x:c>
      <x:c r="N721" s="63" t="str">
        <x:v>https://k12static.xdf.cn/k12/image/externalized/15c187b6-9855-43cb-8356-c73f786af9bc.png</x:v>
      </x:c>
      <x:c r="O721" s="63" t="str">
        <x:v>https://k12static.xdf.cn/k12/image/externalized/ed01c1dd-3ade-4735-8b63-1e3d2f4c4e33.png</x:v>
      </x:c>
      <x:c r="P721" s="63" t="str">
        <x:v>1-2步</x:v>
      </x:c>
      <x:c r="Q721" s="63" t="str">
        <x:v>概念判断</x:v>
      </x:c>
      <x:c r="R721" s="63" t="str">
        <x:v>单状态</x:v>
      </x:c>
      <x:c r="S721" s="63" t="str">
        <x:v>无约束</x:v>
      </x:c>
      <x:c r="T721" s="63" t="str">
        <x:v>无</x:v>
      </x:c>
      <x:c r="U721" s="63" t="str">
        <x:v>无</x:v>
      </x:c>
      <x:c r="V721" s="63" t="str">
        <x:v>直接套用</x:v>
      </x:c>
    </x:row>
    <x:row r="722">
      <x:c r="A722" s="64" t="str">
        <x:v>​2533857055187423232</x:v>
      </x:c>
      <x:c r="B722" s="65" t="str">
        <x:v>中等题</x:v>
      </x:c>
      <x:c r="C722" s="65" t="str">
        <x:v>中等题</x:v>
      </x:c>
      <x:c r="D722" s="65" t="str">
        <x:v>中等题</x:v>
      </x:c>
      <x:c r="E722" s="65" t="str">
        <x:v>保留原GPT裁定</x:v>
      </x:c>
      <x:c r="F722" s="65" t="str">
        <x:v>高</x:v>
      </x:c>
      <x:c r="G722" s="65" t="str">
        <x:v>中等题</x:v>
      </x:c>
      <x:c r="H722" s="65" t="str">
        <x:v>中等题</x:v>
      </x:c>
      <x:c r="I722" s="65" t="str">
        <x:v>题干、解析与结构证据支持中等题：step=1-2步，题型=概念判断，状态=单状态，约束=无约束，推理=多层因果推理。教师、盲评和多次模型证据中未形成足以推翻原裁定的同向结构证据。</x:v>
      </x:c>
      <x:c r="J722" s="65" t="str">
        <x:v>未进入三次错题并集；逐题结构一致性复核</x:v>
      </x:c>
      <x:c r="K722" s="63" t="str">
        <x:v>关于温度、热量和内能，下列说法正确的是（ ）</x:v>
      </x:c>
      <x:c r="L722" s="63" t="str">
        <x:v>A. 温度越高的物体，所含的内能越多 B. 物体的温度升高，一定是从外界吸收了热量 C. 热量可能从内能小的物体传递给内能大的物体 D. 水凝固成冰的过程，温度不变，且内能也不变</x:v>
      </x:c>
      <x:c r="M722" s="63" t="str">
        <x:v>解：A、物体的内能与温度、质量、状态等有关，只知道温度高，不能确定物体含内能多，故A错误； B、物体的温度升高，其内能增大，可能是从外界吸收了热量，也可能是外界物体对它做了功，故B错误； C、热传递的条件是存在温度差，因内能的大小与物体的质量、温度和状态有关，所以内能小的可能温度高，内能大的可能温度低，则热量可以从内能小的物体传给内能大的物体，故C正确； D、物体放出热量，温度不一定降低，比如晶体在凝固过程中，放热内能减小，温度不变，故D错误。 故选：C。</x:v>
      </x:c>
      <x:c r="N722" s="63" t="str">
        <x:v>https://k12static.xdf.cn/k12/image/externalized/dedccb56-4a6a-4b96-bd20-f04935a62a57.png</x:v>
      </x:c>
      <x:c r="O722" s="63" t="str">
        <x:v>https://k12static.xdf.cn/k12/image/externalized/79ea8dbe-8ffd-4efd-8dd8-2a3076ba62b6.png</x:v>
      </x:c>
      <x:c r="P722" s="63" t="str">
        <x:v>1-2步</x:v>
      </x:c>
      <x:c r="Q722" s="63" t="str">
        <x:v>概念判断</x:v>
      </x:c>
      <x:c r="R722" s="63" t="str">
        <x:v>单状态</x:v>
      </x:c>
      <x:c r="S722" s="63" t="str">
        <x:v>无约束</x:v>
      </x:c>
      <x:c r="T722" s="63" t="str">
        <x:v>无</x:v>
      </x:c>
      <x:c r="U722" s="63" t="str">
        <x:v>无</x:v>
      </x:c>
      <x:c r="V722" s="63" t="str">
        <x:v>多层因果推理</x:v>
      </x:c>
    </x:row>
    <x:row r="723">
      <x:c r="A723" s="64" t="str">
        <x:v>​2534200446703419392</x:v>
      </x:c>
      <x:c r="B723" s="65" t="str">
        <x:v>中等题</x:v>
      </x:c>
      <x:c r="C723" s="65" t="str">
        <x:v>中等题</x:v>
      </x:c>
      <x:c r="D723" s="65" t="str">
        <x:v>中等题</x:v>
      </x:c>
      <x:c r="E723" s="65" t="str">
        <x:v>逐题复核后保留GPT裁定</x:v>
      </x:c>
      <x:c r="F723" s="65" t="str">
        <x:v>高</x:v>
      </x:c>
      <x:c r="G723" s="65" t="str">
        <x:v>中等题</x:v>
      </x:c>
      <x:c r="H723" s="65" t="str">
        <x:v>中等题</x:v>
      </x:c>
      <x:c r="I723" s="65" t="str">
        <x:v>存在约3—4步常规连续分析、共享过程或完整标准实验任务，关系仍显性。 题目证据：最高难选项实际有效推理约3步，五维锚定过程/对象为多状态电路分析，思维层次属于多状态常规分析，知识量为并联电路、电流表测量对象、故障影响三个关联知识点，符合中等题标准。整题围绕同一个并联电路，分别对不同故障、不同开关状态进行分析判断，需要先识别初始电路结构，再分别判断各选项对应的状态变化；各选项分析共享初始电路识别结果，属于共同模型下的多状态常规分析。</x:v>
      </x:c>
      <x:c r="J723" s="65" t="str">
        <x:v>三次运行错题并集逐题复核</x:v>
      </x:c>
      <x:c r="K723" s="63" t="str">
        <x:v>如图所示电路，闭合开关S1、S2，两电表都有示数，下列判断正确的是（ ）</x:v>
      </x:c>
      <x:c r="L723" s="63" t="str">
        <x:v>A. 电流表A2测量通过灯L2的电流 B. 有灯泡损坏时，电流表A1、A2示数可能相等 C. 若灯L1发生短路，L2正常发光 D. 仅断开S1，电流表A1的示数不变</x:v>
      </x:c>
      <x:c r="M723" s="63" t="str">
        <x:v>解：由图可知，L1、L2并列连接，为并联；开关S2在干路上，控制整个电路，开关S1与L1在一条支路，控制L1；电流表A1在干路上，测量干路中的电流，电流表A2与L1在一条支路，测量通过L1的电流。 A、电流表A2与L1在一条支路，测量通过L1的电流，故A错误； B、电流表A2测量通过L1的电流，电流表A1测量干路中的电流，L1灯泡损坏时，电流表A1、A2示数相等，故B正确； C、灯L1被短路时，L2也短路，不能正常工作，故C错误。 D、仅断开S1，灯L1被断路，电流表A2测量通过L1的电流，此时没有示数，电流表A1测量干路中的电流，示数变小，故D错误。 故选：B。</x:v>
      </x:c>
      <x:c r="N723" s="63" t="str">
        <x:v>https://k12static.xdf.cn/k12/image/externalized/6853d8af-273d-44fb-abfd-b7891b80d9c4.png</x:v>
      </x:c>
      <x:c r="O723" s="63" t="str">
        <x:v>https://k12static.xdf.cn/k12/image/externalized/121045a7-1793-4ff6-bdf2-d5e03559dfb6.png</x:v>
      </x:c>
      <x:c r="P723" s="63" t="str">
        <x:v>1-2步</x:v>
      </x:c>
      <x:c r="Q723" s="63" t="str">
        <x:v>概念判断</x:v>
      </x:c>
      <x:c r="R723" s="63" t="str">
        <x:v>单状态</x:v>
      </x:c>
      <x:c r="S723" s="63" t="str">
        <x:v>无约束</x:v>
      </x:c>
      <x:c r="T723" s="63" t="str">
        <x:v>无</x:v>
      </x:c>
      <x:c r="U723" s="63" t="str">
        <x:v>无</x:v>
      </x:c>
      <x:c r="V723" s="63" t="str">
        <x:v>多层因果推理</x:v>
      </x:c>
    </x:row>
    <x:row r="724">
      <x:c r="A724" s="64" t="str">
        <x:v>​2535175670411137024</x:v>
      </x:c>
      <x:c r="B724" s="65" t="str">
        <x:v>中等题</x:v>
      </x:c>
      <x:c r="C724" s="65" t="str">
        <x:v>中等题</x:v>
      </x:c>
      <x:c r="D724" s="65" t="str">
        <x:v>中等题</x:v>
      </x:c>
      <x:c r="E724" s="65" t="str">
        <x:v>保留原GPT裁定</x:v>
      </x:c>
      <x:c r="F724" s="65" t="str">
        <x:v>高</x:v>
      </x:c>
      <x:c r="G724" s="65" t="str">
        <x:v>中等题</x:v>
      </x:c>
      <x:c r="H724" s="65" t="str">
        <x:v>中等题</x:v>
      </x:c>
      <x:c r="I724" s="65" t="str">
        <x:v>题干、解析与结构证据支持中等题：step=3-5步，题型=概念判断，状态=单状态，约束=无约束，推理=多层因果推理。教师、盲评和多次模型证据中未形成足以推翻原裁定的同向结构证据。</x:v>
      </x:c>
      <x:c r="J724" s="65" t="str">
        <x:v>未进入三次错题并集；逐题结构一致性复核</x:v>
      </x:c>
      <x:c r="K724" s="63" t="str">
        <x:v>放在通电螺线管旁边的通电导线受力情况如图所示（“•”表示电流方向垂直纸面向外，“×”表示电流方向垂直纸面向里）。则下列选项中，通电导线受力情况正确的是（ ）</x:v>
      </x:c>
      <x:c r="L724" s="63" t="str"/>
      <x:c r="M724" s="63" t="str">
        <x:v>解：由题图可知通电导线中电流方向垂直纸面向里时，在S极附近受力的方向水平向上， A、相对于题图，通电导线中电流方向不变，根据安培定则可知，通电螺线管右侧为S极，通电导体受力方向不改变，为竖直向上，故A错误； B、相对于题图，通电导线中电流方向不变，根据安培定则可知，通电螺线管左侧为N极，磁场方向不变，通电导体受力方向应变为向上，故B错误； C、相对于题图，通电导线中电流方向不变，右侧为N极，磁场方向向右，改变了，故通电导线受力方向改变，为竖直向下，故C错误； D、相对于题图，通电导线中电流方向变为垂直纸面向外，左侧为S极，右侧为N极，磁场方向改变了，通电导线中电流方向和通电螺线管磁极同时改变，通电导线的位置没有改变，故通电导体受力方向不变，为竖直向上，故D正确。 故选：D。</x:v>
      </x:c>
      <x:c r="N724" s="63" t="str">
        <x:v>https://k12static.xdf.cn/k12/image/externalized/bd45013a-743c-44e8-a980-36ffddb930a0.png</x:v>
      </x:c>
      <x:c r="O724" s="63" t="str">
        <x:v>https://k12static.xdf.cn/k12/image/externalized/6de1871b-26e3-41eb-80ec-31f4a01fdd69.png</x:v>
      </x:c>
      <x:c r="P724" s="63" t="str">
        <x:v>3-5步</x:v>
      </x:c>
      <x:c r="Q724" s="63" t="str">
        <x:v>概念判断</x:v>
      </x:c>
      <x:c r="R724" s="63" t="str">
        <x:v>单状态</x:v>
      </x:c>
      <x:c r="S724" s="63" t="str">
        <x:v>无约束</x:v>
      </x:c>
      <x:c r="T724" s="63" t="str">
        <x:v>无</x:v>
      </x:c>
      <x:c r="U724" s="63" t="str">
        <x:v>无</x:v>
      </x:c>
      <x:c r="V724" s="63" t="str">
        <x:v>多层因果推理</x:v>
      </x:c>
    </x:row>
    <x:row r="725">
      <x:c r="A725" s="64" t="str">
        <x:v>​2535521973828915200</x:v>
      </x:c>
      <x:c r="B725" s="65" t="str">
        <x:v>中等题</x:v>
      </x:c>
      <x:c r="C725" s="65" t="str">
        <x:v>中等题</x:v>
      </x:c>
      <x:c r="D725" s="65" t="str">
        <x:v>中等题</x:v>
      </x:c>
      <x:c r="E725" s="65" t="str">
        <x:v>保留原GPT裁定</x:v>
      </x:c>
      <x:c r="F725" s="65" t="str">
        <x:v>高</x:v>
      </x:c>
      <x:c r="G725" s="65" t="str">
        <x:v>中等题</x:v>
      </x:c>
      <x:c r="H725" s="65" t="str">
        <x:v>中等题</x:v>
      </x:c>
      <x:c r="I725" s="65" t="str">
        <x:v>题干、解析与结构证据支持中等题：step=3-5步，题型=概念判断，状态=单状态，约束=无约束，推理=多层因果推理。教师、盲评和多次模型证据中未形成足以推翻原裁定的同向结构证据。</x:v>
      </x:c>
      <x:c r="J725" s="65" t="str">
        <x:v>未进入三次错题并集；逐题结构一致性复核</x:v>
      </x:c>
      <x:c r="K725" s="63" t="str">
        <x:v>学了密度的知识后，某同学想用天平、量筒、烧杯、细线和水，完成下列实验，你认为他结合物理书实验能够完成的是（ ）</x:v>
      </x:c>
      <x:c r="L725" s="63" t="str">
        <x:v>A. 测出一堆大头针的数量 B. 鉴别金戒指是否是纯金的 C. 测定一捆铜导线的长度 D. 鉴别小铜球是空心还是实心</x:v>
      </x:c>
      <x:c r="M725" s="63" t="str">
        <x:v>解： A、一根大头针的质量很小，其质量会小于托盘天平的分度值，所以用托盘天平无法称出一根大头针的质量，但可称出几十根大头针的质量，由此可算出一根大头针的质量。几百根大头针的质量可用天平称出，知道了一根大头针和一堆大头针的质量，就能算出大头针的数目。故该实验能够完成； B、戒指的体积可以用量筒、细线、水测出，戒指的质量可以用天平测出，根据密度公式可以计算出戒指的密度，与金的密度比较，若相等就是纯金的，若不相等就不是纯金的。该实验能够完成； C、不知铜导线粗细，无法用所给器材测出它的长度。该实验不能完成； D、用天平测出小铜球的质量，用烧杯、量筒、水可以测出小铜球的体积，利用密度计算公式可以计算密度，与铜的密度比较可知是空心的还是实心的。该实验能够完成。 故选：ABD。</x:v>
      </x:c>
      <x:c r="N725" s="63" t="str">
        <x:v>https://k12static.xdf.cn/k12/image/externalized/cd952c71-8e2d-46eb-bcfc-0f7789db30d9.png</x:v>
      </x:c>
      <x:c r="O725" s="63" t="str">
        <x:v>https://k12static.xdf.cn/k12/image/externalized/3023e597-fa18-43f4-a43e-bcbe192d5832.png</x:v>
      </x:c>
      <x:c r="P725" s="63" t="str">
        <x:v>3-5步</x:v>
      </x:c>
      <x:c r="Q725" s="63" t="str">
        <x:v>概念判断</x:v>
      </x:c>
      <x:c r="R725" s="63" t="str">
        <x:v>单状态</x:v>
      </x:c>
      <x:c r="S725" s="63" t="str">
        <x:v>无约束</x:v>
      </x:c>
      <x:c r="T725" s="63" t="str">
        <x:v>控制变量或故障分析</x:v>
      </x:c>
      <x:c r="U725" s="63" t="str">
        <x:v>无</x:v>
      </x:c>
      <x:c r="V725" s="63" t="str">
        <x:v>多层因果推理</x:v>
      </x:c>
    </x:row>
    <x:row r="726">
      <x:c r="A726" s="64" t="str">
        <x:v>​2535522817086423040</x:v>
      </x:c>
      <x:c r="B726" s="65" t="str">
        <x:v>基础题</x:v>
      </x:c>
      <x:c r="C726" s="65" t="str">
        <x:v>基础题</x:v>
      </x:c>
      <x:c r="D726" s="65" t="str">
        <x:v>基础题</x:v>
      </x:c>
      <x:c r="E726" s="65" t="str">
        <x:v>保留原GPT裁定</x:v>
      </x:c>
      <x:c r="F726" s="65" t="str">
        <x:v>高</x:v>
      </x:c>
      <x:c r="G726" s="65" t="str">
        <x:v>基础题</x:v>
      </x:c>
      <x:c r="H726" s="65" t="str">
        <x:v>基础题</x:v>
      </x:c>
      <x:c r="I726" s="65" t="str">
        <x:v>题干、解析与结构证据支持基础题：step=1-2步，题型=概念判断，状态=单状态，约束=无约束，推理=简单因果推理。教师、盲评和多次模型证据中未形成足以推翻原裁定的同向结构证据。</x:v>
      </x:c>
      <x:c r="J726" s="65" t="str">
        <x:v>未进入三次错题并集；逐题结构一致性复核</x:v>
      </x:c>
      <x:c r="K726" s="63" t="str">
        <x:v>（双选）如图所示，小朋友沿着平直的倾斜滑梯匀速下滑的过程中，下列说法中正确的是（ ）</x:v>
      </x:c>
      <x:c r="L726" s="63" t="str">
        <x:v>A. 他的机械能不变 B. 他的机械能减少 C. 他受到平衡力的作用 D. 他滑到底时感觉屁股发热，说明下滑中动能转化成为了内能</x:v>
      </x:c>
      <x:c r="M726" s="63" t="str">
        <x:v>解：A、沿着平直的倾斜滑梯匀速下滑的过程中，质量不变、速度不变，所以动能不变，由于其高度变小，所以重力势能变小，机械能变小，故A错误； B、沿着平直的倾斜滑梯匀速下滑的过程中，质量不变、速度不变，所以动能不变，由于其高度变小，所以重力势能变小，机械能变小，故B正确； C、小朋友做匀速直线运动，所以受到平衡力的作用，故C正确； D、他滑到底时感觉屁股发热，说明下滑中机械能（主要是重力势能）转化成为了内能，因为小朋友的动能不变，故D错误。 故选：BC。</x:v>
      </x:c>
      <x:c r="N726" s="63" t="str">
        <x:v>https://k12static.xdf.cn/k12/image/externalized/d5115f0f-4990-4329-a060-017f4bddd968.png</x:v>
      </x:c>
      <x:c r="O726" s="63" t="str">
        <x:v>https://k12static.xdf.cn/k12/image/externalized/24b9edde-1275-49ab-97cd-6fe1665c4481.png</x:v>
      </x:c>
      <x:c r="P726" s="63" t="str">
        <x:v>1-2步</x:v>
      </x:c>
      <x:c r="Q726" s="63" t="str">
        <x:v>概念判断</x:v>
      </x:c>
      <x:c r="R726" s="63" t="str">
        <x:v>单状态</x:v>
      </x:c>
      <x:c r="S726" s="63" t="str">
        <x:v>无约束</x:v>
      </x:c>
      <x:c r="T726" s="63" t="str">
        <x:v>无</x:v>
      </x:c>
      <x:c r="U726" s="63" t="str">
        <x:v>无</x:v>
      </x:c>
      <x:c r="V726" s="63" t="str">
        <x:v>简单因果推理</x:v>
      </x:c>
    </x:row>
    <x:row r="727">
      <x:c r="A727" s="64" t="str">
        <x:v>​2538561440996745216</x:v>
      </x:c>
      <x:c r="B727" s="65" t="str">
        <x:v>中等题</x:v>
      </x:c>
      <x:c r="C727" s="65" t="str">
        <x:v>中等题</x:v>
      </x:c>
      <x:c r="D727" s="65" t="str">
        <x:v>中等题</x:v>
      </x:c>
      <x:c r="E727" s="65" t="str">
        <x:v>逐题复核后保留GPT裁定</x:v>
      </x:c>
      <x:c r="F727" s="65" t="str">
        <x:v>高</x:v>
      </x:c>
      <x:c r="G727" s="65" t="str">
        <x:v>中等题</x:v>
      </x:c>
      <x:c r="H727" s="65" t="str">
        <x:v>中等题</x:v>
      </x:c>
      <x:c r="I727" s="65" t="str">
        <x:v>存在约3—4步常规连续分析、共享过程或完整标准实验任务，关系仍显性。 题目证据：最高难任务实际有效推理约3步，需要按物距从小于一倍焦距逐渐增大到大于两倍焦距的顺序，依次判断不同物距区间凸透镜的成像性质，属于对同一过程的连续多状态常规分析。五维中过程/对象和思维层次落在中等档，知识量与数学工具提供常规支撑，情境不额外增难。</x:v>
      </x:c>
      <x:c r="J727" s="65" t="str">
        <x:v>三次运行错题并集逐题复核</x:v>
      </x:c>
      <x:c r="K727" s="63" t="str">
        <x:v>如图甲所示是生物课上小明用放大镜贴着七星瓢虫观察的情况，在将放大镜逐渐远离瓢虫时，小明观察到的成像情况发生了变化，如图乙。像的变化情况排序正确的是（ ）</x:v>
      </x:c>
      <x:c r="L727" s="63" t="str">
        <x:v>A. ①②④③ B. ②①③④ C. ③④①② D. ②①④③</x:v>
      </x:c>
      <x:c r="M727" s="63" t="str">
        <x:v>解：放大镜贴着瓢虫观察到的情况，放大镜成正立放大的虚像，将放大镜逐渐远离瓢虫时，当物距大于一倍焦距、小于二倍焦距时，先成倒立放大的实像，继续远离，然后成倒立等大的实像变小直到变为2倍焦距时，成等大的实像，当物距大于两倍焦距时，最远时成倒立缩小的实像，故正确的顺序是②①④③，故D正确。 故选：D。</x:v>
      </x:c>
      <x:c r="N727" s="63" t="str">
        <x:v>https://k12static.xdf.cn/k12/image/externalized/9bb49879-a7d0-4e46-a210-1a906c1f66c1.png</x:v>
      </x:c>
      <x:c r="O727" s="63" t="str">
        <x:v>https://k12static.xdf.cn/k12/image/externalized/41b98a39-1c92-4dcd-b5c2-e06e88b08859.png</x:v>
      </x:c>
      <x:c r="P727" s="63" t="str">
        <x:v>3-5步</x:v>
      </x:c>
      <x:c r="Q727" s="63" t="str">
        <x:v>概念判断</x:v>
      </x:c>
      <x:c r="R727" s="63" t="str">
        <x:v>连续变化或临界状态</x:v>
      </x:c>
      <x:c r="S727" s="63" t="str">
        <x:v>无约束</x:v>
      </x:c>
      <x:c r="T727" s="63" t="str">
        <x:v>无</x:v>
      </x:c>
      <x:c r="U727" s="63" t="str">
        <x:v>无</x:v>
      </x:c>
      <x:c r="V727" s="63" t="str">
        <x:v>多层因果推理</x:v>
      </x:c>
    </x:row>
    <x:row r="728">
      <x:c r="A728" s="64" t="str">
        <x:v>​2538975915798212608</x:v>
      </x:c>
      <x:c r="B728" s="65" t="str">
        <x:v>中等题</x:v>
      </x:c>
      <x:c r="C728" s="65" t="str">
        <x:v>中等题</x:v>
      </x:c>
      <x:c r="D728" s="65" t="str">
        <x:v>中等题</x:v>
      </x:c>
      <x:c r="E728" s="65" t="str">
        <x:v>保留原GPT裁定</x:v>
      </x:c>
      <x:c r="F728" s="65" t="str">
        <x:v>高</x:v>
      </x:c>
      <x:c r="G728" s="65" t="str">
        <x:v>中等题</x:v>
      </x:c>
      <x:c r="H728" s="65" t="str">
        <x:v>中等题</x:v>
      </x:c>
      <x:c r="I728" s="65" t="str">
        <x:v>题干、解析与结构证据支持中等题：step=3-5步，题型=电路综合，状态=双状态，约束=单一约束，推理=多层因果推理。教师、盲评和多次模型证据中未形成足以推翻原裁定的同向结构证据。</x:v>
      </x:c>
      <x:c r="J728" s="65" t="str">
        <x:v>未进入三次错题并集；逐题结构一致性复核</x:v>
      </x:c>
      <x:c r="K728" s="63" t="str">
        <x:v>如图a是一个用电压表的示数反映温度变化的电路原理图，其中电源电压U=4.5V且保持不变，电压表量程为0～3V，R0是300Ω的定值电阻，R1是热敏电阻，其电阻随环境温度变化的关系如图b所示。若闭合开关S（ ）</x:v>
      </x:c>
      <x:c r="L728" s="63" t="str">
        <x:v>A. 环境温度为40℃时，热敏电阻阻值是150Ω B. 电压表V示数越小，环境温度越高 C. 电压表的最小示数是1.5V D. 此电路允许的最高环境温度为60℃</x:v>
      </x:c>
      <x:c r="M728" s="63" t="str">
        <x:v>解：（1）由图b可知，环境温度为40℃时，热敏电阻阻值是200Ω，故A错误； （2）因串联电路中各处的电流相等， 所以，由I=$\frac{U}{R}$可知，当电压表V示数越小时，电路中的电流越小， 由R=$\frac{U}{I}$可知，电路中的总电阻越大， 因串联电路中总电阻等于各分电阻之和， 所以，热敏电阻的阻值越大， 由图乙可知，环境的温度越低，故B错误； （3）由图象可知温度为0℃时，热敏电阻的阻值最大R1大=300Ω，此时电压表的示数最小， 此时电路中的电流： I小=$\frac{U}{{R}_{1大}+{R}_{0}}$=$\frac{4.5V}{300Ω+300Ω}$=0.0075A， 电压表的最小示数： U0小=I小R0=0.0075A×300Ω=2.25V，故C错误； （4）当电压表的示数U0=3V时，电路允许测量的温度最高， 此时电路中的电流： I=$\frac{{U}_{0}}{{R}_{0}}$=$\frac{3V}{300Ω}$=0.01A， 电路中的总电阻： R=$\frac{U}{I}$=$\frac{4.5V}{0.01A}$=450Ω， 热敏电阻的阻值： R1=R-R0=450Ω-300Ω=150Ω， 由图象可知，此电路允许的最高环境温度为60℃，故D正确。 故选：D。</x:v>
      </x:c>
      <x:c r="N728" s="63" t="str">
        <x:v>https://k12static.xdf.cn/k12/image/externalized/c1b82b82-5cc0-4c37-8164-0b60d35c0b51.png</x:v>
      </x:c>
      <x:c r="O728" s="63" t="str">
        <x:v>https://k12static.xdf.cn/k12/image/externalized/4a795478-3be7-414e-b740-2140051fc635.png</x:v>
      </x:c>
      <x:c r="P728" s="63" t="str">
        <x:v>3-5步</x:v>
      </x:c>
      <x:c r="Q728" s="63" t="str">
        <x:v>电路综合</x:v>
      </x:c>
      <x:c r="R728" s="63" t="str">
        <x:v>双状态</x:v>
      </x:c>
      <x:c r="S728" s="63" t="str">
        <x:v>单一约束</x:v>
      </x:c>
      <x:c r="T728" s="63" t="str">
        <x:v>无</x:v>
      </x:c>
      <x:c r="U728" s="63" t="str">
        <x:v>直接读数</x:v>
      </x:c>
      <x:c r="V728" s="63" t="str">
        <x:v>多层因果推理</x:v>
      </x:c>
    </x:row>
    <x:row r="729">
      <x:c r="A729" s="64" t="str">
        <x:v>​2549033171256889344</x:v>
      </x:c>
      <x:c r="B729" s="65" t="str">
        <x:v>中等题</x:v>
      </x:c>
      <x:c r="C729" s="65" t="str">
        <x:v>中等题</x:v>
      </x:c>
      <x:c r="D729" s="65" t="str">
        <x:v>中等题</x:v>
      </x:c>
      <x:c r="E729" s="65" t="str">
        <x:v>保留原GPT裁定</x:v>
      </x:c>
      <x:c r="F729" s="65" t="str">
        <x:v>高</x:v>
      </x:c>
      <x:c r="G729" s="65" t="str">
        <x:v>中等题</x:v>
      </x:c>
      <x:c r="H729" s="65" t="str">
        <x:v>中等题</x:v>
      </x:c>
      <x:c r="I729" s="65" t="str">
        <x:v>题干、解析与结构证据支持中等题：step=3-5步，题型=实验探究，状态=单状态，约束=单一约束，推理=多层因果推理。教师、盲评和多次模型证据中未形成足以推翻原裁定的同向结构证据。</x:v>
      </x:c>
      <x:c r="J729" s="65" t="str">
        <x:v>未进入三次错题并集；逐题结构一致性复核</x:v>
      </x:c>
      <x:c r="K729" s="63" t="str">
        <x:v>如图所示，小明在探究电流与电压关系的实验中，所选电源为3V，电流表的量程为0～0.6A，电压表的量程为0～3V，移动滑动变阻器的滑片进行多次实验，并将实验数据记录如表，下列说法中正确的是（ ） 数据序号 1 2 3 4 5 6 电压U/V 0.3 0.6 0.9 1.2 1.5 1.8 电流I/A 0.08 0.15 0.23 0.40 0.38 0.45</x:v>
      </x:c>
      <x:c r="L729" s="63" t="str">
        <x:v>A. 将R1换成小灯泡，也可以进行实验 B. 实验说明电阻一定时，导体两端电压与通过导体的电流成正比 C. 表格中第3组数据是错误的 D. 实验中，所选滑动变阻器的规格可能为50Ω</x:v>
      </x:c>
      <x:c r="M729" s="63" t="str">
        <x:v>解：A、探究电流与电压的关系，需要保持电阻不变，而灯丝的电阻随温度的变化而变化，所以不可以将R1换成小灯泡，故A错误； B、由欧姆定律的内容可知，本实验的结论为：电阻一定时，电流与电压成正比，故B错误； C、根据表格数据，同时结合欧姆定律分析作答为： ${R}_{1}=\frac{{U}_{1}}{{I}_{1}}=\frac{0.3V}{0.08A}≈3.75Ω$； ${R}_{2}=\frac{{U}_{2}}{{I}_{2}}=\frac{0.6V}{0.15A}=4.0Ω$； ${R}_{3}=\frac{{U}_{3}}{{I}_{3}}=\frac{0.9V}{0.23A}≈3.91Ω$； ${R}_{4}=\frac{{U}_{4}}{{I}_{4}}=\frac{1.2V}{0.40A}=3.0Ω$； ${R}_{5}=\frac{{U}_{5}}{{I}_{5}}=\frac{1.5V}{0.38A}≈3.95Ω$； ${R}_{6}=\frac{{U}_{6}}{{I}_{6}}=\frac{1.8V}{0.45A}=4.0Ω$， 在本实验中应控制导体电阻不变，考虑误差的情况下，可知根据第四组数据计算出的电阻值与其它组计算出的相差最大，由此可知表格中第4组数据是错误的，故C错误； D、根据表格数据可知当电路电流最小为0.08A时，电路总电阻为${R}_{总}=\frac{U}{{I}_{1}}=\frac{3V}{0.08A}=37.5Ω$，此时滑动变阻器接入电路的电阻大小为：R滑=R总-R1=37.5Ω-3.75Ω=33.75Ω，由此可知所选滑动变阻器的最大电阻应大于等于33.75Ω，即所选滑动变阻器的规格可能为50Ω，故D正确。 故选：D。</x:v>
      </x:c>
      <x:c r="N729" s="63" t="str">
        <x:v>https://k12static.xdf.cn/k12/image/externalized/1a28c6fa-a23c-4325-a1e9-18795e07eac3.png</x:v>
      </x:c>
      <x:c r="O729" s="63" t="str">
        <x:v>https://k12static.xdf.cn/k12/image/externalized/abac2a8a-5f20-4a4e-ad5e-549ccf910b8b.png</x:v>
      </x:c>
      <x:c r="P729" s="63" t="str">
        <x:v>3-5步</x:v>
      </x:c>
      <x:c r="Q729" s="63" t="str">
        <x:v>实验探究</x:v>
      </x:c>
      <x:c r="R729" s="63" t="str">
        <x:v>单状态</x:v>
      </x:c>
      <x:c r="S729" s="63" t="str">
        <x:v>单一约束</x:v>
      </x:c>
      <x:c r="T729" s="63" t="str">
        <x:v>控制变量或故障分析</x:v>
      </x:c>
      <x:c r="U729" s="63" t="str">
        <x:v>多组比较归纳</x:v>
      </x:c>
      <x:c r="V729" s="63" t="str">
        <x:v>多层因果推理</x:v>
      </x:c>
    </x:row>
    <x:row r="730">
      <x:c r="A730" s="64" t="str">
        <x:v>​2561376909544964096</x:v>
      </x:c>
      <x:c r="B730" s="65" t="str">
        <x:v>送分题</x:v>
      </x:c>
      <x:c r="C730" s="65" t="str">
        <x:v>送分题</x:v>
      </x:c>
      <x:c r="D730" s="65" t="str">
        <x:v>送分题</x:v>
      </x:c>
      <x:c r="E730" s="65" t="str">
        <x:v>保留原GPT裁定</x:v>
      </x:c>
      <x:c r="F730" s="65" t="str">
        <x:v>高</x:v>
      </x:c>
      <x:c r="G730" s="65" t="str">
        <x:v>送分题</x:v>
      </x:c>
      <x:c r="H730" s="65" t="str">
        <x:v>送分题</x:v>
      </x:c>
      <x:c r="I730" s="65" t="str">
        <x:v>题干、解析与结构证据支持送分题：step=1-2步，题型=概念判断，状态=单状态，约束=无约束，推理=直接套用。教师、盲评和多次模型证据中未形成足以推翻原裁定的同向结构证据。</x:v>
      </x:c>
      <x:c r="J730" s="65" t="str">
        <x:v>未进入三次错题并集；逐题结构一致性复核</x:v>
      </x:c>
      <x:c r="K730" s="63" t="str">
        <x:v>下列微观粒子中，空间尺度最小的是（ ）</x:v>
      </x:c>
      <x:c r="L730" s="63" t="str">
        <x:v>A. 原子核 B. 原子 C. 分子 D. 中子</x:v>
      </x:c>
      <x:c r="M730" s="63" t="str">
        <x:v>解：物质是由分子组成的，分子是由原子组成的，原子是由原子核和电子组成的，原子核是由质子和中子构成，质子和中子又由夸克组成。所以在原子、质子、分子和原子核中，尺度最小的是中子。 故选：D。</x:v>
      </x:c>
      <x:c r="N730" s="63" t="str">
        <x:v>https://k12static.xdf.cn/k12/image/externalized/dbede365-3a39-4576-9d7c-114be199ce95.png</x:v>
      </x:c>
      <x:c r="O730" s="63" t="str">
        <x:v>https://k12static.xdf.cn/k12/image/externalized/97c5e18f-113e-48b6-9507-7343ca3999c3.png</x:v>
      </x:c>
      <x:c r="P730" s="63" t="str">
        <x:v>1-2步</x:v>
      </x:c>
      <x:c r="Q730" s="63" t="str">
        <x:v>概念判断</x:v>
      </x:c>
      <x:c r="R730" s="63" t="str">
        <x:v>单状态</x:v>
      </x:c>
      <x:c r="S730" s="63" t="str">
        <x:v>无约束</x:v>
      </x:c>
      <x:c r="T730" s="63" t="str">
        <x:v>无</x:v>
      </x:c>
      <x:c r="U730" s="63" t="str">
        <x:v>无</x:v>
      </x:c>
      <x:c r="V730" s="63" t="str">
        <x:v>直接套用</x:v>
      </x:c>
    </x:row>
    <x:row r="731">
      <x:c r="A731" s="64" t="str">
        <x:v>​2565713484607746048</x:v>
      </x:c>
      <x:c r="B731" s="65" t="str">
        <x:v>基础题</x:v>
      </x:c>
      <x:c r="C731" s="65" t="str">
        <x:v>基础题</x:v>
      </x:c>
      <x:c r="D731" s="65" t="str">
        <x:v>基础题</x:v>
      </x:c>
      <x:c r="E731" s="65" t="str">
        <x:v>保留原GPT裁定</x:v>
      </x:c>
      <x:c r="F731" s="65" t="str">
        <x:v>高</x:v>
      </x:c>
      <x:c r="G731" s="65" t="str">
        <x:v>基础题</x:v>
      </x:c>
      <x:c r="H731" s="65" t="str">
        <x:v>基础题</x:v>
      </x:c>
      <x:c r="I731" s="65" t="str">
        <x:v>题干、解析与结构证据支持基础题：step=1-2步，题型=概念判断，状态=单状态，约束=无约束，推理=简单因果推理。教师、盲评和多次模型证据中未形成足以推翻原裁定的同向结构证据。</x:v>
      </x:c>
      <x:c r="J731" s="65" t="str">
        <x:v>未进入三次错题并集；逐题结构一致性复核</x:v>
      </x:c>
      <x:c r="K731" s="63" t="str">
        <x:v>如图所示的是小明通过凸透镜看花朵成放大的像的情境，下列说法正确的是（ ）</x:v>
      </x:c>
      <x:c r="L731" s="63" t="str">
        <x:v>A. 花朵的放大的像是正立的实像 B. 花朵正好位于凸透镜的焦点上 C. 花朵到凸透镜的距离一定小于凸透镜的焦距 D. 若凸透镜远离花朵，则花朵的像会一直变小</x:v>
      </x:c>
      <x:c r="M731" s="63" t="str">
        <x:v>解：ABC、由图可知，物体通过凸透镜成正立放大的虚像，此时的物距应该小于一倍焦距，即花朵到凸透镜的距离一定小于凸透镜的焦距，故AB错误、C正确； D、若凸透镜远离花朵，此时成的是虚像，物距变大，像变大，故D错误。 故选：C。</x:v>
      </x:c>
      <x:c r="N731" s="63" t="str">
        <x:v>https://k12static.xdf.cn/k12/image/externalized/77b48f15-86e5-47e5-a97f-6f5984488942.png</x:v>
      </x:c>
      <x:c r="O731" s="63" t="str">
        <x:v>https://k12static.xdf.cn/k12/image/externalized/84e5ed39-6836-4738-aca4-9c6b489c7104.png</x:v>
      </x:c>
      <x:c r="P731" s="63" t="str">
        <x:v>1-2步</x:v>
      </x:c>
      <x:c r="Q731" s="63" t="str">
        <x:v>概念判断</x:v>
      </x:c>
      <x:c r="R731" s="63" t="str">
        <x:v>单状态</x:v>
      </x:c>
      <x:c r="S731" s="63" t="str">
        <x:v>无约束</x:v>
      </x:c>
      <x:c r="T731" s="63" t="str">
        <x:v>无</x:v>
      </x:c>
      <x:c r="U731" s="63" t="str">
        <x:v>无</x:v>
      </x:c>
      <x:c r="V731" s="63" t="str">
        <x:v>简单因果推理</x:v>
      </x:c>
    </x:row>
    <x:row r="732">
      <x:c r="A732" s="64" t="str">
        <x:v>​2568862762073894912</x:v>
      </x:c>
      <x:c r="B732" s="65" t="str">
        <x:v>中等题</x:v>
      </x:c>
      <x:c r="C732" s="65" t="str">
        <x:v>中等题</x:v>
      </x:c>
      <x:c r="D732" s="65" t="str">
        <x:v>中等题</x:v>
      </x:c>
      <x:c r="E732" s="65" t="str">
        <x:v>保留原GPT裁定</x:v>
      </x:c>
      <x:c r="F732" s="65" t="str">
        <x:v>高</x:v>
      </x:c>
      <x:c r="G732" s="65" t="str">
        <x:v>中等题</x:v>
      </x:c>
      <x:c r="H732" s="65" t="str">
        <x:v>中等题</x:v>
      </x:c>
      <x:c r="I732" s="65" t="str">
        <x:v>题干、解析与结构证据支持中等题：step=3-5步，题型=力学综合，状态=单状态，约束=单一约束，推理=多层因果推理。教师、盲评和多次模型证据中未形成足以推翻原裁定的同向结构证据。</x:v>
      </x:c>
      <x:c r="J732" s="65" t="str">
        <x:v>未进入三次错题并集；逐题结构一致性复核</x:v>
      </x:c>
      <x:c r="K732" s="63" t="str">
        <x:v>如图，物体重450N，OA：OB=3：1，作用在杠杆一端的力F1与杠杆垂直，下列说法正确的是（ ）</x:v>
      </x:c>
      <x:c r="L732" s="63" t="str">
        <x:v>A. 要使杠杆平衡，则F1=150N B. 若将物体向O点移动，则F1变大 C. 若改用F2使杠杆平衡，则F2＜F1 D. 若人重600N，将重物换为重300N的物体，用力F1提杠杆（如图）时，人对地面的压力为700N</x:v>
      </x:c>
      <x:c r="M732" s="63" t="str">
        <x:v>解： A、由图可知，F1的方向是竖直向上的，所以F1的力臂是OA；根据杠杆的平衡条件可知：G×OB=F1×OA，则F1=$\frac{G×OB}{OA}$=450N×$\frac{1}{3}$=150N，故A正确； B、若将物体向O点移动，物体重力的力臂变小，在阻力、动力臂不变的情况下，根据杠杆的平衡条件可知，F1变小，故B错误； C、若改用F2，根据力臂的定义可知，F2的力臂要小于F1的力臂，在阻力和阻力臂不变的情况下，则F2＞F1，故C错误； D、将重物换为重300N的物体，根据杠杆的平衡条件可知：G'×OB=F1×OA，则F1=$\frac{G'×OB}{OA}$=300N×$\frac{1}{3}$=100N；人对杠杆一个向上的100N的力，根据力的相互性可知，人会受到一个竖直向下的100N的力，人的重力为600N，则则人对地面的压力为600N+100N=700N，故D正确。 故选：AD。</x:v>
      </x:c>
      <x:c r="N732" s="63" t="str">
        <x:v>https://k12static.xdf.cn/k12/image/externalized/8809f984-465d-4374-8968-ace3cc453e5b.png</x:v>
      </x:c>
      <x:c r="O732" s="63" t="str">
        <x:v>https://k12static.xdf.cn/k12/image/externalized/c38366ee-8a56-4d50-b68c-cbf254a4ca6c.png</x:v>
      </x:c>
      <x:c r="P732" s="63" t="str">
        <x:v>3-5步</x:v>
      </x:c>
      <x:c r="Q732" s="63" t="str">
        <x:v>力学综合</x:v>
      </x:c>
      <x:c r="R732" s="63" t="str">
        <x:v>单状态</x:v>
      </x:c>
      <x:c r="S732" s="63" t="str">
        <x:v>单一约束</x:v>
      </x:c>
      <x:c r="T732" s="63" t="str">
        <x:v>无</x:v>
      </x:c>
      <x:c r="U732" s="63" t="str">
        <x:v>无</x:v>
      </x:c>
      <x:c r="V732" s="63" t="str">
        <x:v>多层因果推理</x:v>
      </x:c>
    </x:row>
    <x:row r="733">
      <x:c r="A733" s="64" t="str">
        <x:v>​2571613405693898752</x:v>
      </x:c>
      <x:c r="B733" s="65" t="str">
        <x:v>送分题</x:v>
      </x:c>
      <x:c r="C733" s="65" t="str">
        <x:v>送分题</x:v>
      </x:c>
      <x:c r="D733" s="65" t="str">
        <x:v>送分题</x:v>
      </x:c>
      <x:c r="E733" s="65" t="str">
        <x:v>保留原GPT裁定</x:v>
      </x:c>
      <x:c r="F733" s="65" t="str">
        <x:v>高</x:v>
      </x:c>
      <x:c r="G733" s="65" t="str">
        <x:v>送分题</x:v>
      </x:c>
      <x:c r="H733" s="65" t="str">
        <x:v>送分题</x:v>
      </x:c>
      <x:c r="I733" s="65" t="str">
        <x:v>题干、解析与结构证据支持送分题：step=1-2步，题型=概念判断，状态=单状态，约束=无约束，推理=直接套用。教师、盲评和多次模型证据中未形成足以推翻原裁定的同向结构证据。</x:v>
      </x:c>
      <x:c r="J733" s="65" t="str">
        <x:v>未进入三次错题并集；逐题结构一致性复核</x:v>
      </x:c>
      <x:c r="K733" s="63" t="str">
        <x:v>有诗曰：“有麝自然香，何须迎风扬”，其中蕴含的物理知识是（ ）</x:v>
      </x:c>
      <x:c r="L733" s="63" t="str">
        <x:v>A. 热传递 B. 扩散 C. 机械运动 D. 静止是相对的</x:v>
      </x:c>
      <x:c r="M733" s="63" t="str">
        <x:v>解：“有麝自然香”是扩散现象，说明分子在不停地做无规则运动。 故选：B。</x:v>
      </x:c>
      <x:c r="N733" s="63" t="str">
        <x:v>https://k12static.xdf.cn/k12/image/externalized/16f59f3c-2451-4d2e-a8ca-289d3167c978.png</x:v>
      </x:c>
      <x:c r="O733" s="63" t="str">
        <x:v>https://k12static.xdf.cn/k12/image/externalized/107b2b5b-6944-4b52-824b-717e01a04a8f.png</x:v>
      </x:c>
      <x:c r="P733" s="63" t="str">
        <x:v>1-2步</x:v>
      </x:c>
      <x:c r="Q733" s="63" t="str">
        <x:v>概念判断</x:v>
      </x:c>
      <x:c r="R733" s="63" t="str">
        <x:v>单状态</x:v>
      </x:c>
      <x:c r="S733" s="63" t="str">
        <x:v>无约束</x:v>
      </x:c>
      <x:c r="T733" s="63" t="str">
        <x:v>无</x:v>
      </x:c>
      <x:c r="U733" s="63" t="str">
        <x:v>无</x:v>
      </x:c>
      <x:c r="V733" s="63" t="str">
        <x:v>直接套用</x:v>
      </x:c>
    </x:row>
    <x:row r="734">
      <x:c r="A734" s="64" t="str">
        <x:v>​2572171293963620352</x:v>
      </x:c>
      <x:c r="B734" s="65" t="str">
        <x:v>基础题</x:v>
      </x:c>
      <x:c r="C734" s="65" t="str">
        <x:v>基础题</x:v>
      </x:c>
      <x:c r="D734" s="65" t="str">
        <x:v>基础题</x:v>
      </x:c>
      <x:c r="E734" s="65" t="str">
        <x:v>保留原GPT裁定</x:v>
      </x:c>
      <x:c r="F734" s="65" t="str">
        <x:v>高</x:v>
      </x:c>
      <x:c r="G734" s="65" t="str">
        <x:v>基础题</x:v>
      </x:c>
      <x:c r="H734" s="65" t="str">
        <x:v>基础题</x:v>
      </x:c>
      <x:c r="I734" s="65" t="str">
        <x:v>题干、解析与结构证据支持基础题：step=1-2步，题型=概念判断，状态=单状态，约束=无约束，推理=简单因果推理。教师、盲评和多次模型证据中未形成足以推翻原裁定的同向结构证据。</x:v>
      </x:c>
      <x:c r="J734" s="65" t="str">
        <x:v>未进入三次错题并集；逐题结构一致性复核</x:v>
      </x:c>
      <x:c r="K734" s="63" t="str">
        <x:v>下列说法中正确的是（ ）</x:v>
      </x:c>
      <x:c r="L734" s="63" t="str">
        <x:v>A. 多次测量求平均值可以减小因测量工具不精确而产生的误差 B. 测量时选用的工具越精密越好 C. 学生用钢尺的最大测量长度为15cm,因此，无法用它来测量宽度约为50cm的课桌的宽度 D. 测量长度时，也可以使用零刻度线磨损的尺子</x:v>
      </x:c>
      <x:c r="M734" s="63" t="str">
        <x:v>解： A、多次测量求平均值可以减小误差，能减小人为读数而产生的误差，但是不能减小因测量工具不精确而产生的错误，故A错误。 B、测量时要根据测量要求选择合适的测量工具，测量工具不是越精确越好，故B错误。 C、虽然学生用钢尺的最大测量长度为15cm,课桌的宽度是50cm,但可以采用“连续测量并将结果相加”的方法测出课桌的宽度，故C错误。 D、测量长度时，也可以使用零刻度线磨损的尺子，只是测量的时候从没磨损的刻度开始算起，故D正确。 故选：D。</x:v>
      </x:c>
      <x:c r="N734" s="63" t="str">
        <x:v>https://k12static.xdf.cn/k12/image/externalized/647412c8-7063-445f-9847-e517938e7385.png</x:v>
      </x:c>
      <x:c r="O734" s="63" t="str">
        <x:v>https://k12static.xdf.cn/k12/image/externalized/f999caf3-751d-4fbb-ba40-9069d08c6a0f.png</x:v>
      </x:c>
      <x:c r="P734" s="63" t="str">
        <x:v>1-2步</x:v>
      </x:c>
      <x:c r="Q734" s="63" t="str">
        <x:v>概念判断</x:v>
      </x:c>
      <x:c r="R734" s="63" t="str">
        <x:v>单状态</x:v>
      </x:c>
      <x:c r="S734" s="63" t="str">
        <x:v>无约束</x:v>
      </x:c>
      <x:c r="T734" s="63" t="str">
        <x:v>无</x:v>
      </x:c>
      <x:c r="U734" s="63" t="str">
        <x:v>无</x:v>
      </x:c>
      <x:c r="V734" s="63" t="str">
        <x:v>简单因果推理</x:v>
      </x:c>
    </x:row>
    <x:row r="735">
      <x:c r="A735" s="64" t="str">
        <x:v>​2577586737998307328</x:v>
      </x:c>
      <x:c r="B735" s="65" t="str">
        <x:v>基础题</x:v>
      </x:c>
      <x:c r="C735" s="65" t="str">
        <x:v>基础题</x:v>
      </x:c>
      <x:c r="D735" s="65" t="str">
        <x:v>基础题</x:v>
      </x:c>
      <x:c r="E735" s="65" t="str">
        <x:v>逐题复核后保留GPT裁定</x:v>
      </x:c>
      <x:c r="F735" s="65" t="str">
        <x:v>高</x:v>
      </x:c>
      <x:c r="G735" s="65" t="str">
        <x:v>基础题</x:v>
      </x:c>
      <x:c r="H735" s="65" t="str">
        <x:v>基础题</x:v>
      </x:c>
      <x:c r="I735" s="65" t="str">
        <x:v>多个空/选项彼此独立，不形成连续链；最高难任务属于教材概念与常规物理关系中的1—2步直接应用、规范操作或简单因果判断。需要理解/应用而非纯识记，但没有共享中间结论、完整连续过程或隐含转换。</x:v>
      </x:c>
      <x:c r="J735" s="65" t="str">
        <x:v>三次运行错题并集逐题复核</x:v>
      </x:c>
      <x:c r="K735" s="63" t="str">
        <x:v>某同学用最小刻度为厘米的刻度尺先后四次测得练习册的长度是18.0cm,18.1cm,18.2cm,18.3cm,则练习册的真实长度较接近下列哪一个值？（ ）</x:v>
      </x:c>
      <x:c r="L735" s="63" t="str">
        <x:v>A. 18.1cm B. 18.15cm C. 18.2cm D. 18.3cm</x:v>
      </x:c>
      <x:c r="M735" s="63" t="str">
        <x:v>解：由4次测量的数值以及刻度尺的使用方法可以知道：此时使用的刻度尺的分度值为cm,所以： 4次测量所得的数值的平均值为：$\frac{18.0cm+18.1cm+18.2cm+18.3cm}{4}$=18.15cm≈18.2cm。 故选：C。</x:v>
      </x:c>
      <x:c r="N735" s="63" t="str">
        <x:v>https://k12static.xdf.cn/k12/image/externalized/d908f962-45ae-4107-b894-4d64a3c80d0f.png</x:v>
      </x:c>
      <x:c r="O735" s="63" t="str">
        <x:v>https://k12static.xdf.cn/k12/image/externalized/74f25961-5f11-4cb4-9a51-d5ee8383830f.png</x:v>
      </x:c>
      <x:c r="P735" s="63" t="str">
        <x:v>1-2步</x:v>
      </x:c>
      <x:c r="Q735" s="63" t="str">
        <x:v>概念判断</x:v>
      </x:c>
      <x:c r="R735" s="63" t="str">
        <x:v>单状态</x:v>
      </x:c>
      <x:c r="S735" s="63" t="str">
        <x:v>无约束</x:v>
      </x:c>
      <x:c r="T735" s="63" t="str">
        <x:v>基础操作或读数</x:v>
      </x:c>
      <x:c r="U735" s="63" t="str">
        <x:v>无</x:v>
      </x:c>
      <x:c r="V735" s="63" t="str">
        <x:v>简单因果推理</x:v>
      </x:c>
    </x:row>
    <x:row r="736">
      <x:c r="A736" s="64" t="str">
        <x:v>​2578919297101701120</x:v>
      </x:c>
      <x:c r="B736" s="65" t="str">
        <x:v>中等题</x:v>
      </x:c>
      <x:c r="C736" s="65" t="str">
        <x:v>中等题</x:v>
      </x:c>
      <x:c r="D736" s="65" t="str">
        <x:v>中等题</x:v>
      </x:c>
      <x:c r="E736" s="65" t="str">
        <x:v>保留原GPT裁定</x:v>
      </x:c>
      <x:c r="F736" s="65" t="str">
        <x:v>高</x:v>
      </x:c>
      <x:c r="G736" s="65" t="str">
        <x:v>中等题</x:v>
      </x:c>
      <x:c r="H736" s="65" t="str">
        <x:v>中等题</x:v>
      </x:c>
      <x:c r="I736" s="65" t="str">
        <x:v>题干、解析与结构证据支持中等题：step=3-5步，题型=图像表格分析，状态=双状态，约束=单一约束，推理=多层因果推理。教师、盲评和多次模型证据中未形成足以推翻原裁定的同向结构证据。</x:v>
      </x:c>
      <x:c r="J736" s="65" t="str">
        <x:v>未进入三次错题并集；逐题结构一致性复核</x:v>
      </x:c>
      <x:c r="K736" s="63" t="str">
        <x:v>如图所示，小明在某次实验研究中，利用电子秤和量筒测量了几组液体和量筒的总质量m及相应液体的体积V，并绘出了m-V图象。由此可知下列说法中正确的是（ ）</x:v>
      </x:c>
      <x:c r="L736" s="63" t="str">
        <x:v>A. 该液体密度为1.1g/cm3 B. 量筒质量为30g C. 80g该液体的体积为100cm3 D. 75cm3该液体的重0.6N</x:v>
      </x:c>
      <x:c r="M736" s="63" t="str">
        <x:v>解：AB、设量杯的质量为m量筒，液体的密度为ρ， 读图可知，当液体体积为V1=25cm3时，液体和杯的总质量m总1=m1+m量筒=50g, 由此可得：ρ×25cm3+m量筒=50g......① 当液体体积为V2=100cm3时，液体和杯的总质量m总2=m2+m量筒=110g, 可得：ρ×100cm3+m量筒=110g......② ②-①得解得：液体的密度ρ=0.8g/cm3=0.8×103kg/m3； 代入①得m量筒=30g； 故A错误，B正确； C、根据密度公式得，80g该液体的体积为：V3=$\frac{{m}_{3}}{ρ}=\frac{80g}{0.8g/c{m}^{3}}$=100cm3，故C正确； D、当液体的体积V4=75cm3时，由ρ=可得液体质量：m4=ρ×V4=0.8g/cm3×75cm3=60g,该液体的重G=m4g=40×10-3kg×10N/kg=0.4N，故D错误。 故选：BC。</x:v>
      </x:c>
      <x:c r="N736" s="63" t="str">
        <x:v>https://k12static.xdf.cn/k12/image/externalized/4e32ea51-3173-4d29-be5c-4bbf5527fcb1.png</x:v>
      </x:c>
      <x:c r="O736" s="63" t="str">
        <x:v>https://k12static.xdf.cn/k12/image/externalized/05b8469f-3e02-4ad1-a960-84f02e062522.png</x:v>
      </x:c>
      <x:c r="P736" s="63" t="str">
        <x:v>3-5步</x:v>
      </x:c>
      <x:c r="Q736" s="63" t="str">
        <x:v>图像表格分析</x:v>
      </x:c>
      <x:c r="R736" s="63" t="str">
        <x:v>双状态</x:v>
      </x:c>
      <x:c r="S736" s="63" t="str">
        <x:v>单一约束</x:v>
      </x:c>
      <x:c r="T736" s="63" t="str">
        <x:v>无</x:v>
      </x:c>
      <x:c r="U736" s="63" t="str">
        <x:v>图像反推或外推</x:v>
      </x:c>
      <x:c r="V736" s="63" t="str">
        <x:v>多层因果推理</x:v>
      </x:c>
    </x:row>
    <x:row r="737">
      <x:c r="A737" s="64" t="str">
        <x:v>​2579079982462824448</x:v>
      </x:c>
      <x:c r="B737" s="65" t="str">
        <x:v>中等题</x:v>
      </x:c>
      <x:c r="C737" s="65" t="str">
        <x:v>中等题</x:v>
      </x:c>
      <x:c r="D737" s="65" t="str">
        <x:v>中等题</x:v>
      </x:c>
      <x:c r="E737" s="65" t="str">
        <x:v>逐题复核后保留GPT裁定</x:v>
      </x:c>
      <x:c r="F737" s="65" t="str">
        <x:v>高</x:v>
      </x:c>
      <x:c r="G737" s="65" t="str">
        <x:v>中等题</x:v>
      </x:c>
      <x:c r="H737" s="65" t="str">
        <x:v>中等题</x:v>
      </x:c>
      <x:c r="I737" s="65" t="str">
        <x:v>存在约3—4步常规连续分析、共享过程或完整标准实验任务，关系仍显性。 题目证据：最高难选项实际有效推理约3-4步。五维中知识量为2-3个热学知识点关联，过程为固态熔化、液态升温两个状态，数学工具为多公式常规计算，情境为标准晶体熔化吸热实验，思维层次为常规分析。任务核心是利用酒精灯恒定放热，得到相同时间吸热相等的关系，再结合比热容公式计算、比较内能和加热效率，属于晶体熔化实验中吸热规律与比热容计算的常规综合。</x:v>
      </x:c>
      <x:c r="J737" s="65" t="str">
        <x:v>三次运行错题并集逐题复核</x:v>
      </x:c>
      <x:c r="K737" s="63" t="str">
        <x:v>为了探究某物质在固态和液态时的吸热升温情况，小明同学用酒精灯（火焰大小保持不变）均匀加热0.4kg该种固体，根据实验数据绘制出的图线如图所示，经测量BC阶段消耗热值为3.0×107J/kg的酒精10g（假设酒精完全燃烧），通过查阅资料已知该物质液态时的比热容为3×103J/（kg•℃）。下列说法正确的是（ ）</x:v>
      </x:c>
      <x:c r="L737" s="63" t="str">
        <x:v>A. 该物质在B点时的内能等于在A点时的内能 B. 该物质在AB段共吸收了4.8×104J的热量 C. 该物质在固态时的比热容为1.2×103J/（kg•℃） D. 在BC阶段的加热效率为16%</x:v>
      </x:c>
      <x:c r="M737" s="63" t="str">
        <x:v>解：A、AB段该物质在熔化，在B点时的内能大于在A点时的内能，故A错误。 B、在BC段吸收的热量：Q吸=cmΔt=3×103J/（kg•℃）×0.4kg×40℃=4.8×104J，物质在AB段吸收的热量等于BC段吸收的热量，故B正确。 C、该物质在固态时升高40℃用时是液态是的一半，吸热也是液态时的一半，故它的比热容为1.5×103J/（kg•℃），故C错误。 D、酒精燃烧发出的热量Q放=qm=3.0×107J/kg×0.01kg=3.0×105J，Q吸=4.8×104J，在BC阶段的加热效率： η=$\frac{{Q}_{吸}}{{Q}_{放}}$=$\frac{4.8×1{0}^{4}J}{3×1{0}^{5}J}$=16%，故D正确。 故选：BD。</x:v>
      </x:c>
      <x:c r="N737" s="63" t="str">
        <x:v>https://k12static.xdf.cn/k12/image/externalized/c7568d70-cfa3-4107-9044-1502e3bd6f6e.png</x:v>
      </x:c>
      <x:c r="O737" s="63" t="str">
        <x:v>https://k12static.xdf.cn/k12/image/externalized/1f9c03a1-6608-4ac7-b138-b7f52b839dc4.png</x:v>
      </x:c>
      <x:c r="P737" s="63" t="str">
        <x:v>3-5步</x:v>
      </x:c>
      <x:c r="Q737" s="63" t="str">
        <x:v>实验探究</x:v>
      </x:c>
      <x:c r="R737" s="63" t="str">
        <x:v>双状态</x:v>
      </x:c>
      <x:c r="S737" s="63" t="str">
        <x:v>单一约束</x:v>
      </x:c>
      <x:c r="T737" s="63" t="str">
        <x:v>控制变量或故障分析</x:v>
      </x:c>
      <x:c r="U737" s="63" t="str">
        <x:v>多组比较归纳</x:v>
      </x:c>
      <x:c r="V737" s="63" t="str">
        <x:v>多层因果推理</x:v>
      </x:c>
    </x:row>
    <x:row r="738">
      <x:c r="A738" s="64" t="str">
        <x:v>​2580093116057702400</x:v>
      </x:c>
      <x:c r="B738" s="65" t="str">
        <x:v>基础题</x:v>
      </x:c>
      <x:c r="C738" s="65" t="str">
        <x:v>基础题</x:v>
      </x:c>
      <x:c r="D738" s="65" t="str">
        <x:v>基础题</x:v>
      </x:c>
      <x:c r="E738" s="65" t="str">
        <x:v>保留原GPT裁定</x:v>
      </x:c>
      <x:c r="F738" s="65" t="str">
        <x:v>高</x:v>
      </x:c>
      <x:c r="G738" s="65" t="str">
        <x:v>基础题</x:v>
      </x:c>
      <x:c r="H738" s="65" t="str">
        <x:v>基础题</x:v>
      </x:c>
      <x:c r="I738" s="65" t="str">
        <x:v>题干、解析与结构证据支持基础题：step=1-2步，题型=概念判断，状态=单状态，约束=无约束，推理=简单因果推理。教师、盲评和多次模型证据中未形成足以推翻原裁定的同向结构证据。</x:v>
      </x:c>
      <x:c r="J738" s="65" t="str">
        <x:v>未进入三次错题并集；逐题结构一致性复核</x:v>
      </x:c>
      <x:c r="K738" s="63" t="str">
        <x:v>在敲响古刹里的大钟时，有的同学发现停止了对大钟的撞击后，大钟仍“余音未绝”，下列分析原因错误的是（ ）</x:v>
      </x:c>
      <x:c r="L738" s="63" t="str">
        <x:v>A. 大钟的回声 B. 大钟在继续振动 C. 人的听觉发生“暂留”缘故 D. 大钟虽停止振动，但空气仍在振动</x:v>
      </x:c>
      <x:c r="M738" s="63" t="str">
        <x:v>解：敲击大钟后，大钟振动发出声音，但敲击停止后，大钟的振动却没有停止，所以会有“余音未绝”； 由此判断选项A、C、D错误。符合题意，B正确，不符合题意； 故选：ACD。</x:v>
      </x:c>
      <x:c r="N738" s="63" t="str">
        <x:v>https://k12static.xdf.cn/k12/image/externalized/c3d2116d-fee5-4b1b-a4ab-a5a444bac3fc.png</x:v>
      </x:c>
      <x:c r="O738" s="63" t="str">
        <x:v>https://k12static.xdf.cn/k12/image/externalized/8af6fdc2-58c1-43bd-b8d9-5ae57321a3ba.png</x:v>
      </x:c>
      <x:c r="P738" s="63" t="str">
        <x:v>1-2步</x:v>
      </x:c>
      <x:c r="Q738" s="63" t="str">
        <x:v>概念判断</x:v>
      </x:c>
      <x:c r="R738" s="63" t="str">
        <x:v>单状态</x:v>
      </x:c>
      <x:c r="S738" s="63" t="str">
        <x:v>无约束</x:v>
      </x:c>
      <x:c r="T738" s="63" t="str">
        <x:v>无</x:v>
      </x:c>
      <x:c r="U738" s="63" t="str">
        <x:v>无</x:v>
      </x:c>
      <x:c r="V738" s="63" t="str">
        <x:v>简单因果推理</x:v>
      </x:c>
    </x:row>
    <x:row r="739">
      <x:c r="A739" s="64" t="str">
        <x:v>​2580386279006679040</x:v>
      </x:c>
      <x:c r="B739" s="65" t="str">
        <x:v>基础题</x:v>
      </x:c>
      <x:c r="C739" s="65" t="str">
        <x:v>基础题</x:v>
      </x:c>
      <x:c r="D739" s="65" t="str">
        <x:v>基础题</x:v>
      </x:c>
      <x:c r="E739" s="65" t="str">
        <x:v>保留原GPT裁定</x:v>
      </x:c>
      <x:c r="F739" s="65" t="str">
        <x:v>高</x:v>
      </x:c>
      <x:c r="G739" s="65" t="str">
        <x:v>基础题</x:v>
      </x:c>
      <x:c r="H739" s="65" t="str">
        <x:v>基础题</x:v>
      </x:c>
      <x:c r="I739" s="65" t="str">
        <x:v>题干、解析与结构证据支持基础题：step=1-2步，题型=概念判断，状态=单状态，约束=无约束，推理=简单因果推理。教师、盲评和多次模型证据中未形成足以推翻原裁定的同向结构证据。</x:v>
      </x:c>
      <x:c r="J739" s="65" t="str">
        <x:v>未进入三次错题并集；逐题结构一致性复核</x:v>
      </x:c>
      <x:c r="K739" s="63" t="str">
        <x:v>母亲节到了，小明购买了一个上端开口的爱心温度计，当手包裹住底端玻璃泡时，玻璃泡温度上升，内部气体受热膨胀，使管中液体迅速上升，形成一个爱心形状。下列说法正确的是（ ）</x:v>
      </x:c>
      <x:c r="L739" s="63" t="str">
        <x:v>A. 爱心温度计内液面上升主要是由于玻璃泡受到手的挤压 B. 爱心温度计的工作原理是底部玻璃泡内的液体热胀冷缩使液面升降 C. 夏季静止在桌面上的爱心温度计液柱较高 D. 冬季静止在桌面上的爱心温度计液柱较高</x:v>
      </x:c>
      <x:c r="M739" s="63" t="str">
        <x:v>解：A.爱心温度计内液面上升主要是由于内部气体受热膨胀导致的，故A错误； B.爱心温度计的工作原理是底部玻璃泡内的气体热胀冷缩使液面升降，故B错误； CD.冬季气温低，夏季气温高，静止在桌面上的爱心温度计在夏季时液柱较高，冬季时液柱较低，故C正确，D错误。 故选：C。</x:v>
      </x:c>
      <x:c r="N739" s="63" t="str">
        <x:v>https://k12static.xdf.cn/k12/image/externalized/8294f908-26cb-4b62-b51a-8bc86bf68216.png</x:v>
      </x:c>
      <x:c r="O739" s="63" t="str">
        <x:v>https://k12static.xdf.cn/k12/image/externalized/7cf794f0-16d5-4423-9b22-39292d418f48.png</x:v>
      </x:c>
      <x:c r="P739" s="63" t="str">
        <x:v>1-2步</x:v>
      </x:c>
      <x:c r="Q739" s="63" t="str">
        <x:v>概念判断</x:v>
      </x:c>
      <x:c r="R739" s="63" t="str">
        <x:v>单状态</x:v>
      </x:c>
      <x:c r="S739" s="63" t="str">
        <x:v>无约束</x:v>
      </x:c>
      <x:c r="T739" s="63" t="str">
        <x:v>无</x:v>
      </x:c>
      <x:c r="U739" s="63" t="str">
        <x:v>无</x:v>
      </x:c>
      <x:c r="V739" s="63" t="str">
        <x:v>简单因果推理</x:v>
      </x:c>
    </x:row>
    <x:row r="740">
      <x:c r="A740" s="64" t="str">
        <x:v>​2581827311899029504</x:v>
      </x:c>
      <x:c r="B740" s="65" t="str">
        <x:v>中等题</x:v>
      </x:c>
      <x:c r="C740" s="65" t="str">
        <x:v>中等题</x:v>
      </x:c>
      <x:c r="D740" s="65" t="str">
        <x:v>中等题</x:v>
      </x:c>
      <x:c r="E740" s="65" t="str">
        <x:v>保留原GPT裁定</x:v>
      </x:c>
      <x:c r="F740" s="65" t="str">
        <x:v>高</x:v>
      </x:c>
      <x:c r="G740" s="65" t="str">
        <x:v>中等题</x:v>
      </x:c>
      <x:c r="H740" s="65" t="str">
        <x:v>中等题</x:v>
      </x:c>
      <x:c r="I740" s="65" t="str">
        <x:v>题干、解析与结构证据支持中等题：step=3-5步，题型=概念判断，状态=双状态，约束=单一约束，推理=多层因果推理。教师、盲评和多次模型证据中未形成足以推翻原裁定的同向结构证据。</x:v>
      </x:c>
      <x:c r="J740" s="65" t="str">
        <x:v>未进入三次错题并集；逐题结构一致性复核</x:v>
      </x:c>
      <x:c r="K740" s="63" t="str">
        <x:v>如图所示，为检验家庭电路有无故障，在进户线的干路上串联一只普通白炽灯L2作为“校验灯”，闭合开关S1进行检验，下列说法中正确的有（ ） ①若L2发光较暗，则该电路无故障 ②若L2发光正常，则该电路无故障 ③若L2发光正常，若此时用测电笔检测A点，氖管会发光 ④若L2发光正常，若此时用测电笔检测A点，氖管不会发光</x:v>
      </x:c>
      <x:c r="L740" s="63" t="str">
        <x:v>A. ①③ B. ①④ C. ②④ D. ②③</x:v>
      </x:c>
      <x:c r="M740" s="63" t="str">
        <x:v>解：在进户线的干路上串联一只普通白炽灯L2作为“校验灯”，闭合开关S1进行检验， 若L2发光较暗，说明L2两端的电压小于额定电压，由串联电路电压规律可知，电路中的其它用电器分担了电压，该电路无故障； 若L2发光正常，说明L2两端的电压等于额定电压，则该家庭电路未分担任何电压，即家庭电路中有短路现象，此时，L2的左端与火线相连，右端接零线，若此时用测电笔检测A点，接触的是零线，氖管不发光。 故②③错误，①④正确。 故选：B。</x:v>
      </x:c>
      <x:c r="N740" s="63" t="str">
        <x:v>https://k12static.xdf.cn/k12/image/externalized/a8165720-ebe1-4c0f-ba9d-7219e7627703.png</x:v>
      </x:c>
      <x:c r="O740" s="63" t="str">
        <x:v>https://k12static.xdf.cn/k12/image/externalized/ed8f8180-3931-465f-93b1-3ff728a38125.png</x:v>
      </x:c>
      <x:c r="P740" s="63" t="str">
        <x:v>3-5步</x:v>
      </x:c>
      <x:c r="Q740" s="63" t="str">
        <x:v>概念判断</x:v>
      </x:c>
      <x:c r="R740" s="63" t="str">
        <x:v>双状态</x:v>
      </x:c>
      <x:c r="S740" s="63" t="str">
        <x:v>单一约束</x:v>
      </x:c>
      <x:c r="T740" s="63" t="str">
        <x:v>无</x:v>
      </x:c>
      <x:c r="U740" s="63" t="str">
        <x:v>无</x:v>
      </x:c>
      <x:c r="V740" s="63" t="str">
        <x:v>多层因果推理</x:v>
      </x:c>
    </x:row>
    <x:row r="741">
      <x:c r="A741" s="64" t="str">
        <x:v>​2583470256362905600</x:v>
      </x:c>
      <x:c r="B741" s="65" t="str">
        <x:v>基础题</x:v>
      </x:c>
      <x:c r="C741" s="65" t="str">
        <x:v>基础题</x:v>
      </x:c>
      <x:c r="D741" s="65" t="str">
        <x:v>基础题</x:v>
      </x:c>
      <x:c r="E741" s="65" t="str">
        <x:v>保留原GPT裁定</x:v>
      </x:c>
      <x:c r="F741" s="65" t="str">
        <x:v>高</x:v>
      </x:c>
      <x:c r="G741" s="65" t="str">
        <x:v>基础题</x:v>
      </x:c>
      <x:c r="H741" s="65" t="str">
        <x:v>基础题</x:v>
      </x:c>
      <x:c r="I741" s="65" t="str">
        <x:v>题干、解析与结构证据支持基础题：step=1-2步，题型=概念判断，状态=单状态，约束=无约束，推理=简单因果推理。教师、盲评和多次模型证据中未形成足以推翻原裁定的同向结构证据。</x:v>
      </x:c>
      <x:c r="J741" s="65" t="str">
        <x:v>未进入三次错题并集；逐题结构一致性复核</x:v>
      </x:c>
      <x:c r="K741" s="63" t="str">
        <x:v>如图所示，为某品牌风扇调速器和用于调速的电位器结构图，1、2、3是它的三个接线柱，如果要使滑片P顺时针转动时风扇转速加快，下列连接方法正确的是（ ）</x:v>
      </x:c>
      <x:c r="L741" s="63" t="str">
        <x:v>A. 1与2 B. 2与3 C. 1与3 D. 以上连接方法都正确</x:v>
      </x:c>
      <x:c r="M741" s="63" t="str">
        <x:v>解：电位器是通过改变接入电路中电阻丝的长度来改变电阻，从而改变电路的电流达到改变风扇转速的目的；欲使滑片P顺时针转动时风扇转速加快，电路中电流变大，电位器接入电路的电阻变小，故接1、2两个接线柱。 故选：A。</x:v>
      </x:c>
      <x:c r="N741" s="63" t="str">
        <x:v>https://k12static.xdf.cn/k12/image/externalized/bdd60513-2c97-4c58-836d-2fe4bcfd7e38.png</x:v>
      </x:c>
      <x:c r="O741" s="63" t="str">
        <x:v>https://k12static.xdf.cn/k12/image/externalized/14aeb164-0938-4316-ad14-c2525491a04f.png</x:v>
      </x:c>
      <x:c r="P741" s="63" t="str">
        <x:v>1-2步</x:v>
      </x:c>
      <x:c r="Q741" s="63" t="str">
        <x:v>概念判断</x:v>
      </x:c>
      <x:c r="R741" s="63" t="str">
        <x:v>单状态</x:v>
      </x:c>
      <x:c r="S741" s="63" t="str">
        <x:v>无约束</x:v>
      </x:c>
      <x:c r="T741" s="63" t="str">
        <x:v>无</x:v>
      </x:c>
      <x:c r="U741" s="63" t="str">
        <x:v>无</x:v>
      </x:c>
      <x:c r="V741" s="63" t="str">
        <x:v>简单因果推理</x:v>
      </x:c>
    </x:row>
    <x:row r="742">
      <x:c r="A742" s="64" t="str">
        <x:v>​2588058127441338368</x:v>
      </x:c>
      <x:c r="B742" s="65" t="str">
        <x:v>基础题</x:v>
      </x:c>
      <x:c r="C742" s="65" t="str">
        <x:v>基础题</x:v>
      </x:c>
      <x:c r="D742" s="65" t="str">
        <x:v>基础题</x:v>
      </x:c>
      <x:c r="E742" s="65" t="str">
        <x:v>保留原GPT裁定</x:v>
      </x:c>
      <x:c r="F742" s="65" t="str">
        <x:v>高</x:v>
      </x:c>
      <x:c r="G742" s="65" t="str">
        <x:v>基础题</x:v>
      </x:c>
      <x:c r="H742" s="65" t="str">
        <x:v>基础题</x:v>
      </x:c>
      <x:c r="I742" s="65" t="str">
        <x:v>题干、解析与结构证据支持基础题：step=1-2步，题型=电路综合，状态=单状态，约束=无约束，推理=简单因果推理。教师、盲评和多次模型证据中未形成足以推翻原裁定的同向结构证据。</x:v>
      </x:c>
      <x:c r="J742" s="65" t="str">
        <x:v>未进入三次错题并集；逐题结构一致性复核</x:v>
      </x:c>
      <x:c r="K742" s="63" t="str">
        <x:v>二氧化锡传感器能用于汽车尾气中一氧化碳浓度的检测，它的原理是其中的电阻随一氧化碳浓度的增大而减小。将二氧化锡传感器接入如图所示的电路中，则当二氧化锡传感器所处空间中的一氧化碳浓度增大时，电压表示数U与电流表示数I发生变化，其中正确的是（ ）</x:v>
      </x:c>
      <x:c r="L742" s="63" t="str">
        <x:v>A. U变大，I变大 B. U变小，I变小 C. U变小，I变大 D. U变大，I变小</x:v>
      </x:c>
      <x:c r="M742" s="63" t="str">
        <x:v>解：电阻R及传感串联在电源两端，当一氧化碳浓度增大时，传感器中的电阻减小，由欧姆定律可得电路中的电流增大，故电流表示增大； 因电压表并联在R两端，故电压表测量R两端的电压，因电流增大，则由欧姆定律可得R两端的电压增大，故电压表示数变大。 故选：A。</x:v>
      </x:c>
      <x:c r="N742" s="63" t="str">
        <x:v>https://k12static.xdf.cn/k12/image/externalized/97beb6d3-ef62-428c-8f12-9d1904834723.png</x:v>
      </x:c>
      <x:c r="O742" s="63" t="str">
        <x:v>https://k12static.xdf.cn/k12/image/externalized/988174fc-111d-4ad6-be95-6773f279a1cc.png</x:v>
      </x:c>
      <x:c r="P742" s="63" t="str">
        <x:v>1-2步</x:v>
      </x:c>
      <x:c r="Q742" s="63" t="str">
        <x:v>电路综合</x:v>
      </x:c>
      <x:c r="R742" s="63" t="str">
        <x:v>单状态</x:v>
      </x:c>
      <x:c r="S742" s="63" t="str">
        <x:v>无约束</x:v>
      </x:c>
      <x:c r="T742" s="63" t="str">
        <x:v>无</x:v>
      </x:c>
      <x:c r="U742" s="63" t="str">
        <x:v>无</x:v>
      </x:c>
      <x:c r="V742" s="63" t="str">
        <x:v>简单因果推理</x:v>
      </x:c>
    </x:row>
    <x:row r="743">
      <x:c r="A743" s="64" t="str">
        <x:v>​2588783252744179712</x:v>
      </x:c>
      <x:c r="B743" s="65" t="str">
        <x:v>送分题</x:v>
      </x:c>
      <x:c r="C743" s="65" t="str">
        <x:v>送分题</x:v>
      </x:c>
      <x:c r="D743" s="65" t="str">
        <x:v>送分题</x:v>
      </x:c>
      <x:c r="E743" s="65" t="str">
        <x:v>逐题复核后保留GPT裁定</x:v>
      </x:c>
      <x:c r="F743" s="65" t="str">
        <x:v>高</x:v>
      </x:c>
      <x:c r="G743" s="65" t="str">
        <x:v>送分题</x:v>
      </x:c>
      <x:c r="H743" s="65" t="str">
        <x:v>送分题</x:v>
      </x:c>
      <x:c r="I743" s="65" t="str">
        <x:v>只需识别一个熟悉教材模板，没有第二次物理决策。 题目证据：最长连续链仅1步有效推理，每个选项仅需调用单一物态变化概念直接识别，属于直接检索不同物态变化对应生活现象。四个选项彼此独立，均考查对液化概念的直接辨析，不需要复杂过程分析。</x:v>
      </x:c>
      <x:c r="J743" s="65" t="str">
        <x:v>三次运行错题并集逐题复核</x:v>
      </x:c>
      <x:c r="K743" s="63" t="str">
        <x:v>下列现象涉及的物态变化属于液化的是（ ）</x:v>
      </x:c>
      <x:c r="L743" s="63" t="str">
        <x:v>A. 冰雕变小 B. 浓雾消散 C. 草叶上的霜 D. 壶口的白气</x:v>
      </x:c>
      <x:c r="M743" s="63" t="str">
        <x:v>解：A、冰雕变小是升华现象，故A错误； B、浓雾消散是汽化现象，故B错误； C、霜的形成是凝华现象，故C错误； D、白气是水蒸气液化形成，故D正确。 故选：D。</x:v>
      </x:c>
      <x:c r="N743" s="63" t="str">
        <x:v>https://k12static.xdf.cn/k12/image/externalized/cdff59a5-426b-4f1f-9ae8-6371cd13f9b2.png</x:v>
      </x:c>
      <x:c r="O743" s="63" t="str">
        <x:v>https://k12static.xdf.cn/k12/image/externalized/2e9897ff-4d13-4ece-b118-46d52bde25b6.png</x:v>
      </x:c>
      <x:c r="P743" s="63" t="str">
        <x:v>1-2步</x:v>
      </x:c>
      <x:c r="Q743" s="63" t="str">
        <x:v>概念判断</x:v>
      </x:c>
      <x:c r="R743" s="63" t="str">
        <x:v>单状态</x:v>
      </x:c>
      <x:c r="S743" s="63" t="str">
        <x:v>无约束</x:v>
      </x:c>
      <x:c r="T743" s="63" t="str">
        <x:v>无</x:v>
      </x:c>
      <x:c r="U743" s="63" t="str">
        <x:v>无</x:v>
      </x:c>
      <x:c r="V743" s="63" t="str">
        <x:v>直接套用</x:v>
      </x:c>
    </x:row>
    <x:row r="744">
      <x:c r="A744" s="64" t="str">
        <x:v>​2588783622091489280</x:v>
      </x:c>
      <x:c r="B744" s="65" t="str">
        <x:v>送分题</x:v>
      </x:c>
      <x:c r="C744" s="65" t="str">
        <x:v>送分题</x:v>
      </x:c>
      <x:c r="D744" s="65" t="str">
        <x:v>送分题</x:v>
      </x:c>
      <x:c r="E744" s="65" t="str">
        <x:v>保留原GPT裁定</x:v>
      </x:c>
      <x:c r="F744" s="65" t="str">
        <x:v>高</x:v>
      </x:c>
      <x:c r="G744" s="65" t="str">
        <x:v>送分题</x:v>
      </x:c>
      <x:c r="H744" s="65" t="str">
        <x:v>送分题</x:v>
      </x:c>
      <x:c r="I744" s="65" t="str">
        <x:v>题干、解析与结构证据支持送分题：step=1-2步，题型=概念判断，状态=单状态，约束=无约束，推理=直接套用。教师、盲评和多次模型证据中未形成足以推翻原裁定的同向结构证据。</x:v>
      </x:c>
      <x:c r="J744" s="65" t="str">
        <x:v>未进入三次错题并集；逐题结构一致性复核</x:v>
      </x:c>
      <x:c r="K744" s="63" t="str">
        <x:v>唐诗《小寒》中有“霜鹰近北首，雊雉隐丛茅”的诗句。关于诗中所说的“霜”的形成，下列说法正确的是（ ）</x:v>
      </x:c>
      <x:c r="L744" s="63" t="str">
        <x:v>A. 凝固，吸热过程 B. 凝固，放热过程 C. 凝华，吸热过程 D. 凝华，放热过程</x:v>
      </x:c>
      <x:c r="M744" s="63" t="str">
        <x:v>解：霜是空气中的水蒸气遇冷凝华为固体的冰晶，附着在建筑物或植被表面，此过程中放热； 故选：D。</x:v>
      </x:c>
      <x:c r="N744" s="63" t="str">
        <x:v>https://k12static.xdf.cn/k12/image/externalized/4ab55362-90f9-4c6d-ab33-4d577a2688c9.png</x:v>
      </x:c>
      <x:c r="O744" s="63" t="str">
        <x:v>https://k12static.xdf.cn/k12/image/externalized/2013c40d-199c-4a29-a76c-31b1f7c957be.png</x:v>
      </x:c>
      <x:c r="P744" s="63" t="str">
        <x:v>1-2步</x:v>
      </x:c>
      <x:c r="Q744" s="63" t="str">
        <x:v>概念判断</x:v>
      </x:c>
      <x:c r="R744" s="63" t="str">
        <x:v>单状态</x:v>
      </x:c>
      <x:c r="S744" s="63" t="str">
        <x:v>无约束</x:v>
      </x:c>
      <x:c r="T744" s="63" t="str">
        <x:v>无</x:v>
      </x:c>
      <x:c r="U744" s="63" t="str">
        <x:v>无</x:v>
      </x:c>
      <x:c r="V744" s="63" t="str">
        <x:v>直接套用</x:v>
      </x:c>
    </x:row>
    <x:row r="745">
      <x:c r="A745" s="64" t="str">
        <x:v>​2589528265976807424</x:v>
      </x:c>
      <x:c r="B745" s="65" t="str">
        <x:v>基础题</x:v>
      </x:c>
      <x:c r="C745" s="65" t="str">
        <x:v>基础题</x:v>
      </x:c>
      <x:c r="D745" s="65" t="str">
        <x:v>基础题</x:v>
      </x:c>
      <x:c r="E745" s="65" t="str">
        <x:v>保留原GPT裁定</x:v>
      </x:c>
      <x:c r="F745" s="65" t="str">
        <x:v>高</x:v>
      </x:c>
      <x:c r="G745" s="65" t="str">
        <x:v>基础题</x:v>
      </x:c>
      <x:c r="H745" s="65" t="str">
        <x:v>基础题</x:v>
      </x:c>
      <x:c r="I745" s="65" t="str">
        <x:v>题干、解析与结构证据支持基础题：step=1-2步，题型=概念判断，状态=单状态，约束=无约束，推理=简单因果推理。教师、盲评和多次模型证据中未形成足以推翻原裁定的同向结构证据。</x:v>
      </x:c>
      <x:c r="J745" s="65" t="str">
        <x:v>未进入三次错题并集；逐题结构一致性复核</x:v>
      </x:c>
      <x:c r="K745" s="63" t="str">
        <x:v>福州江滨大道缤纷园入口处，安装了两盏“风光互补”景观节能灯，它“头顶”小风扇，“肩扛”太阳能电池板。关于节能灯的设计解释合理的是（ ）</x:v>
      </x:c>
      <x:c r="L745" s="63" t="str">
        <x:v>A. 小风扇是用来给太阳能电池板散热的 B. 蓄电池在白天充电时，将电能转化为化学能 C. 小风扇是风力发电机，将电能转化为机械能 D. 蓄电池在夜晚放电时，将电能转化为化学能</x:v>
      </x:c>
      <x:c r="M745" s="63" t="str">
        <x:v>解： A、小风扇的作用可以把风能转化为电能，不是用来散热的，故A错误； B、蓄电池在白天充电时，将电能转化为化学能，故B正确； C、小风扇是利用电磁感应现象把风能转化为电能，故C错误； D、蓄电池在夜晚放电时，将化学能转化为电能，故D错误。 故选：B。</x:v>
      </x:c>
      <x:c r="N745" s="63" t="str">
        <x:v>https://k12static.xdf.cn/k12/image/externalized/97431d0a-6e14-4c56-a947-a4569d75c357.png</x:v>
      </x:c>
      <x:c r="O745" s="63" t="str">
        <x:v>https://k12static.xdf.cn/k12/image/externalized/b0367b35-25d1-474c-96a9-80cca6124dc9.png</x:v>
      </x:c>
      <x:c r="P745" s="63" t="str">
        <x:v>1-2步</x:v>
      </x:c>
      <x:c r="Q745" s="63" t="str">
        <x:v>概念判断</x:v>
      </x:c>
      <x:c r="R745" s="63" t="str">
        <x:v>单状态</x:v>
      </x:c>
      <x:c r="S745" s="63" t="str">
        <x:v>无约束</x:v>
      </x:c>
      <x:c r="T745" s="63" t="str">
        <x:v>无</x:v>
      </x:c>
      <x:c r="U745" s="63" t="str">
        <x:v>无</x:v>
      </x:c>
      <x:c r="V745" s="63" t="str">
        <x:v>简单因果推理</x:v>
      </x:c>
    </x:row>
    <x:row r="746">
      <x:c r="A746" s="64" t="str">
        <x:v>​2594862980194119680</x:v>
      </x:c>
      <x:c r="B746" s="65" t="str">
        <x:v>中等题</x:v>
      </x:c>
      <x:c r="C746" s="65" t="str">
        <x:v>中等题</x:v>
      </x:c>
      <x:c r="D746" s="65" t="str">
        <x:v>中等题</x:v>
      </x:c>
      <x:c r="E746" s="65" t="str">
        <x:v>保留原GPT裁定</x:v>
      </x:c>
      <x:c r="F746" s="65" t="str">
        <x:v>高</x:v>
      </x:c>
      <x:c r="G746" s="65" t="str">
        <x:v>中等题</x:v>
      </x:c>
      <x:c r="H746" s="65" t="str">
        <x:v>中等题</x:v>
      </x:c>
      <x:c r="I746" s="65" t="str">
        <x:v>题干、解析与结构证据支持中等题：step=1-2步，题型=实验探究，状态=单状态，约束=无约束，推理=多层因果推理。教师、盲评和多次模型证据中未形成足以推翻原裁定的同向结构证据。</x:v>
      </x:c>
      <x:c r="J746" s="65" t="str">
        <x:v>未进入三次错题并集；逐题结构一致性复核</x:v>
      </x:c>
      <x:c r="K746" s="63" t="str">
        <x:v>小明按照图甲装置进行“探究水在沸腾前后温度变化的特点”的实验操作，然后根据实验数据绘制了图乙的温度一时间图像。下列有关该探究的说法中不正确的是（ ）</x:v>
      </x:c>
      <x:c r="L746" s="63" t="str">
        <x:v>A. 除图甲所示外，还需要的测量工具是电子停表 B. 规范组装器材，如图甲若温度计的玻璃泡接触杯底，应适当将A处上移 C. 如图甲，此时温度计显示的温度值为93℃ D. 根据图乙，可得结论是“水沸腾时，温度先升高，然后保持不变”</x:v>
      </x:c>
      <x:c r="M746" s="63" t="str">
        <x:v>解：A、探究水在沸腾前后温度变化的特点实验中，需要用电子停表计时，故A正确。 B、规范组装器材，如图甲若温度计的玻璃泡接触杯底，应适当将A处上移，故B正确。 C、温度计的一大格是10℃，一大格分为10小格，每格的温度为1℃，故分度值为1℃，此时液面对应的刻度为93℃，则温度为93℃，故C正确。 D、水沸腾时，继续吸热，温度保持不变，故D错误。 故选：D。</x:v>
      </x:c>
      <x:c r="N746" s="63" t="str">
        <x:v>https://k12static.xdf.cn/k12/image/externalized/716b4b49-b1db-449f-abb2-07b861835994.png</x:v>
      </x:c>
      <x:c r="O746" s="63" t="str">
        <x:v>https://k12static.xdf.cn/k12/image/externalized/a5c511ac-8b9c-419c-8359-0bb19a57ec57.png</x:v>
      </x:c>
      <x:c r="P746" s="63" t="str">
        <x:v>1-2步</x:v>
      </x:c>
      <x:c r="Q746" s="63" t="str">
        <x:v>实验探究</x:v>
      </x:c>
      <x:c r="R746" s="63" t="str">
        <x:v>单状态</x:v>
      </x:c>
      <x:c r="S746" s="63" t="str">
        <x:v>无约束</x:v>
      </x:c>
      <x:c r="T746" s="63" t="str">
        <x:v>控制变量或故障分析</x:v>
      </x:c>
      <x:c r="U746" s="63" t="str">
        <x:v>多组比较归纳</x:v>
      </x:c>
      <x:c r="V746" s="63" t="str">
        <x:v>多层因果推理</x:v>
      </x:c>
    </x:row>
    <x:row r="747">
      <x:c r="A747" s="64" t="str">
        <x:v>​2595083767651536896</x:v>
      </x:c>
      <x:c r="B747" s="65" t="str">
        <x:v>基础题</x:v>
      </x:c>
      <x:c r="C747" s="65" t="str">
        <x:v>基础题</x:v>
      </x:c>
      <x:c r="D747" s="65" t="str">
        <x:v>基础题</x:v>
      </x:c>
      <x:c r="E747" s="65" t="str">
        <x:v>逐题复核后保留GPT裁定</x:v>
      </x:c>
      <x:c r="F747" s="65" t="str">
        <x:v>高</x:v>
      </x:c>
      <x:c r="G747" s="65" t="str">
        <x:v>基础题</x:v>
      </x:c>
      <x:c r="H747" s="65" t="str">
        <x:v>基础题</x:v>
      </x:c>
      <x:c r="I747" s="65" t="str">
        <x:v>最高难任务为1—2步显性应用、规范操作或简单因果，没有连续模型转换。 题目证据：最高难选项实际有效推理为1步，五维中知识量为单个凸透镜成像规律下的不同结论，过程/对象为单概念静态判断，无运算、情境无额外负担，思维层次为直接应用教材规律。任务为逐项辨析凸透镜成像的不同结论，各选项均是对成像规律的直接套用。</x:v>
      </x:c>
      <x:c r="J747" s="65" t="str">
        <x:v>三次运行错题并集逐题复核</x:v>
      </x:c>
      <x:c r="K747" s="63" t="str">
        <x:v>关于凸透镜成像，下列说法正确的是（ ）</x:v>
      </x:c>
      <x:c r="L747" s="63" t="str">
        <x:v>A. 实像和虚像都可能是放大的或缩小的 B. 成虚像时，物距大于一倍焦距 C. 实像一定是倒立的，虚像一定是正立的 D. 成实像时，物体离凸透镜越近，像越小</x:v>
      </x:c>
      <x:c r="M747" s="63" t="str">
        <x:v>解：A、凸透镜在成像时，实像可放大、可缩小、可等大；而虚像只能是放大的，故A错误； B、成虚像时，物体在焦距之内，故B错误； C、在凸透镜成像时，实像一定是倒立的、虚像一定是正立的，故C正确； D、成实像时，物体离凸透镜越近，像越大，故D错误。 故选：C。</x:v>
      </x:c>
      <x:c r="N747" s="63" t="str">
        <x:v>https://k12static.xdf.cn/k12/image/externalized/71d11184-2d66-46d6-80c0-6f75fee941fc.png</x:v>
      </x:c>
      <x:c r="O747" s="63" t="str">
        <x:v>https://k12static.xdf.cn/k12/image/externalized/be325a22-1e8f-4e36-bfb3-c15ba0ca2cd3.png</x:v>
      </x:c>
      <x:c r="P747" s="63" t="str">
        <x:v>1-2步</x:v>
      </x:c>
      <x:c r="Q747" s="63" t="str">
        <x:v>概念判断</x:v>
      </x:c>
      <x:c r="R747" s="63" t="str">
        <x:v>单状态</x:v>
      </x:c>
      <x:c r="S747" s="63" t="str">
        <x:v>无约束</x:v>
      </x:c>
      <x:c r="T747" s="63" t="str">
        <x:v>无</x:v>
      </x:c>
      <x:c r="U747" s="63" t="str">
        <x:v>无</x:v>
      </x:c>
      <x:c r="V747" s="63" t="str">
        <x:v>简单因果推理</x:v>
      </x:c>
    </x:row>
    <x:row r="748">
      <x:c r="A748" s="64" t="str">
        <x:v>​2601064436733149184</x:v>
      </x:c>
      <x:c r="B748" s="65" t="str">
        <x:v>中等题</x:v>
      </x:c>
      <x:c r="C748" s="65" t="str">
        <x:v>中等题</x:v>
      </x:c>
      <x:c r="D748" s="65" t="str">
        <x:v>中等题</x:v>
      </x:c>
      <x:c r="E748" s="65" t="str">
        <x:v>保留原GPT裁定</x:v>
      </x:c>
      <x:c r="F748" s="65" t="str">
        <x:v>高</x:v>
      </x:c>
      <x:c r="G748" s="65" t="str">
        <x:v>中等题</x:v>
      </x:c>
      <x:c r="H748" s="65" t="str">
        <x:v>中等题</x:v>
      </x:c>
      <x:c r="I748" s="65" t="str">
        <x:v>题干、解析与结构证据支持中等题：step=3-5步，题型=概念判断，状态=单状态，约束=单一约束，推理=多层因果推理。教师、盲评和多次模型证据中未形成足以推翻原裁定的同向结构证据。</x:v>
      </x:c>
      <x:c r="J748" s="65" t="str">
        <x:v>未进入三次错题并集；逐题结构一致性复核</x:v>
      </x:c>
      <x:c r="K748" s="63" t="str">
        <x:v>如图所示的电路中，电源电压保持不变，闭合开关S，电路正常工作一段时间后灯L2熄灭，且只有一只电表的示数变大。下列判断正确的是（ ）</x:v>
      </x:c>
      <x:c r="L748" s="63" t="str">
        <x:v>A. L1短路，电压表示数变小 B. L1开路，电流表示数变大 C. L2短路，电压表示数变大 D. L2开路，电压表示数变大</x:v>
      </x:c>
      <x:c r="M748" s="63" t="str">
        <x:v>解：由图知，两灯泡串联，电流表测量电路中的电流，电压表测量灯泡L2两端的电压； A、若L1短路，变为灯泡L2的基本电路，此时电压表测量电源电压，即电压表示数变大，故A错误； B、若L1开路，则整个电路断路，电路中的电流为零，两表示数均为零，故B错误； C、若L2短路，变为灯泡L1的基本电路，电压表被短路，因此电压表示数为0，电流表示数变大，故C错误； D、若L2开路，则电路中的电流为零，此时电压表与L1串联，电压表测电源电压，因此电压表示数增大，故D正确。 故选：D。</x:v>
      </x:c>
      <x:c r="N748" s="63" t="str">
        <x:v>https://k12static.xdf.cn/k12/image/externalized/9aeab834-5cda-4503-9371-d8e4a0d7141a.png</x:v>
      </x:c>
      <x:c r="O748" s="63" t="str">
        <x:v>https://k12static.xdf.cn/k12/image/externalized/93a0257a-d665-4f60-af58-5bcec1248dec.png</x:v>
      </x:c>
      <x:c r="P748" s="63" t="str">
        <x:v>3-5步</x:v>
      </x:c>
      <x:c r="Q748" s="63" t="str">
        <x:v>概念判断</x:v>
      </x:c>
      <x:c r="R748" s="63" t="str">
        <x:v>单状态</x:v>
      </x:c>
      <x:c r="S748" s="63" t="str">
        <x:v>单一约束</x:v>
      </x:c>
      <x:c r="T748" s="63" t="str">
        <x:v>无</x:v>
      </x:c>
      <x:c r="U748" s="63" t="str">
        <x:v>无</x:v>
      </x:c>
      <x:c r="V748" s="63" t="str">
        <x:v>多层因果推理</x:v>
      </x:c>
    </x:row>
    <x:row r="749">
      <x:c r="A749" s="64" t="str">
        <x:v>​2602170575474221056</x:v>
      </x:c>
      <x:c r="B749" s="65" t="str">
        <x:v>基础题</x:v>
      </x:c>
      <x:c r="C749" s="65" t="str">
        <x:v>基础题</x:v>
      </x:c>
      <x:c r="D749" s="65" t="str">
        <x:v>基础题</x:v>
      </x:c>
      <x:c r="E749" s="65" t="str">
        <x:v>逐题复核后保留GPT裁定</x:v>
      </x:c>
      <x:c r="F749" s="65" t="str">
        <x:v>高</x:v>
      </x:c>
      <x:c r="G749" s="65" t="str">
        <x:v>基础题</x:v>
      </x:c>
      <x:c r="H749" s="65" t="str">
        <x:v>基础题</x:v>
      </x:c>
      <x:c r="I749" s="65" t="str">
        <x:v>最高难任务为1—2步显性应用、规范操作或简单因果，没有连续模型转换。 题目证据：最长连续链有效物理决策为1步，各选项分别考查声学基础概念，均为直接调用教材结论的独立判断，无复杂过程或推理，属于多个不同知识点的独立识别，没有连续转换或模型重构。</x:v>
      </x:c>
      <x:c r="J749" s="65" t="str">
        <x:v>三次运行错题并集逐题复核</x:v>
      </x:c>
      <x:c r="K749" s="63" t="str">
        <x:v>十月份亮相的第四届校园文化艺术节是一场视听盛宴，孩子们多维度展示了古往今来陆海两条丝绸之路的发展与繁荣。下列说法正确的是（ ）</x:v>
      </x:c>
      <x:c r="L749" s="63" t="str">
        <x:v>A. 台上钢琴优美的乐音是弦的振动产生的 B. 声音在真空中的传播速度为340m/s C. 敲鼓的力越大，鼓声的音调就越高 D. 公路旁的绿树可以在声源处减弱噪声，减少对演出的干扰</x:v>
      </x:c>
      <x:c r="M749" s="63" t="str">
        <x:v>解：A．声音是由物体的振动产生的，是弦的振动产生的，故A正确； B．真空不能传声，声音在真空中不能传播，故B错误； C．敲鼓的力越大，鼓面的振幅越大，鼓声的响度就越大，故C错误； D．公路旁的绿树可以在传播过程中减弱噪声，减少对演出的干扰，故D错误。 故选：A。</x:v>
      </x:c>
      <x:c r="N749" s="63" t="str">
        <x:v>https://k12static.xdf.cn/k12/image/externalized/bcff1a30-d310-4129-8439-dd0e8fe3dee9.png</x:v>
      </x:c>
      <x:c r="O749" s="63" t="str">
        <x:v>https://k12static.xdf.cn/k12/image/externalized/9d7a3a04-a11f-453a-8094-f246a7b7fbab.png</x:v>
      </x:c>
      <x:c r="P749" s="63" t="str">
        <x:v>1-2步</x:v>
      </x:c>
      <x:c r="Q749" s="63" t="str">
        <x:v>概念判断</x:v>
      </x:c>
      <x:c r="R749" s="63" t="str">
        <x:v>单状态</x:v>
      </x:c>
      <x:c r="S749" s="63" t="str">
        <x:v>无约束</x:v>
      </x:c>
      <x:c r="T749" s="63" t="str">
        <x:v>无</x:v>
      </x:c>
      <x:c r="U749" s="63" t="str">
        <x:v>无</x:v>
      </x:c>
      <x:c r="V749" s="63" t="str">
        <x:v>直接套用</x:v>
      </x:c>
    </x:row>
    <x:row r="750">
      <x:c r="A750" s="64" t="str">
        <x:v>​2602237037879013376</x:v>
      </x:c>
      <x:c r="B750" s="65" t="str">
        <x:v>基础题</x:v>
      </x:c>
      <x:c r="C750" s="65" t="str">
        <x:v>基础题</x:v>
      </x:c>
      <x:c r="D750" s="65" t="str">
        <x:v>基础题</x:v>
      </x:c>
      <x:c r="E750" s="65" t="str">
        <x:v>保留原GPT裁定</x:v>
      </x:c>
      <x:c r="F750" s="65" t="str">
        <x:v>高</x:v>
      </x:c>
      <x:c r="G750" s="65" t="str">
        <x:v>基础题</x:v>
      </x:c>
      <x:c r="H750" s="65" t="str">
        <x:v>基础题</x:v>
      </x:c>
      <x:c r="I750" s="65" t="str">
        <x:v>题干、解析与结构证据支持基础题：step=1-2步，题型=概念判断，状态=单状态，约束=无约束，推理=简单因果推理。教师、盲评和多次模型证据中未形成足以推翻原裁定的同向结构证据。</x:v>
      </x:c>
      <x:c r="J750" s="65" t="str">
        <x:v>未进入三次错题并集；逐题结构一致性复核</x:v>
      </x:c>
      <x:c r="K750" s="63" t="str">
        <x:v>平静的池面上映出了空中飞翔的小鸟，小明说：“快来看，鸟和鱼在水中比赛呢！”他看到的“鸟”和“鱼”实际上是（ ）</x:v>
      </x:c>
      <x:c r="L750" s="63" t="str">
        <x:v>A. “鸟”是实像，“鱼”是虚像 B. “鸟”是虚像，“鱼”是实像 C. “鸟”和“鱼”都是实像 D. “鸟”和“鱼”都是虚像</x:v>
      </x:c>
      <x:c r="M750" s="63" t="str">
        <x:v>解：鸟在水中的像是由光的反射形成的。光路图如下图所示： 小鸟的像是由反射光线的反向延长线会聚形成的，不是由实际光线形成的，所以是虚像。 看到的鱼是由光的折射形成的，成像光路图如下图所示： 看到的鱼的像是由折射光线的反向延长线会聚而形成的，不是由实际光线形成的，所以是虚像。 故选：D。</x:v>
      </x:c>
      <x:c r="N750" s="63" t="str">
        <x:v>https://k12static.xdf.cn/k12/image/externalized/57ba2539-0e7f-47e6-a518-aa5cd687e938.png</x:v>
      </x:c>
      <x:c r="O750" s="63" t="str">
        <x:v>https://k12static.xdf.cn/k12/image/externalized/43780a28-2941-4b2d-bb42-a68f297469a7.png</x:v>
      </x:c>
      <x:c r="P750" s="63" t="str">
        <x:v>1-2步</x:v>
      </x:c>
      <x:c r="Q750" s="63" t="str">
        <x:v>概念判断</x:v>
      </x:c>
      <x:c r="R750" s="63" t="str">
        <x:v>单状态</x:v>
      </x:c>
      <x:c r="S750" s="63" t="str">
        <x:v>无约束</x:v>
      </x:c>
      <x:c r="T750" s="63" t="str">
        <x:v>无</x:v>
      </x:c>
      <x:c r="U750" s="63" t="str">
        <x:v>无</x:v>
      </x:c>
      <x:c r="V750" s="63" t="str">
        <x:v>简单因果推理</x:v>
      </x:c>
    </x:row>
    <x:row r="751">
      <x:c r="A751" s="64" t="str">
        <x:v>​2602577723341975552</x:v>
      </x:c>
      <x:c r="B751" s="65" t="str">
        <x:v>基础题</x:v>
      </x:c>
      <x:c r="C751" s="65" t="str">
        <x:v>基础题</x:v>
      </x:c>
      <x:c r="D751" s="65" t="str">
        <x:v>基础题</x:v>
      </x:c>
      <x:c r="E751" s="65" t="str">
        <x:v>保留原GPT裁定</x:v>
      </x:c>
      <x:c r="F751" s="65" t="str">
        <x:v>高</x:v>
      </x:c>
      <x:c r="G751" s="65" t="str">
        <x:v>基础题</x:v>
      </x:c>
      <x:c r="H751" s="65" t="str">
        <x:v>基础题</x:v>
      </x:c>
      <x:c r="I751" s="65" t="str">
        <x:v>题干、解析与结构证据支持基础题：step=1-2步，题型=概念判断，状态=单状态，约束=无约束，推理=简单因果推理。教师、盲评和多次模型证据中未形成足以推翻原裁定的同向结构证据。</x:v>
      </x:c>
      <x:c r="J751" s="65" t="str">
        <x:v>未进入三次错题并集；逐题结构一致性复核</x:v>
      </x:c>
      <x:c r="K751" s="63" t="str">
        <x:v>诗词是我国灿烂文化的一颗明珠，诗词中蕴含着许多物理知识，下列解释正确的（ ）</x:v>
      </x:c>
      <x:c r="L751" s="63" t="str">
        <x:v>A. “谁家玉笛暗飞声”中的笛声是由笛子振动产生的 B. “春眠不觉晓，处处闻啼鸟”，鸟叫声是通过空气传入人耳的 C. “不敢高声语，恐惊天上人”，诗句中的“高”是指声音的音调高 D. “花气袭人知骤暖，鹊声穿树喜新晴。”中的“花气袭人”是机械运动的结果</x:v>
      </x:c>
      <x:c r="M751" s="63" t="str">
        <x:v>解：A．“谁家玉笛暗飞声”中的笛声是由笛子内的空气柱，不是笛子振动产生的，故A错误； B．“春眠不觉晓，处处闻啼鸟”，鸟叫声是通过空气传入人耳的，故B正确； C．“不敢高声语，恐惊天上人”诗句中的“高”是指大声说话，是声音的响度大，故C错误； D．“花气袭人知骤暖，鹊声穿树喜新晴”中的“花气袭人”是分子热运动的结果，故D错误。 故选：B。</x:v>
      </x:c>
      <x:c r="N751" s="63" t="str">
        <x:v>https://k12static.xdf.cn/k12/image/externalized/3d155b21-7531-4af7-b5f4-ca1d0db58188.png</x:v>
      </x:c>
      <x:c r="O751" s="63" t="str">
        <x:v>https://k12static.xdf.cn/k12/image/externalized/01cd1f41-a178-4546-a312-495a3d6eef06.png</x:v>
      </x:c>
      <x:c r="P751" s="63" t="str">
        <x:v>1-2步</x:v>
      </x:c>
      <x:c r="Q751" s="63" t="str">
        <x:v>概念判断</x:v>
      </x:c>
      <x:c r="R751" s="63" t="str">
        <x:v>单状态</x:v>
      </x:c>
      <x:c r="S751" s="63" t="str">
        <x:v>无约束</x:v>
      </x:c>
      <x:c r="T751" s="63" t="str">
        <x:v>无</x:v>
      </x:c>
      <x:c r="U751" s="63" t="str">
        <x:v>无</x:v>
      </x:c>
      <x:c r="V751" s="63" t="str">
        <x:v>简单因果推理</x:v>
      </x:c>
    </x:row>
    <x:row r="752">
      <x:c r="A752" s="64" t="str">
        <x:v>​2602608644069351424</x:v>
      </x:c>
      <x:c r="B752" s="65" t="str">
        <x:v>基础题</x:v>
      </x:c>
      <x:c r="C752" s="65" t="str">
        <x:v>基础题</x:v>
      </x:c>
      <x:c r="D752" s="65" t="str">
        <x:v>基础题</x:v>
      </x:c>
      <x:c r="E752" s="65" t="str">
        <x:v>保留原GPT裁定</x:v>
      </x:c>
      <x:c r="F752" s="65" t="str">
        <x:v>高</x:v>
      </x:c>
      <x:c r="G752" s="65" t="str">
        <x:v>基础题</x:v>
      </x:c>
      <x:c r="H752" s="65" t="str">
        <x:v>基础题</x:v>
      </x:c>
      <x:c r="I752" s="65" t="str">
        <x:v>题干、解析与结构证据支持基础题：step=1-2步，题型=概念判断，状态=单状态，约束=无约束，推理=简单因果推理。教师、盲评和多次模型证据中未形成足以推翻原裁定的同向结构证据。</x:v>
      </x:c>
      <x:c r="J752" s="65" t="str">
        <x:v>未进入三次错题并集；逐题结构一致性复核</x:v>
      </x:c>
      <x:c r="K752" s="63" t="str">
        <x:v>一辆新能源电动车从昆明沿“昆石高速”载客驶往石林风景区，车行驶的平均速度是25m/s,用时1h。下列说法正确的是（ ）</x:v>
      </x:c>
      <x:c r="L752" s="63" t="str">
        <x:v>A. 昆明到石林风景区的路程是100km B. 乘客以路边的一栋房子为参照物，电动车是静止的 C. 在一下坡路段，电动车越来越快，电动车的动能增加、势能减小 D. 电动车常常“悄无声息”地从身边驶过，悄无声息形容声音的频率较低</x:v>
      </x:c>
      <x:c r="M752" s="63" t="str">
        <x:v>解：A、昆明到石林风景区的路程s=vt=25×3.6km/h×1h=90km,故A错误； B、乘客以路边的一栋房子为参照物，电动车与房子的位置发生改变，电动车是运动的，故B错误； C、在一下坡路段，电动车的质量不变，速度越来越快，能增加；高度越来越低，重力势能减小，故C正确； D、电动车常常“悄无声息”地从身边驶过，悄无声息形容声音的响度较小，与频率无关，故D错误。 故选：C。</x:v>
      </x:c>
      <x:c r="N752" s="63" t="str">
        <x:v>https://k12static.xdf.cn/k12/image/externalized/9f0db43b-caac-466d-8907-e2489da0a622.png</x:v>
      </x:c>
      <x:c r="O752" s="63" t="str">
        <x:v>https://k12static.xdf.cn/k12/image/externalized/1eadff6f-8b65-4d1d-9dc8-8066e63a05ab.png</x:v>
      </x:c>
      <x:c r="P752" s="63" t="str">
        <x:v>1-2步</x:v>
      </x:c>
      <x:c r="Q752" s="63" t="str">
        <x:v>概念判断</x:v>
      </x:c>
      <x:c r="R752" s="63" t="str">
        <x:v>单状态</x:v>
      </x:c>
      <x:c r="S752" s="63" t="str">
        <x:v>无约束</x:v>
      </x:c>
      <x:c r="T752" s="63" t="str">
        <x:v>无</x:v>
      </x:c>
      <x:c r="U752" s="63" t="str">
        <x:v>无</x:v>
      </x:c>
      <x:c r="V752" s="63" t="str">
        <x:v>简单因果推理</x:v>
      </x:c>
    </x:row>
    <x:row r="753">
      <x:c r="A753" s="64" t="str">
        <x:v>​2602711736440098816</x:v>
      </x:c>
      <x:c r="B753" s="65" t="str">
        <x:v>基础题</x:v>
      </x:c>
      <x:c r="C753" s="65" t="str">
        <x:v>基础题</x:v>
      </x:c>
      <x:c r="D753" s="65" t="str">
        <x:v>基础题</x:v>
      </x:c>
      <x:c r="E753" s="65" t="str">
        <x:v>保留原GPT裁定</x:v>
      </x:c>
      <x:c r="F753" s="65" t="str">
        <x:v>高</x:v>
      </x:c>
      <x:c r="G753" s="65" t="str">
        <x:v>基础题</x:v>
      </x:c>
      <x:c r="H753" s="65" t="str">
        <x:v>基础题</x:v>
      </x:c>
      <x:c r="I753" s="65" t="str">
        <x:v>题干、解析与结构证据支持基础题：step=1-2步，题型=概念判断，状态=单状态，约束=无约束，推理=简单因果推理。教师、盲评和多次模型证据中未形成足以推翻原裁定的同向结构证据。</x:v>
      </x:c>
      <x:c r="J753" s="65" t="str">
        <x:v>未进入三次错题并集；逐题结构一致性复核</x:v>
      </x:c>
      <x:c r="K753" s="63" t="str">
        <x:v>用如图所示装置探究平面镜成像的特点，下列说法正确的是​（ ）</x:v>
      </x:c>
      <x:c r="L753" s="63" t="str">
        <x:v>A. 用玻璃可以让成像更清晰 B. 两支蜡烛应完全相同 C. 蜡烛靠近玻璃板时像变大 D. 做多次实验可以减小误差</x:v>
      </x:c>
      <x:c r="M753" s="63" t="str">
        <x:v>解：A.玻璃板能透过光，用玻璃板是为了便于确定像的位置，故A错误； B.为了探究物与像的大小关系，需要两支完全相同的蜡烛，故B正确； C.平面镜所成的像与物体的大小相等，物体的大小不发生变化，像的大小也不发生变化，故C错误； D.本实验中多次实验是为了寻找普遍规律，而不是减小误差，故D错误。 故选：B。</x:v>
      </x:c>
      <x:c r="N753" s="63" t="str">
        <x:v>https://k12static.xdf.cn/k12/image/externalized/a9437708-ffb5-434b-8245-da969bcfa7df.png</x:v>
      </x:c>
      <x:c r="O753" s="63" t="str">
        <x:v>https://k12static.xdf.cn/k12/image/externalized/e2b1818e-4429-4c6a-ac1b-23685c961469.png</x:v>
      </x:c>
      <x:c r="P753" s="63" t="str">
        <x:v>1-2步</x:v>
      </x:c>
      <x:c r="Q753" s="63" t="str">
        <x:v>概念判断</x:v>
      </x:c>
      <x:c r="R753" s="63" t="str">
        <x:v>单状态</x:v>
      </x:c>
      <x:c r="S753" s="63" t="str">
        <x:v>无约束</x:v>
      </x:c>
      <x:c r="T753" s="63" t="str">
        <x:v>控制变量或故障分析</x:v>
      </x:c>
      <x:c r="U753" s="63" t="str">
        <x:v>无</x:v>
      </x:c>
      <x:c r="V753" s="63" t="str">
        <x:v>简单因果推理</x:v>
      </x:c>
    </x:row>
    <x:row r="754">
      <x:c r="A754" s="64" t="str">
        <x:v>​2605578676435210240</x:v>
      </x:c>
      <x:c r="B754" s="65" t="str">
        <x:v>中等题</x:v>
      </x:c>
      <x:c r="C754" s="65" t="str">
        <x:v>中等题</x:v>
      </x:c>
      <x:c r="D754" s="65" t="str">
        <x:v>中等题</x:v>
      </x:c>
      <x:c r="E754" s="65" t="str">
        <x:v>逐题复核后保留GPT裁定</x:v>
      </x:c>
      <x:c r="F754" s="65" t="str">
        <x:v>高</x:v>
      </x:c>
      <x:c r="G754" s="65" t="str">
        <x:v>中等题</x:v>
      </x:c>
      <x:c r="H754" s="65" t="str">
        <x:v>中等题</x:v>
      </x:c>
      <x:c r="I754" s="65" t="str">
        <x:v>存在约3—4步常规连续分析、共享过程或完整标准实验任务，关系仍显性。 题目证据：最长连续链有3个有效物理决策：1.由热量传递方向判断末温高低；2.结合初温相同推导温度变化量的大小关系；3.结合Q、m相同，利用比热容公式推导比热容大小关系。五维中知识量为2-3个关联知识点，过程对象为单状态但需要逻辑推导，思维层次属于常规分析，符合中等题标准。任务围绕热传递条件和比热容公式的关联推理展开，需要辨析温度变化量和比热容的反比关系。</x:v>
      </x:c>
      <x:c r="J754" s="65" t="str">
        <x:v>三次运行错题并集逐题复核</x:v>
      </x:c>
      <x:c r="K754" s="63" t="str">
        <x:v>质量、初温均相同的甲、乙两种物质，放出相同的热量后相互接触，热量从甲传给乙。若两种物质的比热容分别为c甲、c乙，则（ ）</x:v>
      </x:c>
      <x:c r="L754" s="63" t="str">
        <x:v>A. c甲一定大于c乙 B. c甲一定小于c乙 C. c甲一定等于c乙 D. c甲可能等于c乙</x:v>
      </x:c>
      <x:c r="M754" s="63" t="str">
        <x:v>解：在热传递过程中，热量总是由温度高的物体传给温度低的物体；吸热后的甲、乙两物体接触，热量由甲传给乙，说明甲的末温高于乙的末温；由题知，甲、乙两物体的初温相同，吸收相同热量后，甲的末温高于乙的末温，则甲升高的温度大于乙升高的温度，即Δt甲＞Δt乙； 甲、乙两物体吸收的热量相同，质量相同，Δt甲＞Δt乙，由变形公式$c=\frac{{Q}_{吸}}{m\triangle t}$可知，c甲＜c乙，故A正确，BCD错误。 故选：A。</x:v>
      </x:c>
      <x:c r="N754" s="63" t="str">
        <x:v>https://k12static.xdf.cn/k12/image/externalized/2d567b0e-fa06-444e-8b10-08964428809e.png</x:v>
      </x:c>
      <x:c r="O754" s="63" t="str">
        <x:v>https://k12static.xdf.cn/k12/image/externalized/139928ea-bb53-414e-b59c-d5dc5d7c98a1.png</x:v>
      </x:c>
      <x:c r="P754" s="63" t="str">
        <x:v>3-5步</x:v>
      </x:c>
      <x:c r="Q754" s="63" t="str">
        <x:v>概念判断</x:v>
      </x:c>
      <x:c r="R754" s="63" t="str">
        <x:v>单状态</x:v>
      </x:c>
      <x:c r="S754" s="63" t="str">
        <x:v>无约束</x:v>
      </x:c>
      <x:c r="T754" s="63" t="str">
        <x:v>无</x:v>
      </x:c>
      <x:c r="U754" s="63" t="str">
        <x:v>无</x:v>
      </x:c>
      <x:c r="V754" s="63" t="str">
        <x:v>多层因果推理</x:v>
      </x:c>
    </x:row>
    <x:row r="755">
      <x:c r="A755" s="64" t="str">
        <x:v>​2607851105713676288</x:v>
      </x:c>
      <x:c r="B755" s="65" t="str">
        <x:v>中等题</x:v>
      </x:c>
      <x:c r="C755" s="65" t="str">
        <x:v>中等题</x:v>
      </x:c>
      <x:c r="D755" s="65" t="str">
        <x:v>中等题</x:v>
      </x:c>
      <x:c r="E755" s="65" t="str">
        <x:v>保留原GPT裁定</x:v>
      </x:c>
      <x:c r="F755" s="65" t="str">
        <x:v>高</x:v>
      </x:c>
      <x:c r="G755" s="65" t="str">
        <x:v>中等题</x:v>
      </x:c>
      <x:c r="H755" s="65" t="str">
        <x:v>中等题</x:v>
      </x:c>
      <x:c r="I755" s="65" t="str">
        <x:v>题干、解析与结构证据支持中等题：step=3-5步，题型=概念判断，状态=单状态，约束=单一约束，推理=多层因果推理。教师、盲评和多次模型证据中未形成足以推翻原裁定的同向结构证据。</x:v>
      </x:c>
      <x:c r="J755" s="65" t="str">
        <x:v>未进入三次错题并集；逐题结构一致性复核</x:v>
      </x:c>
      <x:c r="K755" s="63" t="str">
        <x:v>初温相等的甲、乙两物体，在吸收相同的热量后，甲的温度低于乙的温度。那么，这两个物体的质量和比热容不可能是（ ）</x:v>
      </x:c>
      <x:c r="L755" s="63" t="str">
        <x:v>A. m甲＞m乙，c甲＞c乙 B. m甲＞m乙，c甲＜c乙 C. m甲＜m乙，c甲＜c乙 D. m甲＜m乙，c甲＞c乙</x:v>
      </x:c>
      <x:c r="M755" s="63" t="str">
        <x:v>解：甲、乙两个物体初温t0甲=t0乙，放出热量后，甲的温度低于乙的温度，说明甲、乙降低的温度关系为：Δt甲＞Δt乙； 又知放出热量Q甲=Q乙，由Q放=cmΔt可知，c甲m甲＜c乙m乙； 若质量关系：m甲＞m乙，则c甲＜c乙有可能，c甲＞c乙不可能；故A错误，B正确； 若质量关系：m甲＜m乙，则c甲＞c乙或c甲＜c乙有可能；故CD正确。 故选：A。</x:v>
      </x:c>
      <x:c r="N755" s="63" t="str">
        <x:v>https://k12static.xdf.cn/k12/image/externalized/38dd13f4-16ea-401c-aad0-b846ea9ce3f7.png</x:v>
      </x:c>
      <x:c r="O755" s="63" t="str">
        <x:v>https://k12static.xdf.cn/k12/image/externalized/326de036-41fe-4d6c-8f25-3d403c7bb921.png</x:v>
      </x:c>
      <x:c r="P755" s="63" t="str">
        <x:v>3-5步</x:v>
      </x:c>
      <x:c r="Q755" s="63" t="str">
        <x:v>概念判断</x:v>
      </x:c>
      <x:c r="R755" s="63" t="str">
        <x:v>单状态</x:v>
      </x:c>
      <x:c r="S755" s="63" t="str">
        <x:v>单一约束</x:v>
      </x:c>
      <x:c r="T755" s="63" t="str">
        <x:v>无</x:v>
      </x:c>
      <x:c r="U755" s="63" t="str">
        <x:v>无</x:v>
      </x:c>
      <x:c r="V755" s="63" t="str">
        <x:v>多层因果推理</x:v>
      </x:c>
    </x:row>
    <x:row r="756">
      <x:c r="A756" s="64" t="str">
        <x:v>​2608567543353073664</x:v>
      </x:c>
      <x:c r="B756" s="65" t="str">
        <x:v>基础题</x:v>
      </x:c>
      <x:c r="C756" s="65" t="str">
        <x:v>基础题</x:v>
      </x:c>
      <x:c r="D756" s="65" t="str">
        <x:v>基础题</x:v>
      </x:c>
      <x:c r="E756" s="65" t="str">
        <x:v>保留原GPT裁定</x:v>
      </x:c>
      <x:c r="F756" s="65" t="str">
        <x:v>高</x:v>
      </x:c>
      <x:c r="G756" s="65" t="str">
        <x:v>基础题</x:v>
      </x:c>
      <x:c r="H756" s="65" t="str">
        <x:v>基础题</x:v>
      </x:c>
      <x:c r="I756" s="65" t="str">
        <x:v>题干、解析与结构证据支持基础题：step=1-2步，题型=概念判断，状态=单状态，约束=无约束，推理=简单因果推理。教师、盲评和多次模型证据中未形成足以推翻原裁定的同向结构证据。</x:v>
      </x:c>
      <x:c r="J756" s="65" t="str">
        <x:v>未进入三次错题并集；逐题结构一致性复核</x:v>
      </x:c>
      <x:c r="K756" s="63" t="str">
        <x:v>中国文化源远流长，《江南》一诗脍炙人口，其中的“鱼戏莲叶间”将景入画。关于人观察到水中的鱼和莲叶，下列说法正确的是（ ）</x:v>
      </x:c>
      <x:c r="L756" s="63" t="str">
        <x:v>A. 鱼是实像，莲叶是虚像 B. 鱼是虚像，莲叶是实像 C. 鱼和莲叶都是实像 D. 鱼和莲叶都是虚像</x:v>
      </x:c>
      <x:c r="M756" s="63" t="str">
        <x:v>解：因为鱼儿是在水中的实际物体，是由于光线从水中通过空气折射进入了人的眼睛，我们看到水中的鱼，看到的是鱼的虚像，是由光的折射形成的。 看到水中的莲叶，属于平面镜成像现象，故看到水中莲叶是由光的反射形成的与物体等大的虚像。 故选：D。</x:v>
      </x:c>
      <x:c r="N756" s="63" t="str">
        <x:v>https://k12static.xdf.cn/k12/image/externalized/859fde77-31a9-4bc6-9eec-75fd8529e1c6.png</x:v>
      </x:c>
      <x:c r="O756" s="63" t="str">
        <x:v>https://k12static.xdf.cn/k12/image/externalized/b40389ae-140e-4ed7-b9aa-194e2ea397be.png</x:v>
      </x:c>
      <x:c r="P756" s="63" t="str">
        <x:v>1-2步</x:v>
      </x:c>
      <x:c r="Q756" s="63" t="str">
        <x:v>概念判断</x:v>
      </x:c>
      <x:c r="R756" s="63" t="str">
        <x:v>单状态</x:v>
      </x:c>
      <x:c r="S756" s="63" t="str">
        <x:v>无约束</x:v>
      </x:c>
      <x:c r="T756" s="63" t="str">
        <x:v>无</x:v>
      </x:c>
      <x:c r="U756" s="63" t="str">
        <x:v>无</x:v>
      </x:c>
      <x:c r="V756" s="63" t="str">
        <x:v>简单因果推理</x:v>
      </x:c>
    </x:row>
    <x:row r="757">
      <x:c r="A757" s="64" t="str">
        <x:v>​2613170429018005504</x:v>
      </x:c>
      <x:c r="B757" s="65" t="str">
        <x:v>中等题</x:v>
      </x:c>
      <x:c r="C757" s="65" t="str">
        <x:v>中等题</x:v>
      </x:c>
      <x:c r="D757" s="65" t="str">
        <x:v>中等题</x:v>
      </x:c>
      <x:c r="E757" s="65" t="str">
        <x:v>保留原GPT裁定</x:v>
      </x:c>
      <x:c r="F757" s="65" t="str">
        <x:v>高</x:v>
      </x:c>
      <x:c r="G757" s="65" t="str">
        <x:v>中等题</x:v>
      </x:c>
      <x:c r="H757" s="65" t="str">
        <x:v>中等题</x:v>
      </x:c>
      <x:c r="I757" s="65" t="str">
        <x:v>题干、解析与结构证据支持中等题：step=3-5步，题型=光学声学综合，状态=多状态，约束=单一约束，推理=多层因果推理。教师、盲评和多次模型证据中未形成足以推翻原裁定的同向结构证据。</x:v>
      </x:c>
      <x:c r="J757" s="65" t="str">
        <x:v>未进入三次错题并集；逐题结构一致性复核</x:v>
      </x:c>
      <x:c r="K757" s="63" t="str">
        <x:v>在做“探究凸透镜成像规律”的实验中，某小组同学利用图甲测出了透镜的焦距后，正确安装并调节实验装置如图乙所示，在光屏上得到一个清晰的像。下列说法正确的是（ ）</x:v>
      </x:c>
      <x:c r="L757" s="63" t="str">
        <x:v>A. 凸透镜焦距为10cm B. 蜡烛放在35cm的刻线处，光屏向右移到80cm的刻线处一定能成一个清晰的放大的实像 C. 乙图中如果在烛焰与透镜之间放置一近视眼镜的镜片，则将光屏适当左移可得一个清晰的像 D. 在乙图中保持凸透镜与蜡烛的位置不变，将凸透镜换为一个焦距为12cm凸透镜，向左移动光屏，可以得到一个清晰的缩小的实像</x:v>
      </x:c>
      <x:c r="M757" s="63" t="str">
        <x:v>解：A．光具座上刻度尺的分度值是1mm,利用太阳光聚焦法可知焦距为40.0cm-30.0cm=10.0cm,故A错误； B．如图乙，物距为30cm,像距为15cm,物距大于像距，光屏上成缩小的像；根据光路可逆，当物距为15cm时，像距为30cm,则蜡烛放在35cm的刻线处，光屏向右移到80cm的刻线处一定能成一个清晰的放大的实像，故B正确； C．近视眼镜的镜片是凹透镜，对光有发散作用，所以像会比之前远离透镜，则将光屏适当右移可得一个清晰的像，故C错误； D．焦距越长，折光能力越弱，将凸透镜换为一个焦距为12cm凸透镜后，像会比之前向右移动，则向右移动光屏，可以得到一个清晰的缩小的实像，故D错误。 故选：B。</x:v>
      </x:c>
      <x:c r="N757" s="63" t="str">
        <x:v>https://k12static.xdf.cn/k12/image/externalized/811e4099-5c57-43d7-a0f0-0cdfdc6b75e2.png</x:v>
      </x:c>
      <x:c r="O757" s="63" t="str">
        <x:v>https://k12static.xdf.cn/k12/image/externalized/c9d71bab-99e8-4e06-a90a-8b6bc66a3b39.png</x:v>
      </x:c>
      <x:c r="P757" s="63" t="str">
        <x:v>3-5步</x:v>
      </x:c>
      <x:c r="Q757" s="63" t="str">
        <x:v>光学声学综合</x:v>
      </x:c>
      <x:c r="R757" s="63" t="str">
        <x:v>多状态</x:v>
      </x:c>
      <x:c r="S757" s="63" t="str">
        <x:v>单一约束</x:v>
      </x:c>
      <x:c r="T757" s="63" t="str">
        <x:v>控制变量或故障分析</x:v>
      </x:c>
      <x:c r="U757" s="63" t="str">
        <x:v>无</x:v>
      </x:c>
      <x:c r="V757" s="63" t="str">
        <x:v>多层因果推理</x:v>
      </x:c>
    </x:row>
    <x:row r="758">
      <x:c r="A758" s="64" t="str">
        <x:v>​2614225757996371968</x:v>
      </x:c>
      <x:c r="B758" s="65" t="str">
        <x:v>基础题</x:v>
      </x:c>
      <x:c r="C758" s="65" t="str">
        <x:v>基础题</x:v>
      </x:c>
      <x:c r="D758" s="65" t="str">
        <x:v>基础题</x:v>
      </x:c>
      <x:c r="E758" s="65" t="str">
        <x:v>保留原GPT裁定</x:v>
      </x:c>
      <x:c r="F758" s="65" t="str">
        <x:v>高</x:v>
      </x:c>
      <x:c r="G758" s="65" t="str">
        <x:v>基础题</x:v>
      </x:c>
      <x:c r="H758" s="65" t="str">
        <x:v>基础题</x:v>
      </x:c>
      <x:c r="I758" s="65" t="str">
        <x:v>题干、解析与结构证据支持基础题：step=1-2步，题型=概念判断，状态=单状态，约束=无约束，推理=多层因果推理。教师、盲评和多次模型证据中未形成足以推翻原裁定的同向结构证据。</x:v>
      </x:c>
      <x:c r="J758" s="65" t="str">
        <x:v>未进入三次错题并集；逐题结构一致性复核</x:v>
      </x:c>
      <x:c r="K758" s="63" t="str">
        <x:v>如图为小组同学学习长度测量后讨论交流的情景，下列关于误差的说法不正确的是（ ）</x:v>
      </x:c>
      <x:c r="L758" s="63" t="str">
        <x:v>A. 由于眼睛不可能精准读数，所以估读没有必要 B. 使用精密仪器、科学原理，仔细测量，误差是可以避免的 C. 测铅笔长度时通过多次测量求平均值的方法可以减小误差 D. 测量时多估读几位数可以减小误差</x:v>
      </x:c>
      <x:c r="M758" s="63" t="str">
        <x:v>解：A、在长度测量时，我们必须估读到分度值的下一位，这是有必要的，故A错误； B、使用精密仪器、科学原理，仔细测量，可以减小误差，但不能避免误差，故B错误； C、测铅笔长度时通过多次测量求平均值的方法可以减小误差，故C正确； D、测量时估读到分度值的下一位即可，多估读几位数并不能减小误差，故D错误。 故选：ABD。</x:v>
      </x:c>
      <x:c r="N758" s="63" t="str">
        <x:v>https://k12static.xdf.cn/k12/image/externalized/5c3893e5-ff40-4b6b-8e45-99600006bcee.png</x:v>
      </x:c>
      <x:c r="O758" s="63" t="str">
        <x:v>https://k12static.xdf.cn/k12/image/externalized/72e65bd2-c9c0-49c8-84ed-39557d56e22b.png</x:v>
      </x:c>
      <x:c r="P758" s="63" t="str">
        <x:v>1-2步</x:v>
      </x:c>
      <x:c r="Q758" s="63" t="str">
        <x:v>概念判断</x:v>
      </x:c>
      <x:c r="R758" s="63" t="str">
        <x:v>单状态</x:v>
      </x:c>
      <x:c r="S758" s="63" t="str">
        <x:v>无约束</x:v>
      </x:c>
      <x:c r="T758" s="63" t="str">
        <x:v>无</x:v>
      </x:c>
      <x:c r="U758" s="63" t="str">
        <x:v>无</x:v>
      </x:c>
      <x:c r="V758" s="63" t="str">
        <x:v>多层因果推理</x:v>
      </x:c>
    </x:row>
    <x:row r="759">
      <x:c r="A759" s="64" t="str">
        <x:v>​2623891277361733632</x:v>
      </x:c>
      <x:c r="B759" s="65" t="str">
        <x:v>中等题</x:v>
      </x:c>
      <x:c r="C759" s="65" t="str">
        <x:v>中等题</x:v>
      </x:c>
      <x:c r="D759" s="65" t="str">
        <x:v>中等题</x:v>
      </x:c>
      <x:c r="E759" s="65" t="str">
        <x:v>逐题复核后保留GPT裁定</x:v>
      </x:c>
      <x:c r="F759" s="65" t="str">
        <x:v>高</x:v>
      </x:c>
      <x:c r="G759" s="65" t="str">
        <x:v>中等题</x:v>
      </x:c>
      <x:c r="H759" s="65" t="str">
        <x:v>中等题</x:v>
      </x:c>
      <x:c r="I759" s="65" t="str">
        <x:v>存在约3—4步常规连续分析、共享过程或完整标准实验任务，关系仍显性。 题目证据：保留原标。最长有效链为3-5步、题型为概念判断、推理为多层因果推理，与中等题边界一致。 复核证据：教师标签与独立盲评一致；三次模型运行使用相近提示词，仅作为辅助证据，不足以推翻两者一致结论。。</x:v>
      </x:c>
      <x:c r="J759" s="65" t="str">
        <x:v>三次运行错题并集逐题复核</x:v>
      </x:c>
      <x:c r="K759" s="63" t="str">
        <x:v>1827年，人类第一次测定了水中的声速。实验人员分别在相距为L（L远大于船的长度）的甲、乙两条船上。甲船上的实验员在水面下方放一只钟，并在船上准备了一些火药，他在敲钟的同时点燃船上的火药。乙船上的实验员在水面下方放一个接收声音的装置，当他看见甲船上的火药闪光后，经过时间t后装置接收到钟声。下列说法正确的是（ ）</x:v>
      </x:c>
      <x:c r="L759" s="63" t="str">
        <x:v>A. 若不考虑光在空气中的传播时间，则$\frac{L}{t}$等于水中的实际声速 B. 若不考虑光在空气中的传播时间，则$\frac{L}{t}$小于水中的实际声速 C. 若考虑光在空气中的传播时间，则$\frac{L}{t}$小于水中的实际声速 D. 若考虑光在空气中的传播时间，则$\frac{L}{t}$大于水中的实际声速</x:v>
      </x:c>
      <x:c r="M759" s="63" t="str">
        <x:v>解：AB、若不考虑光在空气中的传播时间，则$\frac{L}{t}$等于水中的实际声速，故A正确，B错误； CD、若考虑光在空气中的传播时间，则测得的时间偏小，根据速度公式可知：测得的水中的声速偏大，则$\frac{L}{t}$大于水中的实际声速，故D正确，C错误。 故选：AD。</x:v>
      </x:c>
      <x:c r="N759" s="63" t="str">
        <x:v>https://k12static.xdf.cn/k12/image/externalized/c802481d-36f5-4acc-8705-23f9b3469b0b.png</x:v>
      </x:c>
      <x:c r="O759" s="63" t="str">
        <x:v>https://k12static.xdf.cn/k12/image/externalized/add2163e-47f6-4568-ad8c-e0cbcb2576af.png</x:v>
      </x:c>
      <x:c r="P759" s="63" t="str">
        <x:v>3-5步</x:v>
      </x:c>
      <x:c r="Q759" s="63" t="str">
        <x:v>概念判断</x:v>
      </x:c>
      <x:c r="R759" s="63" t="str">
        <x:v>单状态</x:v>
      </x:c>
      <x:c r="S759" s="63" t="str">
        <x:v>无约束</x:v>
      </x:c>
      <x:c r="T759" s="63" t="str">
        <x:v>无</x:v>
      </x:c>
      <x:c r="U759" s="63" t="str">
        <x:v>无</x:v>
      </x:c>
      <x:c r="V759" s="63" t="str">
        <x:v>多层因果推理</x:v>
      </x:c>
    </x:row>
    <x:row r="760">
      <x:c r="A760" s="64" t="str">
        <x:v>​2623910274790612992</x:v>
      </x:c>
      <x:c r="B760" s="65" t="str">
        <x:v>基础题</x:v>
      </x:c>
      <x:c r="C760" s="65" t="str">
        <x:v>基础题</x:v>
      </x:c>
      <x:c r="D760" s="65" t="str">
        <x:v>基础题</x:v>
      </x:c>
      <x:c r="E760" s="65" t="str">
        <x:v>保留原GPT裁定</x:v>
      </x:c>
      <x:c r="F760" s="65" t="str">
        <x:v>高</x:v>
      </x:c>
      <x:c r="G760" s="65" t="str">
        <x:v>基础题</x:v>
      </x:c>
      <x:c r="H760" s="65" t="str">
        <x:v>基础题</x:v>
      </x:c>
      <x:c r="I760" s="65" t="str">
        <x:v>题干、解析与结构证据支持基础题：step=1-2步，题型=概念判断，状态=单状态，约束=无约束，推理=多层因果推理。教师、盲评和多次模型证据中未形成足以推翻原裁定的同向结构证据。</x:v>
      </x:c>
      <x:c r="J760" s="65" t="str">
        <x:v>未进入三次错题并集；逐题结构一致性复核</x:v>
      </x:c>
      <x:c r="K760" s="63" t="str">
        <x:v>如图所示，关于“探究电磁联系”的四个实验情境，下列说法正确的是（ ）</x:v>
      </x:c>
      <x:c r="L760" s="63" t="str">
        <x:v>A. 甲实验中小磁针最终静止时与通电导线平行 B. 将乙实验中ab棒竖直上下移动时，灵敏电流计指针会左右摆动 C. 丙实验装置可以研究电磁铁的磁性强弱与电流大小的关系 D. 丁实验揭示了发电机的工作原理</x:v>
      </x:c>
      <x:c r="M760" s="63" t="str">
        <x:v>解：A、图甲装置是奥斯特实验，实验表明电流周围存在磁场，实验中小磁针最终静止时与通电导线垂直，故A错误； B、将乙实验中ab棒竖直上下移动时，不切割磁感线，不会产生感应电流，灵敏电流计指针不会左右摆动，故B错误； C、图丙装置两个电磁铁串联在电路中，电流相等，线圈匝数不同，所以可以探究电磁铁磁性强弱跟线圈匝数的关系；若移动滑动变阻器，可以改变电路中的电流，所以还可以探究电磁铁磁性强弱跟电流的关系，故C正确； D、图丁装置是通电导体在磁场中受力而运动，是电能转化为机械能，是电动机的原理，故D错误。 故选：C。</x:v>
      </x:c>
      <x:c r="N760" s="63" t="str">
        <x:v>https://k12static.xdf.cn/k12/image/externalized/888ed464-f909-43e7-a81f-f7f25cf0e225.png</x:v>
      </x:c>
      <x:c r="O760" s="63" t="str">
        <x:v>https://k12static.xdf.cn/k12/image/externalized/2c2b3986-cbb0-46cc-b665-c01905877590.png</x:v>
      </x:c>
      <x:c r="P760" s="63" t="str">
        <x:v>1-2步</x:v>
      </x:c>
      <x:c r="Q760" s="63" t="str">
        <x:v>概念判断</x:v>
      </x:c>
      <x:c r="R760" s="63" t="str">
        <x:v>单状态</x:v>
      </x:c>
      <x:c r="S760" s="63" t="str">
        <x:v>无约束</x:v>
      </x:c>
      <x:c r="T760" s="63" t="str">
        <x:v>基础操作或读数</x:v>
      </x:c>
      <x:c r="U760" s="63" t="str">
        <x:v>无</x:v>
      </x:c>
      <x:c r="V760" s="63" t="str">
        <x:v>多层因果推理</x:v>
      </x:c>
    </x:row>
    <x:row r="761">
      <x:c r="A761" s="64" t="str">
        <x:v>​2623910294252183552</x:v>
      </x:c>
      <x:c r="B761" s="65" t="str">
        <x:v>中等题</x:v>
      </x:c>
      <x:c r="C761" s="65" t="str">
        <x:v>中等题</x:v>
      </x:c>
      <x:c r="D761" s="65" t="str">
        <x:v>中等题</x:v>
      </x:c>
      <x:c r="E761" s="65" t="str">
        <x:v>保留原GPT裁定</x:v>
      </x:c>
      <x:c r="F761" s="65" t="str">
        <x:v>高</x:v>
      </x:c>
      <x:c r="G761" s="65" t="str">
        <x:v>中等题</x:v>
      </x:c>
      <x:c r="H761" s="65" t="str">
        <x:v>中等题</x:v>
      </x:c>
      <x:c r="I761" s="65" t="str">
        <x:v>题干、解析与结构证据支持中等题：step=3-5步，题型=概念判断，状态=单状态，约束=单一约束，推理=多层因果推理。教师、盲评和多次模型证据中未形成足以推翻原裁定的同向结构证据。</x:v>
      </x:c>
      <x:c r="J761" s="65" t="str">
        <x:v>未进入三次错题并集；逐题结构一致性复核</x:v>
      </x:c>
      <x:c r="K761" s="63" t="str">
        <x:v>如图所示的家庭电路中，闭合开关后灯泡不亮。用试电笔检测插座的两孔，发现只有插入右孔时氖管才发光。用试电笔检测A点氖管发光，检测B点氖管不发光。发生这一现象的原因可能是（ ）</x:v>
      </x:c>
      <x:c r="L761" s="63" t="str">
        <x:v>A. 灯丝断了 B. 灯泡短路 C. 开关接触不良 D. 插座短路</x:v>
      </x:c>
      <x:c r="M761" s="63" t="str">
        <x:v>解：用试电笔检测插座的两孔，发现只有插入右孔时氖管才发光，说明右孔连接的是火线，电路连接正常；用试电笔检测A点氖管发光，检测B点氖管不发光，说明在A、B两点之间出现了断路，可能灯丝断了。 故选：A。</x:v>
      </x:c>
      <x:c r="N761" s="63" t="str">
        <x:v>https://k12static.xdf.cn/k12/image/externalized/47dbc265-7258-4656-a313-221776bbe36e.png</x:v>
      </x:c>
      <x:c r="O761" s="63" t="str">
        <x:v>https://k12static.xdf.cn/k12/image/externalized/f8747a88-1dbf-4a47-921f-3b35af8f1236.png</x:v>
      </x:c>
      <x:c r="P761" s="63" t="str">
        <x:v>3-5步</x:v>
      </x:c>
      <x:c r="Q761" s="63" t="str">
        <x:v>概念判断</x:v>
      </x:c>
      <x:c r="R761" s="63" t="str">
        <x:v>单状态</x:v>
      </x:c>
      <x:c r="S761" s="63" t="str">
        <x:v>单一约束</x:v>
      </x:c>
      <x:c r="T761" s="63" t="str">
        <x:v>无</x:v>
      </x:c>
      <x:c r="U761" s="63" t="str">
        <x:v>无</x:v>
      </x:c>
      <x:c r="V761" s="63" t="str">
        <x:v>多层因果推理</x:v>
      </x:c>
    </x:row>
    <x:row r="762">
      <x:c r="A762" s="64" t="str">
        <x:v>​2623924593305608192</x:v>
      </x:c>
      <x:c r="B762" s="65" t="str">
        <x:v>中等题</x:v>
      </x:c>
      <x:c r="C762" s="65" t="str">
        <x:v>中等题</x:v>
      </x:c>
      <x:c r="D762" s="65" t="str">
        <x:v>中等题</x:v>
      </x:c>
      <x:c r="E762" s="65" t="str">
        <x:v>保留原GPT裁定</x:v>
      </x:c>
      <x:c r="F762" s="65" t="str">
        <x:v>高</x:v>
      </x:c>
      <x:c r="G762" s="65" t="str">
        <x:v>中等题</x:v>
      </x:c>
      <x:c r="H762" s="65" t="str">
        <x:v>中等题</x:v>
      </x:c>
      <x:c r="I762" s="65" t="str">
        <x:v>题干、解析与结构证据支持中等题：step=3-5步，题型=概念判断，状态=多状态，约束=单一约束，推理=多层因果推理。教师、盲评和多次模型证据中未形成足以推翻原裁定的同向结构证据。</x:v>
      </x:c>
      <x:c r="J762" s="65" t="str">
        <x:v>未进入三次错题并集；逐题结构一致性复核</x:v>
      </x:c>
      <x:c r="K762" s="63" t="str">
        <x:v>如图所示，小李把篮球竖直向上抛出，篮球先上升后下落，从抛出到落回地面的过程中始终受到与运动方向相反的空气阻力，且运动越快受到空气阻力越大，但阻力始终小于球的重力。则篮球在整个运动过程中所受合力大小（ ）</x:v>
      </x:c>
      <x:c r="L762" s="63" t="str">
        <x:v>A. 始终减小 B. 始终增大 C. 先减小后增大 D. 先增大后减小</x:v>
      </x:c>
      <x:c r="M762" s="63" t="str">
        <x:v>解：篮球抛出时受到两个力，竖直向下的重力和竖直向下的阻力，合力变为两力之和，一开始抛出后篮球的速度最大，阻力最大，所以此时合力最大； 当篮球上升过程中，阻力减小合力也逐渐减小，篮球在最高点时，仅受竖直向下的重力作用； 下降过程中，篮球受到竖直向下的重力和竖直向上的阻力，则此时合力为两力之差，重力大于阻力，而下降过程中阻力逐渐增大，合力逐渐减小，所以整个运动过程中，篮球所受合力逐渐减小。 由以上分析知，整个过程中，篮球所受的合力始终减小，故A正确，BCD错误。 故选：A。</x:v>
      </x:c>
      <x:c r="N762" s="63" t="str">
        <x:v>https://k12static.xdf.cn/k12/image/externalized/385bd17b-6c5c-4882-8cb6-005a6d4e6b17.png</x:v>
      </x:c>
      <x:c r="O762" s="63" t="str">
        <x:v>https://k12static.xdf.cn/k12/image/externalized/0f9ffdb3-78a8-4b53-b60a-620d7a665e93.png</x:v>
      </x:c>
      <x:c r="P762" s="63" t="str">
        <x:v>3-5步</x:v>
      </x:c>
      <x:c r="Q762" s="63" t="str">
        <x:v>概念判断</x:v>
      </x:c>
      <x:c r="R762" s="63" t="str">
        <x:v>多状态</x:v>
      </x:c>
      <x:c r="S762" s="63" t="str">
        <x:v>单一约束</x:v>
      </x:c>
      <x:c r="T762" s="63" t="str">
        <x:v>无</x:v>
      </x:c>
      <x:c r="U762" s="63" t="str">
        <x:v>无</x:v>
      </x:c>
      <x:c r="V762" s="63" t="str">
        <x:v>多层因果推理</x:v>
      </x:c>
    </x:row>
    <x:row r="763">
      <x:c r="A763" s="64" t="str">
        <x:v>​2623970651930910720</x:v>
      </x:c>
      <x:c r="B763" s="65" t="str">
        <x:v>基础题</x:v>
      </x:c>
      <x:c r="C763" s="65" t="str">
        <x:v>基础题</x:v>
      </x:c>
      <x:c r="D763" s="65" t="str">
        <x:v>基础题</x:v>
      </x:c>
      <x:c r="E763" s="65" t="str">
        <x:v>保留原GPT裁定</x:v>
      </x:c>
      <x:c r="F763" s="65" t="str">
        <x:v>高</x:v>
      </x:c>
      <x:c r="G763" s="65" t="str">
        <x:v>基础题</x:v>
      </x:c>
      <x:c r="H763" s="65" t="str">
        <x:v>基础题</x:v>
      </x:c>
      <x:c r="I763" s="65" t="str">
        <x:v>题干、解析与结构证据支持基础题：step=1-2步，题型=概念判断，状态=单状态，约束=无约束，推理=简单因果推理。教师、盲评和多次模型证据中未形成足以推翻原裁定的同向结构证据。</x:v>
      </x:c>
      <x:c r="J763" s="65" t="str">
        <x:v>未进入三次错题并集；逐题结构一致性复核</x:v>
      </x:c>
      <x:c r="K763" s="63" t="str">
        <x:v>2022年，兼顾低碳装置、环保宜教、复合空间、可拆卸、可移动、可长期使用的成都高新区“10m2的地球”低碳小屋在大源中央公园落成。如图所示，其顶部采用了太阳能光伏发电，可满足室内照明、多媒体播放的需求，是行走的低碳知识“宣传者”。关于光伏发电和“低碳”，下列说法正确的是（ ）</x:v>
      </x:c>
      <x:c r="L763" s="63" t="str">
        <x:v>A. 光伏发电是将太阳表面发生核裂变释放的光能转化为电能 B. 光伏发电利用的是不可再生能源，获得的电能是二次能源 C. 太阳能、风能、地热能等清洁能源的转换效率可达到100% D. 能源利用中部分硫化物、碳氧化物的大量排放会对环境造成破坏</x:v>
      </x:c>
      <x:c r="M763" s="63" t="str">
        <x:v>解：A、光伏发电是将太阳内部发生核聚变释放的光能转化为电能，故A错误； B、光伏发电利用的是太阳能，太阳能属于可再生能源，获得的电能是二次能源，故B错误； C、实际生产和生活中转换效率不可能达到100%，故C错误； D、能源利用中部分硫化物、碳氧化物的大量排放会对环境造成破坏，故D正确。 故选：D。</x:v>
      </x:c>
      <x:c r="N763" s="63" t="str">
        <x:v>https://k12static.xdf.cn/k12/image/externalized/7d108afa-8632-4e1c-8723-6adf8b345857.png</x:v>
      </x:c>
      <x:c r="O763" s="63" t="str">
        <x:v>https://k12static.xdf.cn/k12/image/externalized/072106dd-56ed-42b2-b66a-38a5e6dc0697.png</x:v>
      </x:c>
      <x:c r="P763" s="63" t="str">
        <x:v>1-2步</x:v>
      </x:c>
      <x:c r="Q763" s="63" t="str">
        <x:v>概念判断</x:v>
      </x:c>
      <x:c r="R763" s="63" t="str">
        <x:v>单状态</x:v>
      </x:c>
      <x:c r="S763" s="63" t="str">
        <x:v>无约束</x:v>
      </x:c>
      <x:c r="T763" s="63" t="str">
        <x:v>无</x:v>
      </x:c>
      <x:c r="U763" s="63" t="str">
        <x:v>无</x:v>
      </x:c>
      <x:c r="V763" s="63" t="str">
        <x:v>简单因果推理</x:v>
      </x:c>
    </x:row>
    <x:row r="764">
      <x:c r="A764" s="64" t="str">
        <x:v>​2624098313760432128</x:v>
      </x:c>
      <x:c r="B764" s="65" t="str">
        <x:v>中等题</x:v>
      </x:c>
      <x:c r="C764" s="65" t="str">
        <x:v>中等题</x:v>
      </x:c>
      <x:c r="D764" s="65" t="str">
        <x:v>中等题</x:v>
      </x:c>
      <x:c r="E764" s="65" t="str">
        <x:v>保留原GPT裁定</x:v>
      </x:c>
      <x:c r="F764" s="65" t="str">
        <x:v>高</x:v>
      </x:c>
      <x:c r="G764" s="65" t="str">
        <x:v>中等题</x:v>
      </x:c>
      <x:c r="H764" s="65" t="str">
        <x:v>中等题</x:v>
      </x:c>
      <x:c r="I764" s="65" t="str">
        <x:v>题干、解析与结构证据支持中等题：step=3-5步，题型=图像表格分析，状态=单状态，约束=无约束，推理=多层因果推理。教师、盲评和多次模型证据中未形成足以推翻原裁定的同向结构证据。</x:v>
      </x:c>
      <x:c r="J764" s="65" t="str">
        <x:v>未进入三次错题并集；逐题结构一致性复核</x:v>
      </x:c>
      <x:c r="K764" s="63" t="str">
        <x:v>两辆汽车在同一平直公路上同时出发，其路程与时间的关系如图所示。由图象可知（ ）</x:v>
      </x:c>
      <x:c r="L764" s="63" t="str">
        <x:v>A. 乙车的速度为15m/s B. 甲、乙两车在行驶20s时相遇 C. 行驶30s时，甲、乙相距150m D. 经过50s,甲比乙多行驶450m</x:v>
      </x:c>
      <x:c r="M764" s="63" t="str">
        <x:v>解：A、在t=20s时，乙车行驶的路程s乙=600m,v乙=$\frac{{s}_{乙}}{{t}_{乙}}=\frac{600m}{20s}$=30m/s,故A错误； B、由图得出行驶20s时甲车追上乙车，即甲、乙两车在行驶20s时相遇，故B正确； C、由图得，经过30s,甲车行驶到距参考点O900m的位置，乙车行驶到距参考点O750m的位置， 则两车相距Δs=900m-750m=150m,故C正确； D、由图得，再经过50s,甲车行驶了1500m,乙车行驶了1050m-300m=750m,则甲比乙多行驶Δs=1500m-750m=750m,故D错误。 故选：BC。</x:v>
      </x:c>
      <x:c r="N764" s="63" t="str">
        <x:v>https://k12static.xdf.cn/k12/image/externalized/e2b864be-c59d-4863-816f-355c3493322b.png</x:v>
      </x:c>
      <x:c r="O764" s="63" t="str">
        <x:v>https://k12static.xdf.cn/k12/image/externalized/92114985-27f2-4046-9627-3cda0f9592c3.png</x:v>
      </x:c>
      <x:c r="P764" s="63" t="str">
        <x:v>3-5步</x:v>
      </x:c>
      <x:c r="Q764" s="63" t="str">
        <x:v>图像表格分析</x:v>
      </x:c>
      <x:c r="R764" s="63" t="str">
        <x:v>单状态</x:v>
      </x:c>
      <x:c r="S764" s="63" t="str">
        <x:v>无约束</x:v>
      </x:c>
      <x:c r="T764" s="63" t="str">
        <x:v>无</x:v>
      </x:c>
      <x:c r="U764" s="63" t="str">
        <x:v>直接读数</x:v>
      </x:c>
      <x:c r="V764" s="63" t="str">
        <x:v>多层因果推理</x:v>
      </x:c>
    </x:row>
    <x:row r="765">
      <x:c r="A765" s="64" t="str">
        <x:v>​2624098556795183104</x:v>
      </x:c>
      <x:c r="B765" s="65" t="str">
        <x:v>中等题</x:v>
      </x:c>
      <x:c r="C765" s="65" t="str">
        <x:v>中等题</x:v>
      </x:c>
      <x:c r="D765" s="65" t="str">
        <x:v>中等题</x:v>
      </x:c>
      <x:c r="E765" s="65" t="str">
        <x:v>保留原GPT裁定</x:v>
      </x:c>
      <x:c r="F765" s="65" t="str">
        <x:v>高</x:v>
      </x:c>
      <x:c r="G765" s="65" t="str">
        <x:v>中等题</x:v>
      </x:c>
      <x:c r="H765" s="65" t="str">
        <x:v>中等题</x:v>
      </x:c>
      <x:c r="I765" s="65" t="str">
        <x:v>题干、解析与结构证据支持中等题：step=1-2步，题型=概念判断，状态=单状态，约束=无约束，推理=多层因果推理。教师、盲评和多次模型证据中未形成足以推翻原裁定的同向结构证据。</x:v>
      </x:c>
      <x:c r="J765" s="65" t="str">
        <x:v>未进入三次错题并集；逐题结构一致性复核</x:v>
      </x:c>
      <x:c r="K765" s="63" t="str">
        <x:v>青蒿素的发现者屠呦呦是首位获自然科学类诺贝尔奖的中国人。青蒿素受热容易失去活性，提取时不能将青蒿放在水中煮，而要放在液态乙醚中煮。下列说法正确的是（ ） 物质 凝固点/℃ 沸点/℃ 密度（kg•m-3） 水 0 100 1.0×103 乙醚 -116.2 34.6 0.714×103 酒精 -117.3 78 0.8×103</x:v>
      </x:c>
      <x:c r="L765" s="63" t="str">
        <x:v>A. 乙醚沸腾时吸热，温度逐渐升高 B. 如图是酒精和乙醚的m-V图象，则a图线表示是酒精 C. 1L酒精的质量为0.8kg D. 最多能装1kg酒精的瓶子，最多能装1.25kg的水</x:v>
      </x:c>
      <x:c r="M765" s="63" t="str">
        <x:v>解：A、液体沸腾时吸收热量，温度不变，所以乙醚沸腾时吸热但温度不变，故A错误； B、由表格数据知酒精的密度大于乙醚的，则在体积相同时，酒精的质量大于乙醚的质量，则a图线表示是酒精，故B正确； C、1L酒精的质量为m酒精=ρ酒精V酒精=0.8×103kg/m3×10-3m3=0.8kg,故C正确； D、最多能装1kg酒精的瓶子的容积V瓶=$\frac{{m'}_{酒精}}{{ρ}_{酒精}}=\frac{1kg}{0.8×1{0}^{3}kg/{m}^{3}}$=1.25×10-3m3，该瓶子最多能够装水的质量为m水=ρ水V瓶=1.0×103kg/m3×1.25×10-3m3=1.25kg,故D正确。 故选：BCD。</x:v>
      </x:c>
      <x:c r="N765" s="63" t="str">
        <x:v>https://k12static.xdf.cn/k12/image/externalized/3a8d120d-ddc2-4601-9abc-a6610b9c0806.png</x:v>
      </x:c>
      <x:c r="O765" s="63" t="str">
        <x:v>https://k12static.xdf.cn/k12/image/externalized/a73d1ecb-cd24-4920-a6bd-621db74dd994.png</x:v>
      </x:c>
      <x:c r="P765" s="63" t="str">
        <x:v>1-2步</x:v>
      </x:c>
      <x:c r="Q765" s="63" t="str">
        <x:v>概念判断</x:v>
      </x:c>
      <x:c r="R765" s="63" t="str">
        <x:v>单状态</x:v>
      </x:c>
      <x:c r="S765" s="63" t="str">
        <x:v>无约束</x:v>
      </x:c>
      <x:c r="T765" s="63" t="str">
        <x:v>无</x:v>
      </x:c>
      <x:c r="U765" s="63" t="str">
        <x:v>多组比较归纳</x:v>
      </x:c>
      <x:c r="V765" s="63" t="str">
        <x:v>多层因果推理</x:v>
      </x:c>
    </x:row>
    <x:row r="766">
      <x:c r="A766" s="64" t="str">
        <x:v>​2624100020221403136</x:v>
      </x:c>
      <x:c r="B766" s="65" t="str">
        <x:v>拔高题</x:v>
      </x:c>
      <x:c r="C766" s="65" t="str">
        <x:v>拔高题</x:v>
      </x:c>
      <x:c r="D766" s="65" t="str">
        <x:v>拔高题</x:v>
      </x:c>
      <x:c r="E766" s="65" t="str">
        <x:v>保留原GPT裁定</x:v>
      </x:c>
      <x:c r="F766" s="65" t="str">
        <x:v>高</x:v>
      </x:c>
      <x:c r="G766" s="65" t="str">
        <x:v>拔高题</x:v>
      </x:c>
      <x:c r="H766" s="65" t="str">
        <x:v>拔高题</x:v>
      </x:c>
      <x:c r="I766" s="65" t="str">
        <x:v>题干、解析与结构证据支持拔高题：step=3-5步，题型=实验探究，状态=单状态，约束=多约束，推理=逆向推理或临界分析。教师、盲评和多次模型证据中未形成足以推翻原裁定的同向结构证据。</x:v>
      </x:c>
      <x:c r="J766" s="65" t="str">
        <x:v>未进入三次错题并集；逐题结构一致性复核</x:v>
      </x:c>
      <x:c r="K766" s="63" t="str">
        <x:v>小明用如图所示电路“探究电流与电阻的关系”，其中电源电压4.5V、滑动变阻器的最大阻值为20Ω、五个定值电阻的阻值分别为5Ω、10Ω、15Ω、20Ω、25Ω。小明计划依次将五个电阻接入电路中，通过调节滑动变阻器的滑片，保持电压表的示数2.0V不变，但是实际操作时，当将20Ω和25Ω的定值电阻接入电路后，无论向哪个方向移动滑动变阻器的滑片，都无法使电压表的示数达到2.0V。为了完成上述五次实验，如下四个调整方案，其中可行的是（ ）</x:v>
      </x:c>
      <x:c r="L766" s="63" t="str">
        <x:v>A. 保持电压表示数2.0V不变，改变电源电压为3.0V，其余操作不变 B. 电源电压不变，让电压表的示数保持1.5V，其余操作不变 C. 电源电压不变，更换最大阻值为50Ω的滑动变阻器，其余操作不变 D. 电源电压不变，在电路中再串联一个20Ω的电阻，其余操作不变</x:v>
      </x:c>
      <x:c r="M766" s="63" t="str">
        <x:v>解：A、当定值电阻最大值为25Ω时，滑动变阻器的最大值为20Ω，若控制的定值电阻两端的电压不变，为2V，根据串联电路分压原理可知，滑动变阻器分担的电压为1.6V，则电源电压最大值为2V+1.6V=3.6V； 当滑动变阻器的阻值为零时，电压表的示数为2V，此时只有一个用电器，电压表也测量电源电压，故电源电压最小值为2V，因此电源电压需要控制在2～3.6V，故A正确； B、研究电流与电阻的关系，要控制电压表示数不变，滑动变阻器与定值电阻串联，设电压表示数为UV'，根据串联电路电压的规律，滑动变阻器分得的电压： U滑=U总-UV=4.5V-UV'， 根据分压原理有： $\frac{{U}_{滑}}{{U}_{V}'}$=$\frac{{R}_{滑}}{{R}_{定}}$， 即$\frac{4.5V-{U}_{V}'}{{U}_{V}'}$=$\frac{{R}_{滑}}{{R}_{定}}$------①， 因电压表示数UV'为定值，由①式知，方程左边为一定值，故右边也为一定值，故当定值电阻取最大时，滑动变阻器连入电路中的电阻最大，由①式得： $\frac{4.5V-{U}_{V}'}{{U}_{V}'}$=$\frac{20Ω}{25Ω}$， 解得电压表的示数：UV'=2.5V，即为完成实验，电压表的最小电压为2.5V＞1.5V，故B错误； CD、实验中使用的定值电阻阻值最大为25Ω，定值电阻两端的电压始终保持UV=2V，根据串联电路电压的规律，滑动变阻器分得的电压：U滑=U-UV=4.5V-2V=2.5V，滑动变阻器分得的电压为电压表示数的$\frac{2.5V}{2V}$=1.25倍，根据分压原理，当接入25Ω电阻时，滑动变阻器连入电路中的电阻为：R滑=1.25×25Ω=31.25Ω，即所选择的滑动变阻器的最大阻值不能小于31.25Ω，因此更换最大阻值为50Ω的滑动变阻器可以完成上述五次实验，故C正确； 电源电压不变，在电路中多串联一个20Ω的电阻，其余操作不变，此时20Ω电阻与滑动变阻器最大阻值之和为20Ω+20Ω=40Ω＞31.25Ω，故D正确。 故选：ACD。</x:v>
      </x:c>
      <x:c r="N766" s="63" t="str">
        <x:v>https://k12static.xdf.cn/k12/image/externalized/f6e96a37-c15f-4de3-a5f2-9d23028b5e80.png</x:v>
      </x:c>
      <x:c r="O766" s="63" t="str">
        <x:v>https://k12static.xdf.cn/k12/image/externalized/f24a3bd4-3ef3-4628-8dff-ce79e5dcea9c.png</x:v>
      </x:c>
      <x:c r="P766" s="63" t="str">
        <x:v>3-5步</x:v>
      </x:c>
      <x:c r="Q766" s="63" t="str">
        <x:v>实验探究</x:v>
      </x:c>
      <x:c r="R766" s="63" t="str">
        <x:v>单状态</x:v>
      </x:c>
      <x:c r="S766" s="63" t="str">
        <x:v>多约束</x:v>
      </x:c>
      <x:c r="T766" s="63" t="str">
        <x:v>方案设计或误差评价</x:v>
      </x:c>
      <x:c r="U766" s="63" t="str">
        <x:v>无</x:v>
      </x:c>
      <x:c r="V766" s="63" t="str">
        <x:v>逆向推理或临界分析</x:v>
      </x:c>
    </x:row>
    <x:row r="767">
      <x:c r="A767" s="64" t="str">
        <x:v>​2624100372425498624</x:v>
      </x:c>
      <x:c r="B767" s="65" t="str">
        <x:v>基础题</x:v>
      </x:c>
      <x:c r="C767" s="65" t="str">
        <x:v>基础题</x:v>
      </x:c>
      <x:c r="D767" s="65" t="str">
        <x:v>基础题</x:v>
      </x:c>
      <x:c r="E767" s="65" t="str">
        <x:v>保留原GPT裁定</x:v>
      </x:c>
      <x:c r="F767" s="65" t="str">
        <x:v>高</x:v>
      </x:c>
      <x:c r="G767" s="65" t="str">
        <x:v>基础题</x:v>
      </x:c>
      <x:c r="H767" s="65" t="str">
        <x:v>基础题</x:v>
      </x:c>
      <x:c r="I767" s="65" t="str">
        <x:v>题干、解析与结构证据支持基础题：step=1-2步，题型=概念判断，状态=单状态，约束=无约束，推理=简单因果推理。教师、盲评和多次模型证据中未形成足以推翻原裁定的同向结构证据。</x:v>
      </x:c>
      <x:c r="J767" s="65" t="str">
        <x:v>未进入三次错题并集；逐题结构一致性复核</x:v>
      </x:c>
      <x:c r="K767" s="63" t="str">
        <x:v>如图所示，将铁锁用绳子悬挂起来，拉到自己的鼻子附近，松手后铁锁来回摆动。在摆动过程中，下列说法正确的是（ ）</x:v>
      </x:c>
      <x:c r="L767" s="63" t="str">
        <x:v>A. 绳子对铁锁的拉力一直不做功 B. 铁锁在来回摆动过程中，其运动状态一直在发生变化 C. 铁锁从最高处向下摆动时，重力势能增大，动能减小 D. 铁锁上升的最大高度逐渐降低，说明机械能不守恒</x:v>
      </x:c>
      <x:c r="M767" s="63" t="str">
        <x:v>解：A．做功的两个必要因素：作用在物体上的力，物体在力的方向上通过的距离；铁锁来回摆动的过程中，没有在拉力的方向上通过距离，所以绳子对铁锁的拉力一直不做功，故A正确； B．摆动过程中，铁锁的速度大小和运动方向会发生变化，其运动状态一定发生变化，故B正确； C．铁锁从最高处向下摆动过程中，质量不变，高度变小，重力势能减少；质量不变，速度变大，动能增大，故C错误； D．铁锁自由摆动的过程中，铁锁上升的最大高度逐渐降低，说明受到阻力作用，所以机械能最终会转化为铁锁和空气的内能，即机械能不守恒，但总的能量保持不变，故D正确。 故选：ABD。</x:v>
      </x:c>
      <x:c r="N767" s="63" t="str">
        <x:v>https://k12static.xdf.cn/k12/image/externalized/84264c64-4b39-45a1-a91c-6c6ce9b8377d.png</x:v>
      </x:c>
      <x:c r="O767" s="63" t="str">
        <x:v>https://k12static.xdf.cn/k12/image/externalized/91701c71-66c7-4730-85d1-84fdc93635be.png</x:v>
      </x:c>
      <x:c r="P767" s="63" t="str">
        <x:v>1-2步</x:v>
      </x:c>
      <x:c r="Q767" s="63" t="str">
        <x:v>概念判断</x:v>
      </x:c>
      <x:c r="R767" s="63" t="str">
        <x:v>单状态</x:v>
      </x:c>
      <x:c r="S767" s="63" t="str">
        <x:v>无约束</x:v>
      </x:c>
      <x:c r="T767" s="63" t="str">
        <x:v>无</x:v>
      </x:c>
      <x:c r="U767" s="63" t="str">
        <x:v>无</x:v>
      </x:c>
      <x:c r="V767" s="63" t="str">
        <x:v>简单因果推理</x:v>
      </x:c>
    </x:row>
    <x:row r="768">
      <x:c r="A768" s="64" t="str">
        <x:v>​2627226997680607232</x:v>
      </x:c>
      <x:c r="B768" s="65" t="str">
        <x:v>基础题</x:v>
      </x:c>
      <x:c r="C768" s="65" t="str">
        <x:v>基础题</x:v>
      </x:c>
      <x:c r="D768" s="65" t="str">
        <x:v>基础题</x:v>
      </x:c>
      <x:c r="E768" s="65" t="str">
        <x:v>保留原GPT裁定</x:v>
      </x:c>
      <x:c r="F768" s="65" t="str">
        <x:v>高</x:v>
      </x:c>
      <x:c r="G768" s="65" t="str">
        <x:v>基础题</x:v>
      </x:c>
      <x:c r="H768" s="65" t="str">
        <x:v>基础题</x:v>
      </x:c>
      <x:c r="I768" s="65" t="str">
        <x:v>题干、解析与结构证据支持基础题：step=1-2步，题型=概念判断，状态=单状态，约束=无约束，推理=简单因果推理。教师、盲评和多次模型证据中未形成足以推翻原裁定的同向结构证据。</x:v>
      </x:c>
      <x:c r="J768" s="65" t="str">
        <x:v>未进入三次错题并集；逐题结构一致性复核</x:v>
      </x:c>
      <x:c r="K768" s="63" t="str">
        <x:v>关于热值、内能和热量，下列说法中正确的是（ ）</x:v>
      </x:c>
      <x:c r="L768" s="63" t="str">
        <x:v>A. 物体内能增大，一定从外界吸收了热量 B. 同一物体，温度越高内能越大 C. 燃料燃烧时，它的热值越来越小 D. 燃料燃烧得越充分，它的热值越大</x:v>
      </x:c>
      <x:c r="M768" s="63" t="str">
        <x:v>解：A、物体内能增大，可能吸收了热量，也可能对物体做了功，故A错误； B、同一物体，温度越高内能越大，说法正确； C、D、热值与物质的种类和状态有关，与其它因素无关，故CD错误。 故选：B。</x:v>
      </x:c>
      <x:c r="N768" s="63" t="str">
        <x:v>https://k12static.xdf.cn/k12/image/externalized/4e79ef3c-23c6-47f7-b57d-c138418fb7c6.png</x:v>
      </x:c>
      <x:c r="O768" s="63" t="str">
        <x:v>https://k12static.xdf.cn/k12/image/externalized/72ef82e6-1cd1-458c-be70-ca13d0712bc1.png</x:v>
      </x:c>
      <x:c r="P768" s="63" t="str">
        <x:v>1-2步</x:v>
      </x:c>
      <x:c r="Q768" s="63" t="str">
        <x:v>概念判断</x:v>
      </x:c>
      <x:c r="R768" s="63" t="str">
        <x:v>单状态</x:v>
      </x:c>
      <x:c r="S768" s="63" t="str">
        <x:v>无约束</x:v>
      </x:c>
      <x:c r="T768" s="63" t="str">
        <x:v>无</x:v>
      </x:c>
      <x:c r="U768" s="63" t="str">
        <x:v>无</x:v>
      </x:c>
      <x:c r="V768" s="63" t="str">
        <x:v>简单因果推理</x:v>
      </x:c>
    </x:row>
    <x:row r="769">
      <x:c r="A769" s="64" t="str">
        <x:v>​2629570563668725760</x:v>
      </x:c>
      <x:c r="B769" s="65" t="str">
        <x:v>基础题</x:v>
      </x:c>
      <x:c r="C769" s="65" t="str">
        <x:v>基础题</x:v>
      </x:c>
      <x:c r="D769" s="65" t="str">
        <x:v>基础题</x:v>
      </x:c>
      <x:c r="E769" s="65" t="str">
        <x:v>保留原GPT裁定</x:v>
      </x:c>
      <x:c r="F769" s="65" t="str">
        <x:v>高</x:v>
      </x:c>
      <x:c r="G769" s="65" t="str">
        <x:v>基础题</x:v>
      </x:c>
      <x:c r="H769" s="65" t="str">
        <x:v>基础题</x:v>
      </x:c>
      <x:c r="I769" s="65" t="str">
        <x:v>题干、解析与结构证据支持基础题：step=1-2步，题型=概念判断，状态=单状态，约束=无约束，推理=简单因果推理。教师、盲评和多次模型证据中未形成足以推翻原裁定的同向结构证据。</x:v>
      </x:c>
      <x:c r="J769" s="65" t="str">
        <x:v>未进入三次错题并集；逐题结构一致性复核</x:v>
      </x:c>
      <x:c r="K769" s="63" t="str">
        <x:v>刷脸支付是基于人工智能、机器视觉、3D传感、大数据等技术实现的新型支付方式，在刷脸支付过程中需要使用到摄像头进行拍摄，下列说法正确的是（ ）</x:v>
      </x:c>
      <x:c r="L769" s="63" t="str">
        <x:v>A. 摄像头成像原理与投影仪相同 B. 人到镜头距离小于镜头两倍焦距 C. 所成的像是缩小的像 D. 当人往镜头靠近时，成的像变小</x:v>
      </x:c>
      <x:c r="M769" s="63" t="str">
        <x:v>解：摄像头相当于一个凸透镜，光通过摄像头成倒立、缩小的实像，与照相机的成像特点相同；当u＞2f时，成倒立、缩小的实像，所以，“刷脸”时，面部应位于摄像头两倍焦距之外；当被拍摄的人靠近摄像头时，物距减小了，像距变大，人经摄像头所成的像会变大，故C正确。 故选：C。</x:v>
      </x:c>
      <x:c r="N769" s="63" t="str">
        <x:v>https://k12static.xdf.cn/k12/image/externalized/290e7473-4a86-4592-9218-797f41b7a94c.png</x:v>
      </x:c>
      <x:c r="O769" s="63" t="str">
        <x:v>https://k12static.xdf.cn/k12/image/externalized/5139e91d-a398-46ff-9d1c-6228c613e2fd.png</x:v>
      </x:c>
      <x:c r="P769" s="63" t="str">
        <x:v>1-2步</x:v>
      </x:c>
      <x:c r="Q769" s="63" t="str">
        <x:v>概念判断</x:v>
      </x:c>
      <x:c r="R769" s="63" t="str">
        <x:v>单状态</x:v>
      </x:c>
      <x:c r="S769" s="63" t="str">
        <x:v>无约束</x:v>
      </x:c>
      <x:c r="T769" s="63" t="str">
        <x:v>无</x:v>
      </x:c>
      <x:c r="U769" s="63" t="str">
        <x:v>无</x:v>
      </x:c>
      <x:c r="V769" s="63" t="str">
        <x:v>简单因果推理</x:v>
      </x:c>
    </x:row>
    <x:row r="770">
      <x:c r="A770" s="64" t="str">
        <x:v>​2630845697227583488</x:v>
      </x:c>
      <x:c r="B770" s="65" t="str">
        <x:v>中等题</x:v>
      </x:c>
      <x:c r="C770" s="65" t="str">
        <x:v>中等题</x:v>
      </x:c>
      <x:c r="D770" s="65" t="str">
        <x:v>中等题</x:v>
      </x:c>
      <x:c r="E770" s="65" t="str">
        <x:v>保留原GPT裁定</x:v>
      </x:c>
      <x:c r="F770" s="65" t="str">
        <x:v>高</x:v>
      </x:c>
      <x:c r="G770" s="65" t="str">
        <x:v>中等题</x:v>
      </x:c>
      <x:c r="H770" s="65" t="str">
        <x:v>中等题</x:v>
      </x:c>
      <x:c r="I770" s="65" t="str">
        <x:v>题干、解析与结构证据支持中等题：step=3-5步，题型=概念判断，状态=连续变化或临界状态，约束=单一约束，推理=多层因果推理。教师、盲评和多次模型证据中未形成足以推翻原裁定的同向结构证据。</x:v>
      </x:c>
      <x:c r="J770" s="65" t="str">
        <x:v>未进入三次错题并集；逐题结构一致性复核</x:v>
      </x:c>
      <x:c r="K770" s="63" t="str">
        <x:v>小蕊利用可绕O点转动的轻质杠杆提升重物，将重物悬挂在固定点B处，如图所示。她在A点施加一个始终垂直于杠杆的力，在将杠杆末端从A位置缓慢转动到A'位置的过程中，力F的大小变化是（ ）</x:v>
      </x:c>
      <x:c r="L770" s="63" t="str">
        <x:v>A. 变大 B. 变小 C. 先变大，后变小 D. 先变小，后变大</x:v>
      </x:c>
      <x:c r="M770" s="63" t="str">
        <x:v>解：将重物从A位置缓慢提升到B位置，如图所示， 动力F方向始终垂直于杠杆，所以动力臂长度为杠杆的长且大小不变； 当杠杆在水平位置时，阻力的力臂最大、且阻力大小不变（等于物重），根据杠杆平衡条件F1L1=F2L2可知，此时动力最大，所以杠杆转动的过程中动力先变大、后变小。 故选：C。</x:v>
      </x:c>
      <x:c r="N770" s="63" t="str">
        <x:v>https://k12static.xdf.cn/k12/image/externalized/c8b794b4-3fd1-4cd3-8353-28b05e449706.png</x:v>
      </x:c>
      <x:c r="O770" s="63" t="str">
        <x:v>https://k12static.xdf.cn/k12/image/externalized/a9fc4a36-b49c-4c33-a074-4e4bc1498b2a.png</x:v>
      </x:c>
      <x:c r="P770" s="63" t="str">
        <x:v>3-5步</x:v>
      </x:c>
      <x:c r="Q770" s="63" t="str">
        <x:v>概念判断</x:v>
      </x:c>
      <x:c r="R770" s="63" t="str">
        <x:v>连续变化或临界状态</x:v>
      </x:c>
      <x:c r="S770" s="63" t="str">
        <x:v>单一约束</x:v>
      </x:c>
      <x:c r="T770" s="63" t="str">
        <x:v>无</x:v>
      </x:c>
      <x:c r="U770" s="63" t="str">
        <x:v>无</x:v>
      </x:c>
      <x:c r="V770" s="63" t="str">
        <x:v>多层因果推理</x:v>
      </x:c>
    </x:row>
    <x:row r="771">
      <x:c r="A771" s="64" t="str">
        <x:v>​2634308278504755200</x:v>
      </x:c>
      <x:c r="B771" s="65" t="str">
        <x:v>中等题</x:v>
      </x:c>
      <x:c r="C771" s="65" t="str">
        <x:v>中等题</x:v>
      </x:c>
      <x:c r="D771" s="65" t="str">
        <x:v>中等题</x:v>
      </x:c>
      <x:c r="E771" s="65" t="str">
        <x:v>保留原GPT裁定</x:v>
      </x:c>
      <x:c r="F771" s="65" t="str">
        <x:v>高</x:v>
      </x:c>
      <x:c r="G771" s="65" t="str">
        <x:v>中等题</x:v>
      </x:c>
      <x:c r="H771" s="65" t="str">
        <x:v>中等题</x:v>
      </x:c>
      <x:c r="I771" s="65" t="str">
        <x:v>题干、解析与结构证据支持中等题：step=3-5步，题型=概念判断，状态=单状态，约束=无约束，推理=多层因果推理。教师、盲评和多次模型证据中未形成足以推翻原裁定的同向结构证据。</x:v>
      </x:c>
      <x:c r="J771" s="65" t="str">
        <x:v>未进入三次错题并集；逐题结构一致性复核</x:v>
      </x:c>
      <x:c r="K771" s="63" t="str">
        <x:v>使用托盘天平测量物体质量的时候，可能造成测量结果偏大的是（ ）</x:v>
      </x:c>
      <x:c r="L771" s="63" t="str">
        <x:v>A. 测量前，指针稍偏向分度盘的左边 B. 测量时，使用已磨损的砝码 C. 装有物体的盘上粘有一小块泥（调平时就有，未发现） D. 测量时，向右调动过平衡螺母</x:v>
      </x:c>
      <x:c r="M771" s="63" t="str">
        <x:v>解： A、测量前指针偏向刻度的左边，说明测量前左盘比右盘重，在测量时，若想使得天平平衡，应该加更多的砝码，将造成测量结果偏大；故A正确； B、磨损的砝码的实际质量要小于其上面标注的质量，如一个标有50g的砝码的实际质量可能是49g,而读数时仍按50g读取，这样会造成测量结果变大，故B正确； C、盘上粘有一小块泥，因在调平衡时就有，天平既然已平衡，使用时就不会造成结果变化，即所测值准确；故C错误； D、测量时平衡螺母向右移动一点，相当于在右盘加了一个小物体，若想使得天平平衡，应该加较少的砝码，将造成测量结果偏小；故D错误； 故选：AB。</x:v>
      </x:c>
      <x:c r="N771" s="63" t="str">
        <x:v>https://k12static.xdf.cn/k12/image/externalized/ba928537-fc78-4265-951c-93246b6b3c98.png</x:v>
      </x:c>
      <x:c r="O771" s="63" t="str">
        <x:v>https://k12static.xdf.cn/k12/image/externalized/5fc42005-ea2a-48ff-abe0-e48fe1643794.png</x:v>
      </x:c>
      <x:c r="P771" s="63" t="str">
        <x:v>3-5步</x:v>
      </x:c>
      <x:c r="Q771" s="63" t="str">
        <x:v>概念判断</x:v>
      </x:c>
      <x:c r="R771" s="63" t="str">
        <x:v>单状态</x:v>
      </x:c>
      <x:c r="S771" s="63" t="str">
        <x:v>无约束</x:v>
      </x:c>
      <x:c r="T771" s="63" t="str">
        <x:v>无</x:v>
      </x:c>
      <x:c r="U771" s="63" t="str">
        <x:v>无</x:v>
      </x:c>
      <x:c r="V771" s="63" t="str">
        <x:v>多层因果推理</x:v>
      </x:c>
    </x:row>
    <x:row r="772">
      <x:c r="A772" s="64" t="str">
        <x:v>​2635292210470080512</x:v>
      </x:c>
      <x:c r="B772" s="65" t="str">
        <x:v>中等题</x:v>
      </x:c>
      <x:c r="C772" s="65" t="str">
        <x:v>中等题</x:v>
      </x:c>
      <x:c r="D772" s="65" t="str">
        <x:v>中等题</x:v>
      </x:c>
      <x:c r="E772" s="65" t="str">
        <x:v>保留原GPT裁定</x:v>
      </x:c>
      <x:c r="F772" s="65" t="str">
        <x:v>高</x:v>
      </x:c>
      <x:c r="G772" s="65" t="str">
        <x:v>中等题</x:v>
      </x:c>
      <x:c r="H772" s="65" t="str">
        <x:v>中等题</x:v>
      </x:c>
      <x:c r="I772" s="65" t="str">
        <x:v>题干、解析与结构证据支持中等题：step=3-5步，题型=概念判断，状态=单状态，约束=无约束，推理=多层因果推理。教师、盲评和多次模型证据中未形成足以推翻原裁定的同向结构证据。</x:v>
      </x:c>
      <x:c r="J772" s="65" t="str">
        <x:v>未进入三次错题并集；逐题结构一致性复核</x:v>
      </x:c>
      <x:c r="K772" s="63" t="str">
        <x:v>在做“探究凸透镜成像的规律”实验时，小海记录并描绘出了像距随物距变化关系的图线，如图所示。图线中a、b、c三点所对应的蜡烛在光具座上的位置分别为A、B、C。下列说法正确的是（ ）</x:v>
      </x:c>
      <x:c r="L772" s="63" t="str">
        <x:v>A. 该凸透镜的焦距为20cm B. 蜡烛处于AB间某一位置时，光屏上成倒立缩小的实像 C. 蜡烛处于BC间某一位置时，光屏上成倒立放大的实像 D. 将蜡烛从C移动到B的过程中，光屏上所成的像逐渐变大</x:v>
      </x:c>
      <x:c r="M772" s="63" t="str">
        <x:v>解：A、图中u=v=20cm时成像，说明u=2f=20cm,则f=10cm,故A错误； B、蜡烛处于AB间某一位置时，f＜u＜2f,成倒立放大的实像，故B错误； C、蜡烛处于BC间某一位置时，u＞2f,成倒立缩小的实像，故C错误； D、将蜡烛从C移动到B的过程中，u变小，v变大，所成像逐渐变大，故D正确。 故选：D。</x:v>
      </x:c>
      <x:c r="N772" s="63" t="str">
        <x:v>https://k12static.xdf.cn/k12/image/externalized/24bd9d63-d7cd-4fcf-9d8b-6cc17dea5234.png</x:v>
      </x:c>
      <x:c r="O772" s="63" t="str">
        <x:v>https://k12static.xdf.cn/k12/image/externalized/8a9815a8-dcb5-483e-b2f5-e8996c2484b0.png</x:v>
      </x:c>
      <x:c r="P772" s="63" t="str">
        <x:v>3-5步</x:v>
      </x:c>
      <x:c r="Q772" s="63" t="str">
        <x:v>概念判断</x:v>
      </x:c>
      <x:c r="R772" s="63" t="str">
        <x:v>单状态</x:v>
      </x:c>
      <x:c r="S772" s="63" t="str">
        <x:v>无约束</x:v>
      </x:c>
      <x:c r="T772" s="63" t="str">
        <x:v>无</x:v>
      </x:c>
      <x:c r="U772" s="63" t="str">
        <x:v>图像反推或外推</x:v>
      </x:c>
      <x:c r="V772" s="63" t="str">
        <x:v>多层因果推理</x:v>
      </x:c>
    </x:row>
    <x:row r="773">
      <x:c r="A773" s="64" t="str">
        <x:v>​2654284791653445632</x:v>
      </x:c>
      <x:c r="B773" s="65" t="str">
        <x:v>基础题</x:v>
      </x:c>
      <x:c r="C773" s="65" t="str">
        <x:v>基础题</x:v>
      </x:c>
      <x:c r="D773" s="65" t="str">
        <x:v>基础题</x:v>
      </x:c>
      <x:c r="E773" s="65" t="str">
        <x:v>保留原GPT裁定</x:v>
      </x:c>
      <x:c r="F773" s="65" t="str">
        <x:v>高</x:v>
      </x:c>
      <x:c r="G773" s="65" t="str">
        <x:v>基础题</x:v>
      </x:c>
      <x:c r="H773" s="65" t="str">
        <x:v>基础题</x:v>
      </x:c>
      <x:c r="I773" s="65" t="str">
        <x:v>题干、解析与结构证据支持基础题：step=1-2步，题型=力学综合，状态=单状态，约束=单一约束，推理=简单因果推理。教师、盲评和多次模型证据中未形成足以推翻原裁定的同向结构证据。</x:v>
      </x:c>
      <x:c r="J773" s="65" t="str">
        <x:v>未进入三次错题并集；逐题结构一致性复核</x:v>
      </x:c>
      <x:c r="K773" s="63" t="str">
        <x:v>把质量相等的A、B两物体挂在如图滑轮组下面，不计绳子、滑轮的重力和摩擦，放手后（ ）</x:v>
      </x:c>
      <x:c r="L773" s="63" t="str">
        <x:v>A. A上升 B. A下降 C. A、B均静止 D. 无法判断</x:v>
      </x:c>
      <x:c r="M773" s="63" t="str">
        <x:v>解：B所在的滑轮为动滑轮，动滑轮省一半的力，A所在的滑轮为定滑轮，定滑轮不省力；A与B质量相等，重力相等，将B拉起只需A重力的一半即可，所以A下降，B上升。 故选：B。</x:v>
      </x:c>
      <x:c r="N773" s="63" t="str">
        <x:v>https://k12static.xdf.cn/k12/image/externalized/fc68612f-ab43-42dd-ab2b-8bc084c77be8.png</x:v>
      </x:c>
      <x:c r="O773" s="63" t="str">
        <x:v>https://k12static.xdf.cn/k12/image/externalized/842a4f15-b86a-4758-b708-4c07ffc0726e.png</x:v>
      </x:c>
      <x:c r="P773" s="63" t="str">
        <x:v>1-2步</x:v>
      </x:c>
      <x:c r="Q773" s="63" t="str">
        <x:v>力学综合</x:v>
      </x:c>
      <x:c r="R773" s="63" t="str">
        <x:v>单状态</x:v>
      </x:c>
      <x:c r="S773" s="63" t="str">
        <x:v>单一约束</x:v>
      </x:c>
      <x:c r="T773" s="63" t="str">
        <x:v>无</x:v>
      </x:c>
      <x:c r="U773" s="63" t="str">
        <x:v>无</x:v>
      </x:c>
      <x:c r="V773" s="63" t="str">
        <x:v>简单因果推理</x:v>
      </x:c>
    </x:row>
    <x:row r="774">
      <x:c r="A774" s="64" t="str">
        <x:v>​2660185943896580096</x:v>
      </x:c>
      <x:c r="B774" s="65" t="str">
        <x:v>基础题</x:v>
      </x:c>
      <x:c r="C774" s="65" t="str">
        <x:v>基础题</x:v>
      </x:c>
      <x:c r="D774" s="65" t="str">
        <x:v>基础题</x:v>
      </x:c>
      <x:c r="E774" s="65" t="str">
        <x:v>保留原GPT裁定</x:v>
      </x:c>
      <x:c r="F774" s="65" t="str">
        <x:v>高</x:v>
      </x:c>
      <x:c r="G774" s="65" t="str">
        <x:v>基础题</x:v>
      </x:c>
      <x:c r="H774" s="65" t="str">
        <x:v>基础题</x:v>
      </x:c>
      <x:c r="I774" s="65" t="str">
        <x:v>题干、解析与结构证据支持基础题：step=1-2步，题型=概念判断，状态=单状态，约束=无约束，推理=简单因果推理。教师、盲评和多次模型证据中未形成足以推翻原裁定的同向结构证据。</x:v>
      </x:c>
      <x:c r="J774" s="65" t="str">
        <x:v>未进入三次错题并集；逐题结构一致性复核</x:v>
      </x:c>
      <x:c r="K774" s="63" t="str">
        <x:v>关于光的传播过程，下列说法中正确的是（ ）</x:v>
      </x:c>
      <x:c r="L774" s="63" t="str">
        <x:v>A. 光的传播方向不变 B. 光在真空中的传播速度是3×105km/s C. 光在同种均匀介质中沿直线传播 D. 光在水中的速度与在空气中的速度不同</x:v>
      </x:c>
      <x:c r="M774" s="63" t="str">
        <x:v>解：A、光从一种透明介质斜射入另一种透明介质时，光的传播方向一定改变；光从一种介质垂直射入另一种介质时，传播方向不改变，故A错误； B、光在真空中的传播速度最大，为3×108m/s,即3×105km/s,故B正确； C、在同种均匀介质中，光是沿直线传播的，故C正确； D、光在水中的传播速度为空气中传播速度的$\frac{3}{4}$，即光在水中的速度与在空气中的速度不同，故D正确。 故选：BCD。</x:v>
      </x:c>
      <x:c r="N774" s="63" t="str">
        <x:v>https://k12static.xdf.cn/k12/image/externalized/549da292-df96-4a7f-a5ff-9959e0c3bc53.png</x:v>
      </x:c>
      <x:c r="O774" s="63" t="str">
        <x:v>https://k12static.xdf.cn/k12/image/externalized/48b1afa1-78e0-4006-825d-b7d8ef2b61f4.png</x:v>
      </x:c>
      <x:c r="P774" s="63" t="str">
        <x:v>1-2步</x:v>
      </x:c>
      <x:c r="Q774" s="63" t="str">
        <x:v>概念判断</x:v>
      </x:c>
      <x:c r="R774" s="63" t="str">
        <x:v>单状态</x:v>
      </x:c>
      <x:c r="S774" s="63" t="str">
        <x:v>无约束</x:v>
      </x:c>
      <x:c r="T774" s="63" t="str">
        <x:v>无</x:v>
      </x:c>
      <x:c r="U774" s="63" t="str">
        <x:v>无</x:v>
      </x:c>
      <x:c r="V774" s="63" t="str">
        <x:v>简单因果推理</x:v>
      </x:c>
    </x:row>
    <x:row r="775">
      <x:c r="A775" s="64" t="str">
        <x:v>​2665923142632894464</x:v>
      </x:c>
      <x:c r="B775" s="65" t="str">
        <x:v>基础题</x:v>
      </x:c>
      <x:c r="C775" s="65" t="str">
        <x:v>基础题</x:v>
      </x:c>
      <x:c r="D775" s="65" t="str">
        <x:v>基础题</x:v>
      </x:c>
      <x:c r="E775" s="65" t="str">
        <x:v>保留原GPT裁定</x:v>
      </x:c>
      <x:c r="F775" s="65" t="str">
        <x:v>高</x:v>
      </x:c>
      <x:c r="G775" s="65" t="str">
        <x:v>基础题</x:v>
      </x:c>
      <x:c r="H775" s="65" t="str">
        <x:v>基础题</x:v>
      </x:c>
      <x:c r="I775" s="65" t="str">
        <x:v>题干、解析与结构证据支持基础题：step=1-2步，题型=概念判断，状态=单状态，约束=无约束，推理=简单因果推理。教师、盲评和多次模型证据中未形成足以推翻原裁定的同向结构证据。</x:v>
      </x:c>
      <x:c r="J775" s="65" t="str">
        <x:v>未进入三次错题并集；逐题结构一致性复核</x:v>
      </x:c>
      <x:c r="K775" s="63" t="str">
        <x:v>把物体放在离凸透镜30cm处时，在透镜的另一侧光屏上，得到物体倒立、缩小的实像，这个透镜的焦距可能是（ ）</x:v>
      </x:c>
      <x:c r="L775" s="63" t="str">
        <x:v>A. 10 cm B. 20 cm C. 25 cm D. 30 cm</x:v>
      </x:c>
      <x:c r="M775" s="63" t="str">
        <x:v>解：物体距凸透镜30cm时，在光屏上能得到物体倒立、缩小的实像，说明物距大于二倍焦距，即30cm＞2f,f＜15cm。 故选：A。</x:v>
      </x:c>
      <x:c r="N775" s="63" t="str">
        <x:v>https://k12static.xdf.cn/k12/image/externalized/e2b9a20e-f21b-47a0-afa5-e8faecb9a15d.png</x:v>
      </x:c>
      <x:c r="O775" s="63" t="str">
        <x:v>https://k12static.xdf.cn/k12/image/externalized/4d4105f2-80ca-45d7-8f6d-1d0f020e18ca.png</x:v>
      </x:c>
      <x:c r="P775" s="63" t="str">
        <x:v>1-2步</x:v>
      </x:c>
      <x:c r="Q775" s="63" t="str">
        <x:v>概念判断</x:v>
      </x:c>
      <x:c r="R775" s="63" t="str">
        <x:v>单状态</x:v>
      </x:c>
      <x:c r="S775" s="63" t="str">
        <x:v>无约束</x:v>
      </x:c>
      <x:c r="T775" s="63" t="str">
        <x:v>无</x:v>
      </x:c>
      <x:c r="U775" s="63" t="str">
        <x:v>无</x:v>
      </x:c>
      <x:c r="V775" s="63" t="str">
        <x:v>简单因果推理</x:v>
      </x:c>
    </x:row>
    <x:row r="776">
      <x:c r="A776" s="64" t="str">
        <x:v>​2670251820723011584</x:v>
      </x:c>
      <x:c r="B776" s="65" t="str">
        <x:v>中等题</x:v>
      </x:c>
      <x:c r="C776" s="65" t="str">
        <x:v>中等题</x:v>
      </x:c>
      <x:c r="D776" s="65" t="str">
        <x:v>中等题</x:v>
      </x:c>
      <x:c r="E776" s="65" t="str">
        <x:v>保留原GPT裁定</x:v>
      </x:c>
      <x:c r="F776" s="65" t="str">
        <x:v>高</x:v>
      </x:c>
      <x:c r="G776" s="65" t="str">
        <x:v>中等题</x:v>
      </x:c>
      <x:c r="H776" s="65" t="str">
        <x:v>中等题</x:v>
      </x:c>
      <x:c r="I776" s="65" t="str">
        <x:v>题干、解析与结构证据支持中等题：step=3-5步，题型=概念判断，状态=双状态，约束=无约束，推理=多层因果推理。教师、盲评和多次模型证据中未形成足以推翻原裁定的同向结构证据。</x:v>
      </x:c>
      <x:c r="J776" s="65" t="str">
        <x:v>未进入三次错题并集；逐题结构一致性复核</x:v>
      </x:c>
      <x:c r="K776" s="63" t="str">
        <x:v>在测量纸锥下落速度的实验中，小明用每隔相等时间拍照一次的相机，拍得如图所示的照片，这种相机说明书上的描述如下：“…每秒拍照4次，像成在同一底片上…”。下列说法正确的是（ ）</x:v>
      </x:c>
      <x:c r="L776" s="63" t="str">
        <x:v>A. 纸锥从E到F下落的速度是0.8m/s B. 纸锥运动的时间tAB＜tCD C. 纸锥从A到F下落的速度一直变大 D. 若换成锥角更小的纸锥，从相同的高度下落，其平均速度减小</x:v>
      </x:c>
      <x:c r="M776" s="63" t="str">
        <x:v>解：B、根据题意可知，照相机每秒拍照4次，则相邻的两个位置之间的时间是相同的，即tAB=tCD；故B错误； C、相邻的两个位置之间的时间，由图可知，从A到D纸锥下落的过程中，相邻两个位置之间的高度变大，根据v=$\frac{s}{t}$可知，速度越来越大；DE和EF的路程相同，故DF段做匀速运动，故C错误； A、由图可知，刻度尺的分度值为1cm；E到F的路程为：100.0cm-80.0cm=20.0cm=0.200m； 照相机每秒拍照4次，则EF之间的时间为t=0.25s； 纸锥下落的速度是：v=$\frac{s}{t}$=$\frac{0.2m}{0.25s}$=0.8m/s,故A正确； D、若减小纸锥的锥角，空气阻力减小，所以从相同的高度下落，平均速度将会增大。故D错误。 故选：A。</x:v>
      </x:c>
      <x:c r="N776" s="63" t="str">
        <x:v>https://k12static.xdf.cn/k12/image/externalized/bad36dec-9434-42e3-8012-19c38cd316f5.png</x:v>
      </x:c>
      <x:c r="O776" s="63" t="str">
        <x:v>https://k12static.xdf.cn/k12/image/externalized/75c3ff13-586d-4868-9ef0-1e55dd18e9f9.png</x:v>
      </x:c>
      <x:c r="P776" s="63" t="str">
        <x:v>3-5步</x:v>
      </x:c>
      <x:c r="Q776" s="63" t="str">
        <x:v>概念判断</x:v>
      </x:c>
      <x:c r="R776" s="63" t="str">
        <x:v>双状态</x:v>
      </x:c>
      <x:c r="S776" s="63" t="str">
        <x:v>无约束</x:v>
      </x:c>
      <x:c r="T776" s="63" t="str">
        <x:v>无</x:v>
      </x:c>
      <x:c r="U776" s="63" t="str">
        <x:v>直接读数</x:v>
      </x:c>
      <x:c r="V776" s="63" t="str">
        <x:v>多层因果推理</x:v>
      </x:c>
    </x:row>
    <x:row r="777">
      <x:c r="A777" s="64" t="str">
        <x:v>​2676009100826382336</x:v>
      </x:c>
      <x:c r="B777" s="65" t="str">
        <x:v>基础题</x:v>
      </x:c>
      <x:c r="C777" s="65" t="str">
        <x:v>基础题</x:v>
      </x:c>
      <x:c r="D777" s="65" t="str">
        <x:v>基础题</x:v>
      </x:c>
      <x:c r="E777" s="65" t="str">
        <x:v>保留原GPT裁定</x:v>
      </x:c>
      <x:c r="F777" s="65" t="str">
        <x:v>高</x:v>
      </x:c>
      <x:c r="G777" s="65" t="str">
        <x:v>基础题</x:v>
      </x:c>
      <x:c r="H777" s="65" t="str">
        <x:v>基础题</x:v>
      </x:c>
      <x:c r="I777" s="65" t="str">
        <x:v>题干、解析与结构证据支持基础题：step=1-2步，题型=概念判断，状态=单状态，约束=无约束，推理=简单因果推理。教师、盲评和多次模型证据中未形成足以推翻原裁定的同向结构证据。</x:v>
      </x:c>
      <x:c r="J777" s="65" t="str">
        <x:v>未进入三次错题并集；逐题结构一致性复核</x:v>
      </x:c>
      <x:c r="K777" s="63" t="str">
        <x:v>2023年3月16日，甘肃玉门抽水蓄能电站正式开工建设。该电站可以利用风能和太阳能资源充足时发电获得的部分电能，将水抽到高处转化为水的机械能储存起来，需要时再利用高处水的重力势能发电，从而弥补了风能、太阳能不稳定且转化的电能难储存的不足，实现了能量的互补，堪称电力系统的巨型“充电宝”。下列说法正确的是（ ）</x:v>
      </x:c>
      <x:c r="L777" s="63" t="str">
        <x:v>A. 风能、太阳能和核能都是可再生能源 B. 电站抽水蓄能时将电能转化为机械能 C. 高处的水发电时将风能转化为电能 D. 利用太阳能发电是将化学能转化为电能</x:v>
      </x:c>
      <x:c r="M777" s="63" t="str">
        <x:v>解：A、风能、太阳能都是可再生能源，核能是不可再生能源，故A错误； B、电站抽水蓄能时消耗了电能，水被抽到高处，水的机械能增大，这一过程中电能转化为机械能，故B正确； C、高处的水发电时流动的水推动发电机工作，获得的是电能，消耗的是水的动能，这一过程中机械能转化为电能，故C错误； D、太阳能发电是将太阳能转化为电能，故D错误。 故选：B。</x:v>
      </x:c>
      <x:c r="N777" s="63" t="str">
        <x:v>https://k12static.xdf.cn/k12/image/externalized/de895d3c-d0d2-48a0-b4e9-90965e46f84e.png</x:v>
      </x:c>
      <x:c r="O777" s="63" t="str">
        <x:v>https://k12static.xdf.cn/k12/image/externalized/a80ebdc1-4ca4-4e3d-9d76-5f59dad482d4.png</x:v>
      </x:c>
      <x:c r="P777" s="63" t="str">
        <x:v>1-2步</x:v>
      </x:c>
      <x:c r="Q777" s="63" t="str">
        <x:v>概念判断</x:v>
      </x:c>
      <x:c r="R777" s="63" t="str">
        <x:v>单状态</x:v>
      </x:c>
      <x:c r="S777" s="63" t="str">
        <x:v>无约束</x:v>
      </x:c>
      <x:c r="T777" s="63" t="str">
        <x:v>无</x:v>
      </x:c>
      <x:c r="U777" s="63" t="str">
        <x:v>无</x:v>
      </x:c>
      <x:c r="V777" s="63" t="str">
        <x:v>简单因果推理</x:v>
      </x:c>
    </x:row>
    <x:row r="778">
      <x:c r="A778" s="64" t="str">
        <x:v>​2677632769440202752</x:v>
      </x:c>
      <x:c r="B778" s="65" t="str">
        <x:v>中等题</x:v>
      </x:c>
      <x:c r="C778" s="65" t="str">
        <x:v>中等题</x:v>
      </x:c>
      <x:c r="D778" s="65" t="str">
        <x:v>中等题</x:v>
      </x:c>
      <x:c r="E778" s="65" t="str">
        <x:v>逐题复核后保留GPT裁定</x:v>
      </x:c>
      <x:c r="F778" s="65" t="str">
        <x:v>高</x:v>
      </x:c>
      <x:c r="G778" s="65" t="str">
        <x:v>中等题</x:v>
      </x:c>
      <x:c r="H778" s="65" t="str">
        <x:v>中等题</x:v>
      </x:c>
      <x:c r="I778" s="65" t="str">
        <x:v>需要围绕力学模型、运动/受力与能量关系完成常规的3—4个有效决策，或完成一套完整标准实验/共享过程分析。关系仍显性、方法常规，没有决定性隐含转换、复杂边界筛选或多状态强耦合。</x:v>
      </x:c>
      <x:c r="J778" s="65" t="str">
        <x:v>三次运行错题并集逐题复核</x:v>
      </x:c>
      <x:c r="K778" s="63" t="str">
        <x:v>第一次测定铸铁里的声速是在巴黎。具体的方法是：将铸铁自来水管中的水放尽，然后在管的一端敲一下，在管的另一端听到了两次响声，测得两次相声相隔2.5s,已知铸铁管长913m,空气中的声速是340m/s,求声在铸铁中的传播速度。</x:v>
      </x:c>
      <x:c r="L778" s="63" t="str"/>
      <x:c r="M778" s="63" t="str">
        <x:v>解：∵管长s=913m,空气中的声速是v声=340m/s,两次声响相隔时间t=2.5s, ∴$\frac{s}{{v}_{空气}}$-$\frac{s}{{v}_{铁}}$=t, 即：$\frac{913m}{340m/s}$-$\frac{913m}{{v}_{铁}}$=2.5s, 解得：v铁≈4935.1m/s。 答：声在铸铁中的传播速度约为4935.1m/s。</x:v>
      </x:c>
      <x:c r="N778" s="63" t="str">
        <x:v>https://k12static.xdf.cn/k12/image/externalized/c3e41a66-f413-4bfb-b63f-d4b1d6278b99.png</x:v>
      </x:c>
      <x:c r="O778" s="63" t="str">
        <x:v>https://k12static.xdf.cn/k12/image/externalized/6e0edfdf-0abf-4cc9-a862-e6fe15b80f4e.png</x:v>
      </x:c>
      <x:c r="P778" s="63" t="str">
        <x:v>1-2步</x:v>
      </x:c>
      <x:c r="Q778" s="63" t="str">
        <x:v>力学综合</x:v>
      </x:c>
      <x:c r="R778" s="63" t="str">
        <x:v>单状态</x:v>
      </x:c>
      <x:c r="S778" s="63" t="str">
        <x:v>单一约束</x:v>
      </x:c>
      <x:c r="T778" s="63" t="str">
        <x:v>无</x:v>
      </x:c>
      <x:c r="U778" s="63" t="str">
        <x:v>无</x:v>
      </x:c>
      <x:c r="V778" s="63" t="str">
        <x:v>简单因果推理</x:v>
      </x:c>
    </x:row>
    <x:row r="779">
      <x:c r="A779" s="64" t="str">
        <x:v>​2693227725309968384</x:v>
      </x:c>
      <x:c r="B779" s="65" t="str">
        <x:v>基础题</x:v>
      </x:c>
      <x:c r="C779" s="65" t="str">
        <x:v>基础题</x:v>
      </x:c>
      <x:c r="D779" s="65" t="str">
        <x:v>基础题</x:v>
      </x:c>
      <x:c r="E779" s="65" t="str">
        <x:v>保留原GPT裁定</x:v>
      </x:c>
      <x:c r="F779" s="65" t="str">
        <x:v>高</x:v>
      </x:c>
      <x:c r="G779" s="65" t="str">
        <x:v>基础题</x:v>
      </x:c>
      <x:c r="H779" s="65" t="str">
        <x:v>基础题</x:v>
      </x:c>
      <x:c r="I779" s="65" t="str">
        <x:v>题干、解析与结构证据支持基础题：step=1-2步，题型=概念判断，状态=单状态，约束=无约束，推理=简单因果推理。教师、盲评和多次模型证据中未形成足以推翻原裁定的同向结构证据。</x:v>
      </x:c>
      <x:c r="J779" s="65" t="str">
        <x:v>未进入三次错题并集；逐题结构一致性复核</x:v>
      </x:c>
      <x:c r="K779" s="63" t="str">
        <x:v>下面四个光通过透镜的光路图中正确的是（ ）</x:v>
      </x:c>
      <x:c r="L779" s="63" t="str"/>
      <x:c r="M779" s="63" t="str">
        <x:v>解： A、对于凹透镜，过光心的光线其传播方向不变，故A错误； B、对于凸透镜，平行于主光轴的光线经凸透镜折射后折射光线通过焦点，故B错误； C、对于凸透镜，入射光线不属于凸透镜的三条特殊光线，两条光线经凸透镜折射后变得会聚一些，故C正确； D、对于凹透镜，平行于主光轴的入射光线经凹透镜折射后折射光线反向延长通过虚焦点，故D错误。 故选：C。</x:v>
      </x:c>
      <x:c r="N779" s="63" t="str">
        <x:v>https://k12static.xdf.cn/k12/image/externalized/a82ac82d-e2cd-41d6-948b-72e46f95b1a3.png</x:v>
      </x:c>
      <x:c r="O779" s="63" t="str">
        <x:v>https://k12static.xdf.cn/k12/image/externalized/ce485f9d-f52f-4898-826b-c5d6665bedfc.png</x:v>
      </x:c>
      <x:c r="P779" s="63" t="str">
        <x:v>1-2步</x:v>
      </x:c>
      <x:c r="Q779" s="63" t="str">
        <x:v>概念判断</x:v>
      </x:c>
      <x:c r="R779" s="63" t="str">
        <x:v>单状态</x:v>
      </x:c>
      <x:c r="S779" s="63" t="str">
        <x:v>无约束</x:v>
      </x:c>
      <x:c r="T779" s="63" t="str">
        <x:v>无</x:v>
      </x:c>
      <x:c r="U779" s="63" t="str">
        <x:v>无</x:v>
      </x:c>
      <x:c r="V779" s="63" t="str">
        <x:v>简单因果推理</x:v>
      </x:c>
    </x:row>
    <x:row r="780">
      <x:c r="A780" s="64" t="str">
        <x:v>​2696329697105305600</x:v>
      </x:c>
      <x:c r="B780" s="65" t="str">
        <x:v>拔高题</x:v>
      </x:c>
      <x:c r="C780" s="65" t="str">
        <x:v>拔高题</x:v>
      </x:c>
      <x:c r="D780" s="65" t="str">
        <x:v>拔高题</x:v>
      </x:c>
      <x:c r="E780" s="65" t="str">
        <x:v>保留原GPT裁定</x:v>
      </x:c>
      <x:c r="F780" s="65" t="str">
        <x:v>高</x:v>
      </x:c>
      <x:c r="G780" s="65" t="str">
        <x:v>拔高题</x:v>
      </x:c>
      <x:c r="H780" s="65" t="str">
        <x:v>拔高题</x:v>
      </x:c>
      <x:c r="I780" s="65" t="str">
        <x:v>题干、解析与结构证据支持拔高题：step=3-5步，题型=力学综合，状态=多状态，约束=单一约束，推理=多层因果推理。教师、盲评和多次模型证据中未形成足以推翻原裁定的同向结构证据。</x:v>
      </x:c>
      <x:c r="J780" s="65" t="str">
        <x:v>未进入三次错题并集；逐题结构一致性复核</x:v>
      </x:c>
      <x:c r="K780" s="63" t="str">
        <x:v>一根质量为m、长为L的均匀链条一半放在粗糙的水平桌面上，另一半挂在桌边，如图中（a）所示，此时链条的重心为C1．若在链条两端各挂一个质量为$\frac{m}{2}$的小球，如图中（b）所示，此时链条的重心为C2．若在链条两端和中央各挂一个质量为$\frac{m}{2}$的小球，如图中（c）所示，此时链条的重心为C3（C1、C2、C3在图中均未标出）。比较三个重心的高度h1、h2和h3的关系（ ）</x:v>
      </x:c>
      <x:c r="L780" s="63" t="str">
        <x:v>A. h1=h2=h3 B. h1＜h2＜h3 C. h1＞h2＞h3 D. h1＞h3＞h2</x:v>
      </x:c>
      <x:c r="M780" s="63" t="str">
        <x:v>解：分别研究桌面以上部分和桌面以下部分，则可得出两部分的重心；连接两点，则连线与角平分线的交点即为重心，如图所示； 则可得出h1＞h3＞h2； 故选：D。</x:v>
      </x:c>
      <x:c r="N780" s="63" t="str">
        <x:v>https://k12static.xdf.cn/k12/image/externalized/181dff08-b141-44a7-ab91-ca5d4c63c553.png</x:v>
      </x:c>
      <x:c r="O780" s="63" t="str">
        <x:v>https://k12static.xdf.cn/k12/image/externalized/214c2877-b8b8-4755-a164-0c6da0366f35.png</x:v>
      </x:c>
      <x:c r="P780" s="63" t="str">
        <x:v>3-5步</x:v>
      </x:c>
      <x:c r="Q780" s="63" t="str">
        <x:v>力学综合</x:v>
      </x:c>
      <x:c r="R780" s="63" t="str">
        <x:v>多状态</x:v>
      </x:c>
      <x:c r="S780" s="63" t="str">
        <x:v>单一约束</x:v>
      </x:c>
      <x:c r="T780" s="63" t="str">
        <x:v>无</x:v>
      </x:c>
      <x:c r="U780" s="63" t="str">
        <x:v>无</x:v>
      </x:c>
      <x:c r="V780" s="63" t="str">
        <x:v>多层因果推理</x:v>
      </x:c>
    </x:row>
    <x:row r="781">
      <x:c r="A781" s="64" t="str">
        <x:v>​2697813475042275328</x:v>
      </x:c>
      <x:c r="B781" s="65" t="str">
        <x:v>中等题</x:v>
      </x:c>
      <x:c r="C781" s="65" t="str">
        <x:v>中等题</x:v>
      </x:c>
      <x:c r="D781" s="65" t="str">
        <x:v>中等题</x:v>
      </x:c>
      <x:c r="E781" s="65" t="str">
        <x:v>保留原GPT裁定</x:v>
      </x:c>
      <x:c r="F781" s="65" t="str">
        <x:v>高</x:v>
      </x:c>
      <x:c r="G781" s="65" t="str">
        <x:v>中等题</x:v>
      </x:c>
      <x:c r="H781" s="65" t="str">
        <x:v>中等题</x:v>
      </x:c>
      <x:c r="I781" s="65" t="str">
        <x:v>题干、解析与结构证据支持中等题：step=3-5步，题型=光学声学综合，状态=单状态，约束=无约束，推理=多层因果推理。教师、盲评和多次模型证据中未形成足以推翻原裁定的同向结构证据。</x:v>
      </x:c>
      <x:c r="J781" s="65" t="str">
        <x:v>未进入三次错题并集；逐题结构一致性复核</x:v>
      </x:c>
      <x:c r="K781" s="63" t="str">
        <x:v>同学在“探究凸透镜成像规律”的实验中，记录并绘制了物体到凸透镜的距离u跟像到凸透镜的距离v之间关系的图像，如图下列判断正确的是（ ）</x:v>
      </x:c>
      <x:c r="L781" s="63" t="str">
        <x:v>A. 该凸透镜的焦距是20cm B. 当u=15cm时，在光屏上能得到一个缩小的像 C. 当u=25cm时成放大的像，投影仪就是根据这一原理制成的 D. 把物体从距凸透镜8cm处移动到4cm处的过程中，像逐渐变小</x:v>
      </x:c>
      <x:c r="M781" s="63" t="str">
        <x:v>解：A、如图，u=v时凸透镜成倒立等大的实像，u=v=2f=20cm,所以凸透镜的焦距是f=10cm,故A错误； B、凸透镜的焦距是f=10cm,当u=15cm时，2f＞u＞f,成倒立、放大的实像，故B错误； C、凸透镜的焦距是f=10cm,当u=25cm时，u＞2f,成倒立、缩小的实像，应用于照相机，故C错误； D、把物体从距凸透镜8cm处移动到4cm处，此时物距一直小于焦距，成正立放大的虚像，成虚像时，物距减小，像距变小，像变小，所以物体从距凸透镜8cm处移动到4cm处，像一直在减小，故D正确。 故选：D。</x:v>
      </x:c>
      <x:c r="N781" s="63" t="str">
        <x:v>https://k12static.xdf.cn/k12/image/externalized/f781f3ac-ffd1-45e8-9327-90cd4c638248.png</x:v>
      </x:c>
      <x:c r="O781" s="63" t="str">
        <x:v>https://k12static.xdf.cn/k12/image/externalized/243f40f9-f851-41e0-95bd-9e2c02b3f010.png</x:v>
      </x:c>
      <x:c r="P781" s="63" t="str">
        <x:v>3-5步</x:v>
      </x:c>
      <x:c r="Q781" s="63" t="str">
        <x:v>光学声学综合</x:v>
      </x:c>
      <x:c r="R781" s="63" t="str">
        <x:v>单状态</x:v>
      </x:c>
      <x:c r="S781" s="63" t="str">
        <x:v>无约束</x:v>
      </x:c>
      <x:c r="T781" s="63" t="str">
        <x:v>无</x:v>
      </x:c>
      <x:c r="U781" s="63" t="str">
        <x:v>图像反推或外推</x:v>
      </x:c>
      <x:c r="V781" s="63" t="str">
        <x:v>多层因果推理</x:v>
      </x:c>
    </x:row>
    <x:row r="782">
      <x:c r="A782" s="64" t="str">
        <x:v>​2697814890686984192</x:v>
      </x:c>
      <x:c r="B782" s="65" t="str">
        <x:v>中等题</x:v>
      </x:c>
      <x:c r="C782" s="65" t="str">
        <x:v>中等题</x:v>
      </x:c>
      <x:c r="D782" s="65" t="str">
        <x:v>中等题</x:v>
      </x:c>
      <x:c r="E782" s="65" t="str">
        <x:v>逐题复核后保留GPT裁定</x:v>
      </x:c>
      <x:c r="F782" s="65" t="str">
        <x:v>高</x:v>
      </x:c>
      <x:c r="G782" s="65" t="str">
        <x:v>中等题</x:v>
      </x:c>
      <x:c r="H782" s="65" t="str">
        <x:v>中等题</x:v>
      </x:c>
      <x:c r="I782" s="65" t="str">
        <x:v>存在约3—4步常规连续分析、共享过程或完整标准实验任务，关系仍显性。 题目证据：本题围绕凸透镜两种成像情景，要求逐项判断虚实、物距范围、应用场景和动态变化规律，最高难选项实际有效推理约3步。五维中知识量为2-3个关联知识点，过程为双状态对比，思维层次达到常规分析，情境为教材经典变式。需要围绕同一凸透镜成像规律辨析两个状态的不同结论，属于常规分析。</x:v>
      </x:c>
      <x:c r="J782" s="65" t="str">
        <x:v>三次运行错题并集逐题复核</x:v>
      </x:c>
      <x:c r="K782" s="63" t="str">
        <x:v>小明用凸透镜先后两次观察书本上的字，看到如图所示的两种情景。以下说法中正确的是（ ）</x:v>
      </x:c>
      <x:c r="L782" s="63" t="str">
        <x:v>A. 甲图中成的是实像；乙图中成的是虚像 B. 甲图中书本在凸透镜2倍焦距以外；乙图中书本在凸透镜1倍焦距以内 C. 甲图中成像规律可应用于投影仪；乙图中成像规律可应用于照相机 D. 甲图中凸透镜靠近书本，所成的像变小；乙图中凸透镜远离书本，所成的像也变小</x:v>
      </x:c>
      <x:c r="M782" s="63" t="str">
        <x:v>解：A、实像都是倒立的，虚像都是正立的，应该是甲图中成的是虚像；乙图中成的是实像，故A错误； B、甲图成正立放大的虚像，物距小于焦距；乙图成倒立放大的实像，物距大于一倍焦距小于二倍焦距，故B错误； C、甲图中成像规律可应用于放大镜；乙图中成像规律可应用于投影仪，故C错误； D、甲图成虚像，物距变小，像变小；乙图成实像，物距变大，凸透镜远离书本，像变小，故D正确。 故选：D。</x:v>
      </x:c>
      <x:c r="N782" s="63" t="str">
        <x:v>https://k12static.xdf.cn/k12/image/externalized/6b9ce5cc-9bac-4d40-80e3-152f8153e619.png</x:v>
      </x:c>
      <x:c r="O782" s="63" t="str">
        <x:v>https://k12static.xdf.cn/k12/image/externalized/e8236b3a-6a2c-4ff8-877d-19add64a22cc.png</x:v>
      </x:c>
      <x:c r="P782" s="63" t="str">
        <x:v>3-5步</x:v>
      </x:c>
      <x:c r="Q782" s="63" t="str">
        <x:v>概念判断</x:v>
      </x:c>
      <x:c r="R782" s="63" t="str">
        <x:v>双状态</x:v>
      </x:c>
      <x:c r="S782" s="63" t="str">
        <x:v>无约束</x:v>
      </x:c>
      <x:c r="T782" s="63" t="str">
        <x:v>无</x:v>
      </x:c>
      <x:c r="U782" s="63" t="str">
        <x:v>无</x:v>
      </x:c>
      <x:c r="V782" s="63" t="str">
        <x:v>多层因果推理</x:v>
      </x:c>
    </x:row>
    <x:row r="783">
      <x:c r="A783" s="64" t="str">
        <x:v>​2704086365291438080</x:v>
      </x:c>
      <x:c r="B783" s="65" t="str">
        <x:v>中等题</x:v>
      </x:c>
      <x:c r="C783" s="65" t="str">
        <x:v>中等题</x:v>
      </x:c>
      <x:c r="D783" s="65" t="str">
        <x:v>中等题</x:v>
      </x:c>
      <x:c r="E783" s="65" t="str">
        <x:v>保留原GPT裁定</x:v>
      </x:c>
      <x:c r="F783" s="65" t="str">
        <x:v>高</x:v>
      </x:c>
      <x:c r="G783" s="65" t="str">
        <x:v>中等题</x:v>
      </x:c>
      <x:c r="H783" s="65" t="str">
        <x:v>中等题</x:v>
      </x:c>
      <x:c r="I783" s="65" t="str">
        <x:v>题干、解析与结构证据支持中等题：step=3-5步，题型=概念判断，状态=双状态，约束=单一约束，推理=多层因果推理。教师、盲评和多次模型证据中未形成足以推翻原裁定的同向结构证据。</x:v>
      </x:c>
      <x:c r="J783" s="65" t="str">
        <x:v>未进入三次错题并集；逐题结构一致性复核</x:v>
      </x:c>
      <x:c r="K783" s="63" t="str">
        <x:v>两个相同的容器分别装有甲、乙两种液体。用同一热源分别加热，液体温度与加热时间关系如图所示，则（ ）</x:v>
      </x:c>
      <x:c r="L783" s="63" t="str">
        <x:v>A. 若甲、乙两种液体的质量相同，则甲的比热容大于乙的比热容 B. 若甲、乙为同种液体，则乙液体的质量较大 C. 若甲、乙两种液体的质量相同，加热相同的时间，甲液体吸收的热量多 D. 若甲、乙为同种液体，则液体的温度变化与它们的质量成反比</x:v>
      </x:c>
      <x:c r="M783" s="63" t="str">
        <x:v>解： A、由公式Q吸=cmΔt变形得：c=$\frac{{Q}_{吸}}{m\Delta t}$，由图象可知，质量和吸收的热量都相同的甲、乙两种液体，甲液体升高的温度高，所以甲比乙液体的比热容小，故A错误； B、由公式Q吸=cmΔt变形得：m=$\frac{{Q}_{吸}}{c\Delta t}$，若甲、乙为同种液体，则甲、乙的比热容相同，由图象可知，吸收相同热量时，甲液体升高的温高，所以甲比乙液体的质量小，故B正确； C、由题意知，同一热源分别加热，加热相同的时间，甲与乙液体吸收的热量相同，故C错误； D、由公式Q吸=cmΔt变形得：Δt=$\frac{{Q}_{吸}}{cm}$可知，若甲、乙为同种液体，则液体的温度变化与它们的质量成反比，故D正确。 故选：BD。</x:v>
      </x:c>
      <x:c r="N783" s="63" t="str">
        <x:v>https://k12static.xdf.cn/k12/image/externalized/bea1bf48-0524-44ce-8b9c-91aa5f54863a.png</x:v>
      </x:c>
      <x:c r="O783" s="63" t="str">
        <x:v>https://k12static.xdf.cn/k12/image/externalized/48f7d374-aa27-4911-bd66-a98f6a8ce5e4.png</x:v>
      </x:c>
      <x:c r="P783" s="63" t="str">
        <x:v>3-5步</x:v>
      </x:c>
      <x:c r="Q783" s="63" t="str">
        <x:v>概念判断</x:v>
      </x:c>
      <x:c r="R783" s="63" t="str">
        <x:v>双状态</x:v>
      </x:c>
      <x:c r="S783" s="63" t="str">
        <x:v>单一约束</x:v>
      </x:c>
      <x:c r="T783" s="63" t="str">
        <x:v>无</x:v>
      </x:c>
      <x:c r="U783" s="63" t="str">
        <x:v>多组比较归纳</x:v>
      </x:c>
      <x:c r="V783" s="63" t="str">
        <x:v>多层因果推理</x:v>
      </x:c>
    </x:row>
    <x:row r="784">
      <x:c r="A784" s="64" t="str">
        <x:v>​2707784231369359360</x:v>
      </x:c>
      <x:c r="B784" s="65" t="str">
        <x:v>基础题</x:v>
      </x:c>
      <x:c r="C784" s="65" t="str">
        <x:v>基础题</x:v>
      </x:c>
      <x:c r="D784" s="65" t="str">
        <x:v>基础题</x:v>
      </x:c>
      <x:c r="E784" s="65" t="str">
        <x:v>保留原GPT裁定</x:v>
      </x:c>
      <x:c r="F784" s="65" t="str">
        <x:v>高</x:v>
      </x:c>
      <x:c r="G784" s="65" t="str">
        <x:v>基础题</x:v>
      </x:c>
      <x:c r="H784" s="65" t="str">
        <x:v>基础题</x:v>
      </x:c>
      <x:c r="I784" s="65" t="str">
        <x:v>题干、解析与结构证据支持基础题：step=1-2步，题型=直接计算，状态=单状态，约束=无约束，推理=简单因果推理。教师、盲评和多次模型证据中未形成足以推翻原裁定的同向结构证据。</x:v>
      </x:c>
      <x:c r="J784" s="65" t="str">
        <x:v>未进入三次错题并集；逐题结构一致性复核</x:v>
      </x:c>
      <x:c r="K784" s="63" t="str">
        <x:v>我国生产的世界上最薄的不锈钢箔带—手撕钢，其厚度只有1.5×10-5m,则面积为1m2的手撕钢的质量约为$(ρ_钢=7.9×10^3kg/m^3)$（ ）</x:v>
      </x:c>
      <x:c r="L784" s="63" t="str">
        <x:v>A. 120g B. 12g C. 1.2g D. 0.12g</x:v>
      </x:c>
      <x:c r="M784" s="63" t="str">
        <x:v>解：手撕钢的厚度只有1.5×10-5m,面积为1m2，故手撕钢的体积为： V=Sh=1m2×1.5×10-5m=1.5×10-5m3， 根据ρ=$\frac{m}{V}$可得，面积为1m2的手撕钢的质量约为： m=ρV=7.9×103kg/m3×1.5×10-5m3=0.1185kg≈120g, 故A符合题意，BCD不符合题意。 故选：A。</x:v>
      </x:c>
      <x:c r="N784" s="63" t="str">
        <x:v>https://k12static.xdf.cn/k12/image/externalized/ed8eb3b2-0700-4c5a-bd1a-1afe9e2f85be.png</x:v>
      </x:c>
      <x:c r="O784" s="63" t="str">
        <x:v>https://k12static.xdf.cn/k12/image/externalized/e3e95434-28cc-438b-86f5-9cca1e630fd2.png</x:v>
      </x:c>
      <x:c r="P784" s="63" t="str">
        <x:v>1-2步</x:v>
      </x:c>
      <x:c r="Q784" s="63" t="str">
        <x:v>直接计算</x:v>
      </x:c>
      <x:c r="R784" s="63" t="str">
        <x:v>单状态</x:v>
      </x:c>
      <x:c r="S784" s="63" t="str">
        <x:v>无约束</x:v>
      </x:c>
      <x:c r="T784" s="63" t="str">
        <x:v>无</x:v>
      </x:c>
      <x:c r="U784" s="63" t="str">
        <x:v>无</x:v>
      </x:c>
      <x:c r="V784" s="63" t="str">
        <x:v>简单因果推理</x:v>
      </x:c>
    </x:row>
    <x:row r="785">
      <x:c r="A785" s="64" t="str">
        <x:v>​2707823715356033024</x:v>
      </x:c>
      <x:c r="B785" s="65" t="str">
        <x:v>送分题</x:v>
      </x:c>
      <x:c r="C785" s="65" t="str">
        <x:v>送分题</x:v>
      </x:c>
      <x:c r="D785" s="65" t="str">
        <x:v>送分题</x:v>
      </x:c>
      <x:c r="E785" s="65" t="str">
        <x:v>逐题复核后保留GPT裁定</x:v>
      </x:c>
      <x:c r="F785" s="65" t="str">
        <x:v>高</x:v>
      </x:c>
      <x:c r="G785" s="65" t="str">
        <x:v>送分题</x:v>
      </x:c>
      <x:c r="H785" s="65" t="str">
        <x:v>送分题</x:v>
      </x:c>
      <x:c r="I785" s="65" t="str">
        <x:v>核心只需识别一个唯一、熟悉且关系显性的教材模板（教材概念与常规物理关系），没有第二次独立物理决策；背景、选项数量或机械作答动作不增加难度。</x:v>
      </x:c>
      <x:c r="J785" s="65" t="str">
        <x:v>三次运行错题并集逐题复核</x:v>
      </x:c>
      <x:c r="K785" s="63" t="str">
        <x:v>央行发行的国庆纪念币是由印模经过专用工具的钻、磨、刻等工艺加工而成的。印模在加工过程中，没有发生变化的物理量是（ ）</x:v>
      </x:c>
      <x:c r="L785" s="63" t="str">
        <x:v>A. 体积 B. 质量 C. 密度 D. 重力</x:v>
      </x:c>
      <x:c r="M785" s="63" t="str">
        <x:v>解：该纪念币经过钻，磨，刻后，改变的是它的质量和体积。 由于质量的变化，纪念币的重力也会发生变化，要减小。 密度是物质的本身属性，它与物质的种类有关。 质量和体积的变化不会使密度发生变化。所以A、B、D不对。 故选：C。</x:v>
      </x:c>
      <x:c r="N785" s="63" t="str">
        <x:v>https://k12static.xdf.cn/k12/image/externalized/e71c0556-6e11-4a14-a35b-c67092a0983f.png</x:v>
      </x:c>
      <x:c r="O785" s="63" t="str">
        <x:v>https://k12static.xdf.cn/k12/image/externalized/79355e2d-d8bd-48ae-988e-75541315debe.png</x:v>
      </x:c>
      <x:c r="P785" s="63" t="str">
        <x:v>1-2步</x:v>
      </x:c>
      <x:c r="Q785" s="63" t="str">
        <x:v>概念判断</x:v>
      </x:c>
      <x:c r="R785" s="63" t="str">
        <x:v>单状态</x:v>
      </x:c>
      <x:c r="S785" s="63" t="str">
        <x:v>无约束</x:v>
      </x:c>
      <x:c r="T785" s="63" t="str">
        <x:v>无</x:v>
      </x:c>
      <x:c r="U785" s="63" t="str">
        <x:v>无</x:v>
      </x:c>
      <x:c r="V785" s="63" t="str">
        <x:v>简单因果推理</x:v>
      </x:c>
    </x:row>
    <x:row r="786">
      <x:c r="A786" s="64" t="str">
        <x:v>​2709197648371159040</x:v>
      </x:c>
      <x:c r="B786" s="65" t="str">
        <x:v>中等题</x:v>
      </x:c>
      <x:c r="C786" s="65" t="str">
        <x:v>中等题</x:v>
      </x:c>
      <x:c r="D786" s="65" t="str">
        <x:v>中等题</x:v>
      </x:c>
      <x:c r="E786" s="65" t="str">
        <x:v>保留原GPT裁定</x:v>
      </x:c>
      <x:c r="F786" s="65" t="str">
        <x:v>高</x:v>
      </x:c>
      <x:c r="G786" s="65" t="str">
        <x:v>中等题</x:v>
      </x:c>
      <x:c r="H786" s="65" t="str">
        <x:v>中等题</x:v>
      </x:c>
      <x:c r="I786" s="65" t="str">
        <x:v>题干、解析与结构证据支持中等题：step=1-2步，题型=概念判断，状态=单状态，约束=无约束，推理=多层因果推理。教师、盲评和多次模型证据中未形成足以推翻原裁定的同向结构证据。</x:v>
      </x:c>
      <x:c r="J786" s="65" t="str">
        <x:v>未进入三次错题并集；逐题结构一致性复核</x:v>
      </x:c>
      <x:c r="K786" s="63" t="str">
        <x:v>有两个发声体，第一次由甲单独发声，测得为88dB．第二次由乙单独发声，由固定在同一地方的仪器测得为56dB．下面判断中正确的是（ ）</x:v>
      </x:c>
      <x:c r="L786" s="63" t="str">
        <x:v>A. 甲发声体振动快 B. 乙发声体距仪器可能远 C. 甲发声距仪器可能远 D. 乙发声体振幅一定大</x:v>
      </x:c>
      <x:c r="M786" s="63" t="str">
        <x:v>解：响度的大小与两个因素有关，一是物体的振幅，二是距离发声体的远近。 由于甲的分贝数值比乙大，即响度大，原因可能有两方面，一是在距离相同的情况下，甲的振幅大；二是在振幅相同的情况下，甲距离声源近； A、甲发声体振动快，即说明甲的音调高，故与响度无关，故A错误； B、甲的分贝数值比乙大，即响度大，可能是在振幅相同的情况下，甲距离声源近，乙距离声源远，故B正确； C、据上面的分析可知，若甲发声距仪器远，但甲的振幅非常大也是有可能的，故C正确； D、据上面的分析可知，乙发声体振幅可能大，但不能说一定大，故D错误； 故选：BC。</x:v>
      </x:c>
      <x:c r="N786" s="63" t="str">
        <x:v>https://k12static.xdf.cn/k12/image/externalized/62aa5d3e-9ae4-493b-9e79-36e117b3e549.png</x:v>
      </x:c>
      <x:c r="O786" s="63" t="str">
        <x:v>https://k12static.xdf.cn/k12/image/externalized/b5409706-cb18-4e47-a729-37aa6cebf836.png</x:v>
      </x:c>
      <x:c r="P786" s="63" t="str">
        <x:v>1-2步</x:v>
      </x:c>
      <x:c r="Q786" s="63" t="str">
        <x:v>概念判断</x:v>
      </x:c>
      <x:c r="R786" s="63" t="str">
        <x:v>单状态</x:v>
      </x:c>
      <x:c r="S786" s="63" t="str">
        <x:v>无约束</x:v>
      </x:c>
      <x:c r="T786" s="63" t="str">
        <x:v>无</x:v>
      </x:c>
      <x:c r="U786" s="63" t="str">
        <x:v>无</x:v>
      </x:c>
      <x:c r="V786" s="63" t="str">
        <x:v>多层因果推理</x:v>
      </x:c>
    </x:row>
    <x:row r="787">
      <x:c r="A787" s="64" t="str">
        <x:v>​2709214937032450048</x:v>
      </x:c>
      <x:c r="B787" s="65" t="str">
        <x:v>基础题</x:v>
      </x:c>
      <x:c r="C787" s="65" t="str">
        <x:v>基础题</x:v>
      </x:c>
      <x:c r="D787" s="65" t="str">
        <x:v>基础题</x:v>
      </x:c>
      <x:c r="E787" s="65" t="str">
        <x:v>保留原GPT裁定</x:v>
      </x:c>
      <x:c r="F787" s="65" t="str">
        <x:v>高</x:v>
      </x:c>
      <x:c r="G787" s="65" t="str">
        <x:v>基础题</x:v>
      </x:c>
      <x:c r="H787" s="65" t="str">
        <x:v>基础题</x:v>
      </x:c>
      <x:c r="I787" s="65" t="str">
        <x:v>题干、解析与结构证据支持基础题：step=1-2步，题型=概念判断，状态=单状态，约束=无约束，推理=简单因果推理。教师、盲评和多次模型证据中未形成足以推翻原裁定的同向结构证据。</x:v>
      </x:c>
      <x:c r="J787" s="65" t="str">
        <x:v>未进入三次错题并集；逐题结构一致性复核</x:v>
      </x:c>
      <x:c r="K787" s="63" t="str">
        <x:v>如图是电磁波家族的“族谱”，真空中各种电磁波的传播速度相同。某类恒星温度较低，呈暗红色；另一类恒星温度较高，呈蓝色。根据所给信息，结合电磁波家族的“族谱”可推测（ ）</x:v>
      </x:c>
      <x:c r="L787" s="63" t="str">
        <x:v>A. 红外线波长比蓝光波长短 B. 紫光与X射线都是电磁波 C. 恒星温度越高，发出的光频率越低 D. 真空中红光比无线电波传播速度大</x:v>
      </x:c>
      <x:c r="M787" s="63" t="str">
        <x:v>解：A、由图可知，红外线的频率小于蓝光的频率，波速一定，根据c=λf可知，红外线的波长大于蓝光的波长，故A错误； B、由图可知，紫光和X射线都属于电磁波，故B正确； C、某类恒星温度较低，呈暗红色；另一类恒星温度较高，呈蓝色，而且由图可知红光的频率小于蓝光的频率，所以恒星温度越高，发出光的频率越高，故C错误； D、真空中各种电磁波的传播速度相同，故D错误。 故选：B。</x:v>
      </x:c>
      <x:c r="N787" s="63" t="str">
        <x:v>https://k12static.xdf.cn/k12/image/externalized/eb854a66-3320-44b0-84e4-f9de43ab0bd2.png</x:v>
      </x:c>
      <x:c r="O787" s="63" t="str">
        <x:v>https://k12static.xdf.cn/k12/image/externalized/600cc6b7-e950-45db-9e61-cbf662a32274.png</x:v>
      </x:c>
      <x:c r="P787" s="63" t="str">
        <x:v>1-2步</x:v>
      </x:c>
      <x:c r="Q787" s="63" t="str">
        <x:v>概念判断</x:v>
      </x:c>
      <x:c r="R787" s="63" t="str">
        <x:v>单状态</x:v>
      </x:c>
      <x:c r="S787" s="63" t="str">
        <x:v>无约束</x:v>
      </x:c>
      <x:c r="T787" s="63" t="str">
        <x:v>无</x:v>
      </x:c>
      <x:c r="U787" s="63" t="str">
        <x:v>直接读数</x:v>
      </x:c>
      <x:c r="V787" s="63" t="str">
        <x:v>简单因果推理</x:v>
      </x:c>
    </x:row>
    <x:row r="788">
      <x:c r="A788" s="64" t="str">
        <x:v>​2710991200688926720</x:v>
      </x:c>
      <x:c r="B788" s="65" t="str">
        <x:v>送分题</x:v>
      </x:c>
      <x:c r="C788" s="65" t="str">
        <x:v>送分题</x:v>
      </x:c>
      <x:c r="D788" s="65" t="str">
        <x:v>送分题</x:v>
      </x:c>
      <x:c r="E788" s="65" t="str">
        <x:v>保留原GPT裁定</x:v>
      </x:c>
      <x:c r="F788" s="65" t="str">
        <x:v>高</x:v>
      </x:c>
      <x:c r="G788" s="65" t="str">
        <x:v>送分题</x:v>
      </x:c>
      <x:c r="H788" s="65" t="str">
        <x:v>送分题</x:v>
      </x:c>
      <x:c r="I788" s="65" t="str">
        <x:v>题干、解析与结构证据支持送分题：step=1-2步，题型=概念判断，状态=单状态，约束=无约束，推理=直接套用。教师、盲评和多次模型证据中未形成足以推翻原裁定的同向结构证据。</x:v>
      </x:c>
      <x:c r="J788" s="65" t="str">
        <x:v>未进入三次错题并集；逐题结构一致性复核</x:v>
      </x:c>
      <x:c r="K788" s="63" t="str">
        <x:v>静置的密封容器内有氢气和二氧化碳两种气体（氢气密度为0.09kg/m3，二氧化碳密度为1.97kg/m3）。若以〇表示氢气分子，以●表示二氧化碳气体分子，图中最能代表容器内气体分子分布的是（ ）</x:v>
      </x:c>
      <x:c r="L788" s="63" t="str"/>
      <x:c r="M788" s="63" t="str">
        <x:v>解：氢气和二氧化碳气体放在静置的密封容器中，由于分子在不停地做无规则的运动，所以氢气和二氧化碳久置后会充分均匀混合，故B正确，ACD错误。 故选：B。</x:v>
      </x:c>
      <x:c r="N788" s="63" t="str">
        <x:v>https://k12static.xdf.cn/k12/image/externalized/3a4cbfe4-8504-445b-bdda-62ff6b14ae46.png</x:v>
      </x:c>
      <x:c r="O788" s="63" t="str">
        <x:v>https://k12static.xdf.cn/k12/image/externalized/4951180b-1865-4ce4-b769-a587464dcf75.png</x:v>
      </x:c>
      <x:c r="P788" s="63" t="str">
        <x:v>1-2步</x:v>
      </x:c>
      <x:c r="Q788" s="63" t="str">
        <x:v>概念判断</x:v>
      </x:c>
      <x:c r="R788" s="63" t="str">
        <x:v>单状态</x:v>
      </x:c>
      <x:c r="S788" s="63" t="str">
        <x:v>无约束</x:v>
      </x:c>
      <x:c r="T788" s="63" t="str">
        <x:v>无</x:v>
      </x:c>
      <x:c r="U788" s="63" t="str">
        <x:v>无</x:v>
      </x:c>
      <x:c r="V788" s="63" t="str">
        <x:v>直接套用</x:v>
      </x:c>
    </x:row>
    <x:row r="789">
      <x:c r="A789" s="64" t="str">
        <x:v>​2711047801716199424</x:v>
      </x:c>
      <x:c r="B789" s="65" t="str">
        <x:v>基础题</x:v>
      </x:c>
      <x:c r="C789" s="65" t="str">
        <x:v>基础题</x:v>
      </x:c>
      <x:c r="D789" s="65" t="str">
        <x:v>基础题</x:v>
      </x:c>
      <x:c r="E789" s="65" t="str">
        <x:v>保留原GPT裁定</x:v>
      </x:c>
      <x:c r="F789" s="65" t="str">
        <x:v>高</x:v>
      </x:c>
      <x:c r="G789" s="65" t="str">
        <x:v>基础题</x:v>
      </x:c>
      <x:c r="H789" s="65" t="str">
        <x:v>基础题</x:v>
      </x:c>
      <x:c r="I789" s="65" t="str">
        <x:v>题干、解析与结构证据支持基础题：step=1-2步，题型=概念判断，状态=单状态，约束=无约束，推理=简单因果推理。教师、盲评和多次模型证据中未形成足以推翻原裁定的同向结构证据。</x:v>
      </x:c>
      <x:c r="J789" s="65" t="str">
        <x:v>未进入三次错题并集；逐题结构一致性复核</x:v>
      </x:c>
      <x:c r="K789" s="63" t="str">
        <x:v>某凸透镜的焦距为10厘米，物体在光屏上成放大的像，则（ ）</x:v>
      </x:c>
      <x:c r="L789" s="63" t="str">
        <x:v>A. 物体到透镜的距离小于10厘米 B. 物体到透镜的距离大于20厘米 C. 光屏到透镜的距离小于10厘米 D. 光屏到透镜的距离大于20厘米</x:v>
      </x:c>
      <x:c r="M789" s="63" t="str">
        <x:v>解：物体在凸透镜另一侧的光屏上成一个放大的像，则物距处于f和2f之间，凸透镜的焦距为10厘米，则处于10厘米～20厘米之间； 像距大于2f,则像距大于20厘米。 故选：D。</x:v>
      </x:c>
      <x:c r="N789" s="63" t="str">
        <x:v>https://k12static.xdf.cn/k12/image/externalized/4cd83ab6-9c05-4566-bdd4-476307dc0e4e.png</x:v>
      </x:c>
      <x:c r="O789" s="63" t="str">
        <x:v>https://k12static.xdf.cn/k12/image/externalized/8fa2e256-3045-4f66-99c8-478d970a0e60.png</x:v>
      </x:c>
      <x:c r="P789" s="63" t="str">
        <x:v>1-2步</x:v>
      </x:c>
      <x:c r="Q789" s="63" t="str">
        <x:v>概念判断</x:v>
      </x:c>
      <x:c r="R789" s="63" t="str">
        <x:v>单状态</x:v>
      </x:c>
      <x:c r="S789" s="63" t="str">
        <x:v>无约束</x:v>
      </x:c>
      <x:c r="T789" s="63" t="str">
        <x:v>无</x:v>
      </x:c>
      <x:c r="U789" s="63" t="str">
        <x:v>无</x:v>
      </x:c>
      <x:c r="V789" s="63" t="str">
        <x:v>简单因果推理</x:v>
      </x:c>
    </x:row>
    <x:row r="790">
      <x:c r="A790" s="64" t="str">
        <x:v>​2711099389137764352</x:v>
      </x:c>
      <x:c r="B790" s="65" t="str">
        <x:v>送分题</x:v>
      </x:c>
      <x:c r="C790" s="65" t="str">
        <x:v>送分题</x:v>
      </x:c>
      <x:c r="D790" s="65" t="str">
        <x:v>送分题</x:v>
      </x:c>
      <x:c r="E790" s="65" t="str">
        <x:v>保留原GPT裁定</x:v>
      </x:c>
      <x:c r="F790" s="65" t="str">
        <x:v>高</x:v>
      </x:c>
      <x:c r="G790" s="65" t="str">
        <x:v>送分题</x:v>
      </x:c>
      <x:c r="H790" s="65" t="str">
        <x:v>送分题</x:v>
      </x:c>
      <x:c r="I790" s="65" t="str">
        <x:v>题干、解析与结构证据支持送分题：step=1-2步，题型=概念判断，状态=单状态，约束=无约束，推理=直接套用。教师、盲评和多次模型证据中未形成足以推翻原裁定的同向结构证据。</x:v>
      </x:c>
      <x:c r="J790" s="65" t="str">
        <x:v>未进入三次错题并集；逐题结构一致性复核</x:v>
      </x:c>
      <x:c r="K790" s="63" t="str">
        <x:v>下列说法中符合实际的是（ ）</x:v>
      </x:c>
      <x:c r="L790" s="63" t="str">
        <x:v>A. 一节新的干电池电压为2V B. 家庭柜式空调中的电流约为10A C. 人体安全电压为36V D. 家庭节能灯的电流约为1A</x:v>
      </x:c>
      <x:c r="M790" s="63" t="str">
        <x:v>解：A．一节新的干电池电压为1.5V，故A不符合实际； B．家庭柜式空调属于大功率用电器，其工作时的电流较大，在10A左右，故B符合实际； C．人体安全电压不高于36V，故C不符合实际； D．家庭节能灯的电流约为0.1A，故D不符合实际。 故选：B。</x:v>
      </x:c>
      <x:c r="N790" s="63" t="str">
        <x:v>https://k12static.xdf.cn/k12/image/externalized/e1b16710-b853-4236-b9ab-64e85a6c050c.png</x:v>
      </x:c>
      <x:c r="O790" s="63" t="str">
        <x:v>https://k12static.xdf.cn/k12/image/externalized/61c98078-2f57-41b0-9713-0851633bdf58.png</x:v>
      </x:c>
      <x:c r="P790" s="63" t="str">
        <x:v>1-2步</x:v>
      </x:c>
      <x:c r="Q790" s="63" t="str">
        <x:v>概念判断</x:v>
      </x:c>
      <x:c r="R790" s="63" t="str">
        <x:v>单状态</x:v>
      </x:c>
      <x:c r="S790" s="63" t="str">
        <x:v>无约束</x:v>
      </x:c>
      <x:c r="T790" s="63" t="str">
        <x:v>无</x:v>
      </x:c>
      <x:c r="U790" s="63" t="str">
        <x:v>无</x:v>
      </x:c>
      <x:c r="V790" s="63" t="str">
        <x:v>直接套用</x:v>
      </x:c>
    </x:row>
    <x:row r="791">
      <x:c r="A791" s="64" t="str">
        <x:v>​2711340150560247808</x:v>
      </x:c>
      <x:c r="B791" s="65" t="str">
        <x:v>基础题</x:v>
      </x:c>
      <x:c r="C791" s="65" t="str">
        <x:v>基础题</x:v>
      </x:c>
      <x:c r="D791" s="65" t="str">
        <x:v>基础题</x:v>
      </x:c>
      <x:c r="E791" s="65" t="str">
        <x:v>保留原GPT裁定</x:v>
      </x:c>
      <x:c r="F791" s="65" t="str">
        <x:v>高</x:v>
      </x:c>
      <x:c r="G791" s="65" t="str">
        <x:v>基础题</x:v>
      </x:c>
      <x:c r="H791" s="65" t="str">
        <x:v>基础题</x:v>
      </x:c>
      <x:c r="I791" s="65" t="str">
        <x:v>题干、解析与结构证据支持基础题：step=1-2步，题型=图像表格分析，状态=单状态，约束=无约束，推理=简单因果推理。教师、盲评和多次模型证据中未形成足以推翻原裁定的同向结构证据。</x:v>
      </x:c>
      <x:c r="J791" s="65" t="str">
        <x:v>未进入三次错题并集；逐题结构一致性复核</x:v>
      </x:c>
      <x:c r="K791" s="63" t="str">
        <x:v>甲、乙物体同时从同一地点出发，开始向右做直线运动，如图是它们的v-t图象，下列说法正确的是（ ）</x:v>
      </x:c>
      <x:c r="L791" s="63" t="str">
        <x:v>A. 前4秒乙一直领先于甲 B. 乙始终比甲运动得快 C. 甲、乙在t=4s时速度相等 D. 甲、乙在t=2s时速度相等</x:v>
      </x:c>
      <x:c r="M791" s="63" t="str">
        <x:v>解：AB、由图象可知，甲做匀速直线运动，速度为v甲=10m/s,乙做初速度为0的匀加速直线运动，前2s内v甲＞v乙，故AB错误； C、由图象可知，当t=4s时，v甲=20m/s,v乙=10m/s,由此可知，甲、乙在t=4s时速度不相等，故C错误； D．由图象可知，当t=2s时，v甲=10m/s,v乙=10m/s,则甲、乙在t=2s时速度相等，故D正确。 故选：D。</x:v>
      </x:c>
      <x:c r="N791" s="63" t="str">
        <x:v>https://k12static.xdf.cn/k12/image/externalized/cbc0f2cc-f7c7-4a8d-8023-41c999db7155.png</x:v>
      </x:c>
      <x:c r="O791" s="63" t="str">
        <x:v>https://k12static.xdf.cn/k12/image/externalized/679e288b-a086-4bfe-be65-51bb3eca324e.png</x:v>
      </x:c>
      <x:c r="P791" s="63" t="str">
        <x:v>1-2步</x:v>
      </x:c>
      <x:c r="Q791" s="63" t="str">
        <x:v>图像表格分析</x:v>
      </x:c>
      <x:c r="R791" s="63" t="str">
        <x:v>单状态</x:v>
      </x:c>
      <x:c r="S791" s="63" t="str">
        <x:v>无约束</x:v>
      </x:c>
      <x:c r="T791" s="63" t="str">
        <x:v>无</x:v>
      </x:c>
      <x:c r="U791" s="63" t="str">
        <x:v>直接读数</x:v>
      </x:c>
      <x:c r="V791" s="63" t="str">
        <x:v>简单因果推理</x:v>
      </x:c>
    </x:row>
    <x:row r="792">
      <x:c r="A792" s="64" t="str">
        <x:v>​2712011108298272768</x:v>
      </x:c>
      <x:c r="B792" s="65" t="str">
        <x:v>基础题</x:v>
      </x:c>
      <x:c r="C792" s="65" t="str">
        <x:v>基础题</x:v>
      </x:c>
      <x:c r="D792" s="65" t="str">
        <x:v>基础题</x:v>
      </x:c>
      <x:c r="E792" s="65" t="str">
        <x:v>保留原GPT裁定</x:v>
      </x:c>
      <x:c r="F792" s="65" t="str">
        <x:v>高</x:v>
      </x:c>
      <x:c r="G792" s="65" t="str">
        <x:v>基础题</x:v>
      </x:c>
      <x:c r="H792" s="65" t="str">
        <x:v>基础题</x:v>
      </x:c>
      <x:c r="I792" s="65" t="str">
        <x:v>题干、解析与结构证据支持基础题：step=1-2步，题型=概念判断，状态=单状态，约束=无约束，推理=简单因果推理。教师、盲评和多次模型证据中未形成足以推翻原裁定的同向结构证据。</x:v>
      </x:c>
      <x:c r="J792" s="65" t="str">
        <x:v>未进入三次错题并集；逐题结构一致性复核</x:v>
      </x:c>
      <x:c r="K792" s="63" t="str">
        <x:v>小丽站在竖直放置的平面镜前，镜中有她的像。当她向着远离平面镜的方向移动1.5m时，她在平面镜中的像（ ）</x:v>
      </x:c>
      <x:c r="L792" s="63" t="str">
        <x:v>A. 比原来小；到平面镜的距离增加1.5m B. 大小不变；到小丽的距离变为3m C. 大小不变；到平面镜的距离减小1.5m D. 大小不变；到小丽的距离增加3m</x:v>
      </x:c>
      <x:c r="M792" s="63" t="str">
        <x:v>解：（1）平面镜所成的像与物体是等大的，当人远离平面镜时，视觉上感觉像在变小，但实际上像的大小并没有变。所以若她向着远离平面镜的方向移动1.5m时，他在平面镜中像的大小不变。 （2）根据平面镜成像特点可知，像和物距离平面镜的距离是相等的，物到像的距离是物到平面镜距离的两倍， 当她向着远离平面镜的方向移动1.5m时，小丽到平面镜的距离增加1.5m,到小丽的距离增加1.5×2=3m。 综上分析可知，ABC错误，D正确。 故选：D。</x:v>
      </x:c>
      <x:c r="N792" s="63" t="str">
        <x:v>https://k12static.xdf.cn/k12/image/externalized/11aebeab-b7de-4233-b5ac-e2c5c090d212.png</x:v>
      </x:c>
      <x:c r="O792" s="63" t="str">
        <x:v>https://k12static.xdf.cn/k12/image/externalized/0290d9f2-1d06-48ff-bfb2-cea6725262d0.png</x:v>
      </x:c>
      <x:c r="P792" s="63" t="str">
        <x:v>1-2步</x:v>
      </x:c>
      <x:c r="Q792" s="63" t="str">
        <x:v>概念判断</x:v>
      </x:c>
      <x:c r="R792" s="63" t="str">
        <x:v>单状态</x:v>
      </x:c>
      <x:c r="S792" s="63" t="str">
        <x:v>无约束</x:v>
      </x:c>
      <x:c r="T792" s="63" t="str">
        <x:v>无</x:v>
      </x:c>
      <x:c r="U792" s="63" t="str">
        <x:v>无</x:v>
      </x:c>
      <x:c r="V792" s="63" t="str">
        <x:v>简单因果推理</x:v>
      </x:c>
    </x:row>
    <x:row r="793">
      <x:c r="A793" s="64" t="str">
        <x:v>​2719618158232449024</x:v>
      </x:c>
      <x:c r="B793" s="65" t="str">
        <x:v>中等题</x:v>
      </x:c>
      <x:c r="C793" s="65" t="str">
        <x:v>中等题</x:v>
      </x:c>
      <x:c r="D793" s="65" t="str">
        <x:v>中等题</x:v>
      </x:c>
      <x:c r="E793" s="65" t="str">
        <x:v>保留原GPT裁定</x:v>
      </x:c>
      <x:c r="F793" s="65" t="str">
        <x:v>高</x:v>
      </x:c>
      <x:c r="G793" s="65" t="str">
        <x:v>中等题</x:v>
      </x:c>
      <x:c r="H793" s="65" t="str">
        <x:v>中等题</x:v>
      </x:c>
      <x:c r="I793" s="65" t="str">
        <x:v>题干、解析与结构证据支持中等题：step=3-5步，题型=概念判断，状态=双状态，约束=单一约束，推理=多层因果推理。教师、盲评和多次模型证据中未形成足以推翻原裁定的同向结构证据。</x:v>
      </x:c>
      <x:c r="J793" s="65" t="str">
        <x:v>未进入三次错题并集；逐题结构一致性复核</x:v>
      </x:c>
      <x:c r="K793" s="63" t="str">
        <x:v>如图所示是一种自动测定油箱内油面高度的装置，R是滑动变阻器，它的金属滑片是杠杆的一端，且由定位挡板限制只能在电阻上滑动。从油量表指针所指的刻度，就可以知道油箱内油面的高度h。则以下说法正确的是（ ）</x:v>
      </x:c>
      <x:c r="L793" s="63" t="str">
        <x:v>A. 油量表可以用电流表改装而成 B. 油量表的零刻度线一定与电流表原零刻度线相重合 C. 油量表的刻度值从左往右是逐渐增大的 D. 电阻R′是在油箱没有油时对电路起到保护作用</x:v>
      </x:c>
      <x:c r="M793" s="63" t="str">
        <x:v>解：A、此时油量表串联在电路中，所以油量表应该是由电流表改装而成的，故A正确； B、当油箱内一点油也没有时，油量表的示数为0；但是整个电路中还有电流，故电流的示数不为0，故B错误； C、因为电流增大时电流表指针向右偏转，所以，油面越高时，示数越大；即越往右示数越大，故C正确； D、据图可知，电阻R′是在油箱装满油时防止电路短路，即对电路起到保护作用，故D错误； 故选：AC。</x:v>
      </x:c>
      <x:c r="N793" s="63" t="str">
        <x:v>https://k12static.xdf.cn/k12/image/externalized/50329933-8346-46d4-9f3f-21815382878c.png</x:v>
      </x:c>
      <x:c r="O793" s="63" t="str">
        <x:v>https://k12static.xdf.cn/k12/image/externalized/b5fd3d19-e4f3-4351-ba13-241c2d494b42.png</x:v>
      </x:c>
      <x:c r="P793" s="63" t="str">
        <x:v>3-5步</x:v>
      </x:c>
      <x:c r="Q793" s="63" t="str">
        <x:v>概念判断</x:v>
      </x:c>
      <x:c r="R793" s="63" t="str">
        <x:v>双状态</x:v>
      </x:c>
      <x:c r="S793" s="63" t="str">
        <x:v>单一约束</x:v>
      </x:c>
      <x:c r="T793" s="63" t="str">
        <x:v>无</x:v>
      </x:c>
      <x:c r="U793" s="63" t="str">
        <x:v>无</x:v>
      </x:c>
      <x:c r="V793" s="63" t="str">
        <x:v>多层因果推理</x:v>
      </x:c>
    </x:row>
    <x:row r="794">
      <x:c r="A794" s="64" t="str">
        <x:v>​2721625582831005696</x:v>
      </x:c>
      <x:c r="B794" s="65" t="str">
        <x:v>中等题</x:v>
      </x:c>
      <x:c r="C794" s="65" t="str">
        <x:v>中等题</x:v>
      </x:c>
      <x:c r="D794" s="65" t="str">
        <x:v>中等题</x:v>
      </x:c>
      <x:c r="E794" s="65" t="str">
        <x:v>保留原GPT裁定</x:v>
      </x:c>
      <x:c r="F794" s="65" t="str">
        <x:v>高</x:v>
      </x:c>
      <x:c r="G794" s="65" t="str">
        <x:v>中等题</x:v>
      </x:c>
      <x:c r="H794" s="65" t="str">
        <x:v>中等题</x:v>
      </x:c>
      <x:c r="I794" s="65" t="str">
        <x:v>题干、解析与结构证据支持中等题：step=3-5步，题型=电路综合，状态=双状态，约束=单一约束，推理=多层因果推理。教师、盲评和多次模型证据中未形成足以推翻原裁定的同向结构证据。</x:v>
      </x:c>
      <x:c r="J794" s="65" t="str">
        <x:v>未进入三次错题并集；逐题结构一致性复核</x:v>
      </x:c>
      <x:c r="K794" s="63" t="str">
        <x:v>如图1所示，电源电压保持不变，闭合开关时，滑动变阻器的滑片P从b端滑到a端，电压表示数U与电流表示数I的变化关系如图2所示，下列说法不正确的是（ ）</x:v>
      </x:c>
      <x:c r="L794" s="63" t="str">
        <x:v>A. 电源电压是9V B. 定值电阻R的阻值是6Ω C. 滑动变阻器的阻值范围是0～18Ω D. 若定值电阻R出现接触不良时，电流表示数为0，电压表示数为9V</x:v>
      </x:c>
      <x:c r="M794" s="63" t="str">
        <x:v>解： ABC、当滑片P位于a端时，电路为R的简单电路，电压表测电源的电压，电流表测电路中的电流， 此时电路中的电流最大，由图象可知，电路中的最大电流1.5A时，电压表的示数为9V，即电源的电压为9V，故A正确； 由I=$\frac{U}{R}$可得，定值电阻R的阻值： R=$\frac{U}{I}$=$\frac{9V}{1.5A}$=6Ω，故B正确； 当滑片P位于b端时，定值电阻R与滑动变阻器的最大阻值串联，此时电路中的电流最小， 由图象可知，电路中的最小电流I′=0.5A， 则电路中的总电阻： R总=$\frac{U}{I′}$=$\frac{9V}{0.5A}$=18Ω， 因串联电路中总电阻等于各分电阻之和， 所以，滑动变阻器的最大阻值： R滑大=R总-R=18Ω-6Ω=12Ω， 所以滑动变阻器的阻值范围是0～12Ω，故C错误； D、当定值电阻R出现接触不良时，则串联电路断路，电流表示数为0，电压表串联在电路中，相当于测量电源电压，其示数为9V，故D正确。 故选：C。</x:v>
      </x:c>
      <x:c r="N794" s="63" t="str">
        <x:v>https://k12static.xdf.cn/k12/image/externalized/f05b57f4-0361-4023-b30f-5cf0036f91e9.png</x:v>
      </x:c>
      <x:c r="O794" s="63" t="str">
        <x:v>https://k12static.xdf.cn/k12/image/externalized/6d9fe1b2-47a0-4da7-b6de-83858f54ae3d.png</x:v>
      </x:c>
      <x:c r="P794" s="63" t="str">
        <x:v>3-5步</x:v>
      </x:c>
      <x:c r="Q794" s="63" t="str">
        <x:v>电路综合</x:v>
      </x:c>
      <x:c r="R794" s="63" t="str">
        <x:v>双状态</x:v>
      </x:c>
      <x:c r="S794" s="63" t="str">
        <x:v>单一约束</x:v>
      </x:c>
      <x:c r="T794" s="63" t="str">
        <x:v>无</x:v>
      </x:c>
      <x:c r="U794" s="63" t="str">
        <x:v>直接读数</x:v>
      </x:c>
      <x:c r="V794" s="63" t="str">
        <x:v>多层因果推理</x:v>
      </x:c>
    </x:row>
    <x:row r="795">
      <x:c r="A795" s="64" t="str">
        <x:v>​2722155620416991232</x:v>
      </x:c>
      <x:c r="B795" s="65" t="str">
        <x:v>中等题</x:v>
      </x:c>
      <x:c r="C795" s="65" t="str">
        <x:v>中等题</x:v>
      </x:c>
      <x:c r="D795" s="65" t="str">
        <x:v>中等题</x:v>
      </x:c>
      <x:c r="E795" s="65" t="str">
        <x:v>保留原GPT裁定</x:v>
      </x:c>
      <x:c r="F795" s="65" t="str">
        <x:v>高</x:v>
      </x:c>
      <x:c r="G795" s="65" t="str">
        <x:v>中等题</x:v>
      </x:c>
      <x:c r="H795" s="65" t="str">
        <x:v>中等题</x:v>
      </x:c>
      <x:c r="I795" s="65" t="str">
        <x:v>题干、解析与结构证据支持中等题：step=3-5步，题型=力学综合，状态=双状态，约束=单一约束，推理=多层因果推理。教师、盲评和多次模型证据中未形成足以推翻原裁定的同向结构证据。</x:v>
      </x:c>
      <x:c r="J795" s="65" t="str">
        <x:v>未进入三次错题并集；逐题结构一致性复核</x:v>
      </x:c>
      <x:c r="K795" s="63" t="str">
        <x:v>小明同学用如图所示的滑轮组把重90N的物体提升3m,所用时间为10s,作用在绳子自由端的拉力是40N，不考虑绳重及摩擦。求： （1）绳子自由端移动的速度； （2）滑轮组的机械效率； （3）若物体改为重120N时，绳自由端的拉力。</x:v>
      </x:c>
      <x:c r="L795" s="63" t="str"/>
      <x:c r="M795" s="63" t="str">
        <x:v>解：（1）由图可知，n=3，绳子自由端移动的速度为： v=$\frac{s}{t}$=$\frac{nh}{t}$=$\frac{3×3m}{10s}$=0.9m/s； （2）滑轮组所做的有用功为： W有=Gh=90N×3m=270J， 滑轮组所做的总功为： W总=Fs=Fnh=40N×3×3m=360J， 则滑轮组的机械效率为： $η=\frac{{W}_{有}}{{W}_{总}}×100\% =\frac{270J}{360J}×100\% =75\% $； （3）不考虑绳重及摩擦，根据F=$\frac{1}{n}$（G+G动）可知，动滑轮重为： G动=nF-G=3×40N-90N=30N， 若物体改为重120N时，绳自由端的拉力为： $F′=\frac{1}{n}(G′+{G}_{动})=\frac{1}{3}×(120N+30N)=50N$。 答：（1）绳子自由端移动的速度为0.9m/s； （2）滑轮组的机械效率为75%； （3）若物体改为重120N时，绳自由端的拉力为50N。</x:v>
      </x:c>
      <x:c r="N795" s="63" t="str">
        <x:v>https://k12static.xdf.cn/k12/image/externalized/6a35825a-5ad2-4b0a-9328-84ae025331a1.png</x:v>
      </x:c>
      <x:c r="O795" s="63" t="str">
        <x:v>https://k12static.xdf.cn/k12/image/externalized/4b1991cc-9f8e-49d5-9636-7972fd547bd7.png</x:v>
      </x:c>
      <x:c r="P795" s="63" t="str">
        <x:v>3-5步</x:v>
      </x:c>
      <x:c r="Q795" s="63" t="str">
        <x:v>力学综合</x:v>
      </x:c>
      <x:c r="R795" s="63" t="str">
        <x:v>双状态</x:v>
      </x:c>
      <x:c r="S795" s="63" t="str">
        <x:v>单一约束</x:v>
      </x:c>
      <x:c r="T795" s="63" t="str">
        <x:v>无</x:v>
      </x:c>
      <x:c r="U795" s="63" t="str">
        <x:v>无</x:v>
      </x:c>
      <x:c r="V795" s="63" t="str">
        <x:v>多层因果推理</x:v>
      </x:c>
    </x:row>
    <x:row r="796">
      <x:c r="A796" s="64" t="str">
        <x:v>​2722362783999242240</x:v>
      </x:c>
      <x:c r="B796" s="65" t="str">
        <x:v>基础题</x:v>
      </x:c>
      <x:c r="C796" s="65" t="str">
        <x:v>基础题</x:v>
      </x:c>
      <x:c r="D796" s="65" t="str">
        <x:v>基础题</x:v>
      </x:c>
      <x:c r="E796" s="65" t="str">
        <x:v>保留原GPT裁定</x:v>
      </x:c>
      <x:c r="F796" s="65" t="str">
        <x:v>高</x:v>
      </x:c>
      <x:c r="G796" s="65" t="str">
        <x:v>基础题</x:v>
      </x:c>
      <x:c r="H796" s="65" t="str">
        <x:v>基础题</x:v>
      </x:c>
      <x:c r="I796" s="65" t="str">
        <x:v>题干、解析与结构证据支持基础题：step=1-2步，题型=概念判断，状态=单状态，约束=无约束，推理=简单因果推理。教师、盲评和多次模型证据中未形成足以推翻原裁定的同向结构证据。</x:v>
      </x:c>
      <x:c r="J796" s="65" t="str">
        <x:v>未进入三次错题并集；逐题结构一致性复核</x:v>
      </x:c>
      <x:c r="K796" s="63" t="str">
        <x:v>北京冬奥会后，许多群众喜爱上了冰壶运动。如图所示，一个冰壶在水平冰面上向左滑动，则地面对冰壶支持力的方向、冰壶对冰面摩擦力的方向分别为（ ）</x:v>
      </x:c>
      <x:c r="L796" s="63" t="str">
        <x:v>A. 垂直冰面向上、水平向左 B. 垂直冰面向上、水平向右 C. 垂直冰面向下、水平向左 D. 垂直冰面向下、水平向右</x:v>
      </x:c>
      <x:c r="M796" s="63" t="str">
        <x:v>解：水平地面对冰壶的支持力是弹力，方向是竖直向上的，即垂直于冰面向上； 冰壶在水平冰面上向左滑动时，则冰壶受到水平向右的摩擦力（该摩擦力阻碍冰壶向左滑动）；因为物体间力的作用是相互的，且一对相互作用力的方向相反，所以冰壶对冰面摩擦力的方向是水平向左的，故A正确。 故选：A。</x:v>
      </x:c>
      <x:c r="N796" s="63" t="str">
        <x:v>https://k12static.xdf.cn/k12/image/externalized/99c8f17c-74eb-4d0b-af8c-3bc923368ead.png</x:v>
      </x:c>
      <x:c r="O796" s="63" t="str">
        <x:v>https://k12static.xdf.cn/k12/image/externalized/e89ce224-b40a-4b9c-8c17-d1da5f832a14.png</x:v>
      </x:c>
      <x:c r="P796" s="63" t="str">
        <x:v>1-2步</x:v>
      </x:c>
      <x:c r="Q796" s="63" t="str">
        <x:v>概念判断</x:v>
      </x:c>
      <x:c r="R796" s="63" t="str">
        <x:v>单状态</x:v>
      </x:c>
      <x:c r="S796" s="63" t="str">
        <x:v>无约束</x:v>
      </x:c>
      <x:c r="T796" s="63" t="str">
        <x:v>无</x:v>
      </x:c>
      <x:c r="U796" s="63" t="str">
        <x:v>无</x:v>
      </x:c>
      <x:c r="V796" s="63" t="str">
        <x:v>简单因果推理</x:v>
      </x:c>
    </x:row>
    <x:row r="797">
      <x:c r="A797" s="64" t="str">
        <x:v>​2726508247963185152</x:v>
      </x:c>
      <x:c r="B797" s="65" t="str">
        <x:v>基础题</x:v>
      </x:c>
      <x:c r="C797" s="65" t="str">
        <x:v>基础题</x:v>
      </x:c>
      <x:c r="D797" s="65" t="str">
        <x:v>基础题</x:v>
      </x:c>
      <x:c r="E797" s="65" t="str">
        <x:v>保留原GPT裁定</x:v>
      </x:c>
      <x:c r="F797" s="65" t="str">
        <x:v>高</x:v>
      </x:c>
      <x:c r="G797" s="65" t="str">
        <x:v>基础题</x:v>
      </x:c>
      <x:c r="H797" s="65" t="str">
        <x:v>基础题</x:v>
      </x:c>
      <x:c r="I797" s="65" t="str">
        <x:v>题干、解析与结构证据支持基础题：step=1-2步，题型=光学声学综合，状态=单状态，约束=无约束，推理=简单因果推理。教师、盲评和多次模型证据中未形成足以推翻原裁定的同向结构证据。</x:v>
      </x:c>
      <x:c r="J797" s="65" t="str">
        <x:v>未进入三次错题并集；逐题结构一致性复核</x:v>
      </x:c>
      <x:c r="K797" s="63" t="str">
        <x:v>如图所示，插入水中的筷子看起来好像向上弯折，能正确表示所看到现象的光路图是（ ）</x:v>
      </x:c>
      <x:c r="L797" s="63" t="str"/>
      <x:c r="M797" s="63" t="str">
        <x:v>解：筷子反射的光从水中斜射入空气时，在水与空气的交界面上发生折射，进入空气中的折射光线向水面偏折（偏离法线），人眼沿直线看到筷子位置在折射光线的反向延长线上，像的位置比实际位置偏高，看起来筷子向上弯折。 AC、光线由空气斜射入水中，光的传播方向错误，故AC错误； B、图中光线从水中斜射入空气中，折射角大于入射角，符合光的折射规律，故B正确。 D、光线从水中斜射入空气中，应该是折射角大于入射角，而图中折射角小于入射角了，故D错误。 故选：B。</x:v>
      </x:c>
      <x:c r="N797" s="63" t="str">
        <x:v>https://k12static.xdf.cn/k12/image/externalized/75e6e882-5d20-4291-aefe-9e8d3bcc30a3.png</x:v>
      </x:c>
      <x:c r="O797" s="63" t="str">
        <x:v>https://k12static.xdf.cn/k12/image/externalized/8c270c62-de7e-4955-bc88-f6d26b82afe3.png</x:v>
      </x:c>
      <x:c r="P797" s="63" t="str">
        <x:v>1-2步</x:v>
      </x:c>
      <x:c r="Q797" s="63" t="str">
        <x:v>光学声学综合</x:v>
      </x:c>
      <x:c r="R797" s="63" t="str">
        <x:v>单状态</x:v>
      </x:c>
      <x:c r="S797" s="63" t="str">
        <x:v>无约束</x:v>
      </x:c>
      <x:c r="T797" s="63" t="str">
        <x:v>无</x:v>
      </x:c>
      <x:c r="U797" s="63" t="str">
        <x:v>无</x:v>
      </x:c>
      <x:c r="V797" s="63" t="str">
        <x:v>简单因果推理</x:v>
      </x:c>
    </x:row>
    <x:row r="798">
      <x:c r="A798" s="64" t="str">
        <x:v>​2729885077318754304</x:v>
      </x:c>
      <x:c r="B798" s="65" t="str">
        <x:v>基础题</x:v>
      </x:c>
      <x:c r="C798" s="65" t="str">
        <x:v>基础题</x:v>
      </x:c>
      <x:c r="D798" s="65" t="str">
        <x:v>基础题</x:v>
      </x:c>
      <x:c r="E798" s="65" t="str">
        <x:v>逐题复核后保留GPT裁定</x:v>
      </x:c>
      <x:c r="F798" s="65" t="str">
        <x:v>高</x:v>
      </x:c>
      <x:c r="G798" s="65" t="str">
        <x:v>基础题</x:v>
      </x:c>
      <x:c r="H798" s="65" t="str">
        <x:v>基础题</x:v>
      </x:c>
      <x:c r="I798" s="65" t="str">
        <x:v>最高难任务为1—2步显性应用、规范操作或简单因果，没有连续模型转换。 题目证据：最长连续链实际有效物理决策为1步，五维锚定知识量为同小节内2个关联知识点，过程/对象为单对象静态，无数学运算要求，情境为熟悉实验情境，思维层次为简单应用。任务为区分镜面反射和漫反射，需要将表面光滑度对应到反射类型，再根据人眼位置解释明暗差异。</x:v>
      </x:c>
      <x:c r="J798" s="65" t="str">
        <x:v>三次运行错题并集逐题复核</x:v>
      </x:c>
      <x:c r="K798" s="63" t="str">
        <x:v>晚上，一位同学在家庭实验室探究“光的反射现象”，他把一小块平面镜粘在白纸上，用手电筒照射白纸和平面镜（如图所示），观察到白纸很亮而镜子很暗，这是因为（ ）</x:v>
      </x:c>
      <x:c r="L798" s="63" t="str">
        <x:v>A. 白纸和镜子都对光发生漫反射 B. 白纸和镜子都对光发生镜面反射 C. 白纸对光发生镜面反射，镜子对光发生漫反射 D. 镜子对光发生镜面反射，白纸对光发生漫反射</x:v>
      </x:c>
      <x:c r="M798" s="63" t="str">
        <x:v>解：当用手电筒正对着镜子和白纸板照射时，镜子表面很平，表面会发生镜面反射，反射光线逆着手电筒的光线反射回，而人是从镜子的侧面看去，很少有反射光线进入人眼，故人看到的镜子是暗的； 白纸板表面凹凸不平，手电筒光照射时发生漫反射，反射光线射向四面八方，人从侧面看去，会有一部分光线进入人眼，所以看到的白纸板是亮的。 综上所述，只有D的说法正确。 故选：D。</x:v>
      </x:c>
      <x:c r="N798" s="63" t="str">
        <x:v>https://k12static.xdf.cn/k12/image/externalized/159a5d19-86ea-4716-af73-26774f177873.png</x:v>
      </x:c>
      <x:c r="O798" s="63" t="str">
        <x:v>https://k12static.xdf.cn/k12/image/externalized/a920a30c-f4a8-4afd-af36-5d2660e754e3.png</x:v>
      </x:c>
      <x:c r="P798" s="63" t="str">
        <x:v>1-2步</x:v>
      </x:c>
      <x:c r="Q798" s="63" t="str">
        <x:v>概念判断</x:v>
      </x:c>
      <x:c r="R798" s="63" t="str">
        <x:v>单状态</x:v>
      </x:c>
      <x:c r="S798" s="63" t="str">
        <x:v>无约束</x:v>
      </x:c>
      <x:c r="T798" s="63" t="str">
        <x:v>无</x:v>
      </x:c>
      <x:c r="U798" s="63" t="str">
        <x:v>无</x:v>
      </x:c>
      <x:c r="V798" s="63" t="str">
        <x:v>简单因果推理</x:v>
      </x:c>
    </x:row>
    <x:row r="799">
      <x:c r="A799" s="64" t="str">
        <x:v>​2735477409699160064</x:v>
      </x:c>
      <x:c r="B799" s="65" t="str">
        <x:v>基础题</x:v>
      </x:c>
      <x:c r="C799" s="65" t="str">
        <x:v>基础题</x:v>
      </x:c>
      <x:c r="D799" s="65" t="str">
        <x:v>基础题</x:v>
      </x:c>
      <x:c r="E799" s="65" t="str">
        <x:v>保留原GPT裁定</x:v>
      </x:c>
      <x:c r="F799" s="65" t="str">
        <x:v>高</x:v>
      </x:c>
      <x:c r="G799" s="65" t="str">
        <x:v>基础题</x:v>
      </x:c>
      <x:c r="H799" s="65" t="str">
        <x:v>基础题</x:v>
      </x:c>
      <x:c r="I799" s="65" t="str">
        <x:v>题干、解析与结构证据支持基础题：step=1-2步，题型=概念判断，状态=单状态，约束=无约束，推理=简单因果推理。教师、盲评和多次模型证据中未形成足以推翻原裁定的同向结构证据。</x:v>
      </x:c>
      <x:c r="J799" s="65" t="str">
        <x:v>未进入三次错题并集；逐题结构一致性复核</x:v>
      </x:c>
      <x:c r="K799" s="63" t="str">
        <x:v>自拍神器给旅行者自拍带来了极大的方便。如图所示，小明手持自拍杆正在进行自拍。下列关于“自拍神器”的说法正确的是（ ）</x:v>
      </x:c>
      <x:c r="L799" s="63" t="str">
        <x:v>A. 利用自拍杆可以增大物距，使成像更大 B. 利用自拍杆可以增大物距，使所成的像变为虚像 C. 为了使身后的人能全部被摄入镜头，应将自拍杆拉长 D. 利用自拍神器可以使成的像变成倒立放大的</x:v>
      </x:c>
      <x:c r="M799" s="63" t="str">
        <x:v>解： 照相机的镜头是一个凸透镜，成倒立、缩小的实像；根据凸透镜成实像时，物距越大，像距越小，像越小，可知“自拍神器”与直接拿手机自拍相比，利用自拍杆可以增大物距，减小人像的大小，从而增大取景范围，取得更好的拍摄效果；为了使身后的人能全部被摄入镜头，即像要变小，需要减小像距，增大物距，应将自拍杆拉长，故ABD错误，C正确。 故选：C。</x:v>
      </x:c>
      <x:c r="N799" s="63" t="str">
        <x:v>https://k12static.xdf.cn/k12/image/externalized/b7d218bd-0e86-431b-a434-0c97368ac279.png</x:v>
      </x:c>
      <x:c r="O799" s="63" t="str">
        <x:v>https://k12static.xdf.cn/k12/image/externalized/6586b9f5-67da-4e4f-b165-c512889920e7.png</x:v>
      </x:c>
      <x:c r="P799" s="63" t="str">
        <x:v>1-2步</x:v>
      </x:c>
      <x:c r="Q799" s="63" t="str">
        <x:v>概念判断</x:v>
      </x:c>
      <x:c r="R799" s="63" t="str">
        <x:v>单状态</x:v>
      </x:c>
      <x:c r="S799" s="63" t="str">
        <x:v>无约束</x:v>
      </x:c>
      <x:c r="T799" s="63" t="str">
        <x:v>无</x:v>
      </x:c>
      <x:c r="U799" s="63" t="str">
        <x:v>无</x:v>
      </x:c>
      <x:c r="V799" s="63" t="str">
        <x:v>简单因果推理</x:v>
      </x:c>
    </x:row>
    <x:row r="800">
      <x:c r="A800" s="64" t="str">
        <x:v>​2735477656190267392</x:v>
      </x:c>
      <x:c r="B800" s="65" t="str">
        <x:v>拔高题</x:v>
      </x:c>
      <x:c r="C800" s="65" t="str">
        <x:v>拔高题</x:v>
      </x:c>
      <x:c r="D800" s="65" t="str">
        <x:v>拔高题</x:v>
      </x:c>
      <x:c r="E800" s="65" t="str">
        <x:v>逐题复核后保留GPT裁定</x:v>
      </x:c>
      <x:c r="F800" s="65" t="str">
        <x:v>高</x:v>
      </x:c>
      <x:c r="G800" s="65" t="str">
        <x:v>拔高题</x:v>
      </x:c>
      <x:c r="H800" s="65" t="str">
        <x:v>拔高题</x:v>
      </x:c>
      <x:c r="I800" s="65" t="str">
        <x:v>最高难任务在光路、成像条件与几何关系中包含图线反推、状态转换、误差评价、几何/等效转换、方程联立或参数反求等决定性卡点，整体约5—6个有效决策；尚未形成压轴所需的完整复杂约束网络。</x:v>
      </x:c>
      <x:c r="J800" s="65" t="str">
        <x:v>三次运行错题并集逐题复核</x:v>
      </x:c>
      <x:c r="K800" s="63" t="str">
        <x:v>如图所示，F1、F2是凸透镜的两个焦点，S是距凸透镜前距离大于2倍焦距的点光源，S'是S经凸透镜所成的像。当点光源S沿平行于主光轴方向向右匀速运动靠近透镜时，像S'的移动情况（ ）</x:v>
      </x:c>
      <x:c r="L800" s="63" t="str">
        <x:v>A. 像S′沿平行于主光轴方向靠近凸透镜方向匀速运动 B. 像S′沿O与S′连线方向远离凸透镜方向移动，速度逐渐变小 C. 像S′沿平行于主光轴方向远离凸透镜方向移动，速度逐渐变大 D. 像S′沿F2与S′连线方向远离凸透镜方向移动，速度逐渐变大</x:v>
      </x:c>
      <x:c r="M800" s="63" t="str">
        <x:v>解：S是距凸透镜前距离大于2倍焦距的点光源，当光源S沿平行主轴的方向靠近透镜时，此时所成的像始终是倒立的实像，当物距减小时，像距增大，像变大。如图所示，所以像S′的移动情况是沿F2与S′连线方向远离透镜，相同时间像移动的距离逐渐变大，故速度逐渐变大。 故选：D。</x:v>
      </x:c>
      <x:c r="N800" s="63" t="str">
        <x:v>https://k12static.xdf.cn/k12/image/externalized/35f98367-783a-4bb4-b0df-5632bb4a1a3f.png</x:v>
      </x:c>
      <x:c r="O800" s="63" t="str">
        <x:v>https://k12static.xdf.cn/k12/image/externalized/ca049699-c79f-4d42-a700-57d251350539.png</x:v>
      </x:c>
      <x:c r="P800" s="63" t="str">
        <x:v>3-5步</x:v>
      </x:c>
      <x:c r="Q800" s="63" t="str">
        <x:v>光学声学综合</x:v>
      </x:c>
      <x:c r="R800" s="63" t="str">
        <x:v>连续变化或临界状态</x:v>
      </x:c>
      <x:c r="S800" s="63" t="str">
        <x:v>单一约束</x:v>
      </x:c>
      <x:c r="T800" s="63" t="str">
        <x:v>无</x:v>
      </x:c>
      <x:c r="U800" s="63" t="str">
        <x:v>无</x:v>
      </x:c>
      <x:c r="V800" s="63" t="str">
        <x:v>多层因果推理</x:v>
      </x:c>
    </x:row>
    <x:row r="801">
      <x:c r="A801" s="64" t="str">
        <x:v>​2735478958035120128</x:v>
      </x:c>
      <x:c r="B801" s="65" t="str">
        <x:v>基础题</x:v>
      </x:c>
      <x:c r="C801" s="65" t="str">
        <x:v>基础题</x:v>
      </x:c>
      <x:c r="D801" s="65" t="str">
        <x:v>基础题</x:v>
      </x:c>
      <x:c r="E801" s="65" t="str">
        <x:v>保留原GPT裁定</x:v>
      </x:c>
      <x:c r="F801" s="65" t="str">
        <x:v>高</x:v>
      </x:c>
      <x:c r="G801" s="65" t="str">
        <x:v>基础题</x:v>
      </x:c>
      <x:c r="H801" s="65" t="str">
        <x:v>基础题</x:v>
      </x:c>
      <x:c r="I801" s="65" t="str">
        <x:v>题干、解析与结构证据支持基础题：step=1-2步，题型=概念判断，状态=单状态，约束=无约束，推理=简单因果推理。教师、盲评和多次模型证据中未形成足以推翻原裁定的同向结构证据。</x:v>
      </x:c>
      <x:c r="J801" s="65" t="str">
        <x:v>未进入三次错题并集；逐题结构一致性复核</x:v>
      </x:c>
      <x:c r="K801" s="63" t="str">
        <x:v>某兴趣小组开展“创新服务生活，科技改变未来”的科技创新活动，模拟制作一款“智能”行驶玩具车。该玩具车利用车载传感器（摄像头、雷达）采集生成道路特征数据，完成“自动”驾驶。作为传感器之一的摄像头，下列说法正确的是（ ）</x:v>
      </x:c>
      <x:c r="L801" s="63" t="str">
        <x:v>A. 摄像头的镜头是凹透镜 B. 遇障碍物时，要想生成更大的像，镜头应该向后缩 C. 摄像头成的像是正立的虚像 D. 成像时障碍物位于镜头的两倍焦距以外</x:v>
      </x:c>
      <x:c r="M801" s="63" t="str">
        <x:v>解：ACD．摄像头的镜头相当于一个凸透镜，其成像原理是u＞2f,成倒立缩小的实像，故AC错误，D正确； B．凸透镜成实像时，物近像远像变大，故要想生成更大的像，应减小物距——玩具车应靠近障碍物，同时增大像距——镜头向前伸，故B错误。 故选：D。</x:v>
      </x:c>
      <x:c r="N801" s="63" t="str">
        <x:v>https://k12static.xdf.cn/k12/image/externalized/50f03e8f-24d3-40b1-8d93-51675950592a.png</x:v>
      </x:c>
      <x:c r="O801" s="63" t="str">
        <x:v>https://k12static.xdf.cn/k12/image/externalized/6517694e-9047-430d-8581-3d45e89c60e9.png</x:v>
      </x:c>
      <x:c r="P801" s="63" t="str">
        <x:v>1-2步</x:v>
      </x:c>
      <x:c r="Q801" s="63" t="str">
        <x:v>概念判断</x:v>
      </x:c>
      <x:c r="R801" s="63" t="str">
        <x:v>单状态</x:v>
      </x:c>
      <x:c r="S801" s="63" t="str">
        <x:v>无约束</x:v>
      </x:c>
      <x:c r="T801" s="63" t="str">
        <x:v>无</x:v>
      </x:c>
      <x:c r="U801" s="63" t="str">
        <x:v>无</x:v>
      </x:c>
      <x:c r="V801" s="63" t="str">
        <x:v>简单因果推理</x:v>
      </x:c>
    </x:row>
    <x:row r="802">
      <x:c r="A802" s="64" t="str">
        <x:v>​2735484166652080128</x:v>
      </x:c>
      <x:c r="B802" s="65" t="str">
        <x:v>拔高题</x:v>
      </x:c>
      <x:c r="C802" s="65" t="str">
        <x:v>拔高题</x:v>
      </x:c>
      <x:c r="D802" s="65" t="str">
        <x:v>拔高题</x:v>
      </x:c>
      <x:c r="E802" s="65" t="str">
        <x:v>保留原GPT裁定</x:v>
      </x:c>
      <x:c r="F802" s="65" t="str">
        <x:v>高</x:v>
      </x:c>
      <x:c r="G802" s="65" t="str">
        <x:v>拔高题</x:v>
      </x:c>
      <x:c r="H802" s="65" t="str">
        <x:v>拔高题</x:v>
      </x:c>
      <x:c r="I802" s="65" t="str">
        <x:v>题干、解析与结构证据支持拔高题：step=3-5步，题型=概念判断，状态=单状态，约束=单一约束，推理=多层因果推理。教师、盲评和多次模型证据中未形成足以推翻原裁定的同向结构证据。</x:v>
      </x:c>
      <x:c r="J802" s="65" t="str">
        <x:v>未进入三次错题并集；逐题结构一致性复核</x:v>
      </x:c>
      <x:c r="K802" s="63" t="str">
        <x:v>小明在水槽底部放上硬币，将塞紧塞子的空薄壁试管如图贴近水面。逐渐向下平移，从正上方观察，发现当试管下部浸入水中后，硬币突然变小了，随着浸入体积增大，像逐渐变小，但一直是正立的。于是，他得到了“凸透镜还能成正立、缩小像”的结论。以下操作方案能用来检验小明观点的是（ ）</x:v>
      </x:c>
      <x:c r="L802" s="63" t="str">
        <x:v>A. 将试管注满水塞紧后向下平移，观察槽中水底硬币的成像情况 B. 将试管注满水塞紧后向下平移，观察空水槽底硬币的成像情况 C. 将空试管塞紧后向下平移，观察置于空水槽底硬币的成像情况 D. 将空试管塞紧后固定在水槽中部，加水并观察硬币的成像情况</x:v>
      </x:c>
      <x:c r="M802" s="63" t="str">
        <x:v>解：将试管水平横放在水面上方，并逐渐将空瓶向下平移（如图所示）。从试管正上方观察硬币的像，当试管下部浸入水中后，此时试管内空气相当于气泡，形成凹透镜，凹透镜成正立缩小的虚像，像逐渐变小，若想验证小明的观点，需要将试管注满水，形成一个凸透镜，然后向下平移，观察空水槽底硬币的成像情况。 故选：B。</x:v>
      </x:c>
      <x:c r="N802" s="63" t="str">
        <x:v>https://k12static.xdf.cn/k12/image/externalized/c0c3fb4f-1550-4926-80a9-287e31cdb081.png</x:v>
      </x:c>
      <x:c r="O802" s="63" t="str">
        <x:v>https://k12static.xdf.cn/k12/image/externalized/cef801fd-675e-434d-9cc9-e99f4a6b2db7.png</x:v>
      </x:c>
      <x:c r="P802" s="63" t="str">
        <x:v>3-5步</x:v>
      </x:c>
      <x:c r="Q802" s="63" t="str">
        <x:v>概念判断</x:v>
      </x:c>
      <x:c r="R802" s="63" t="str">
        <x:v>单状态</x:v>
      </x:c>
      <x:c r="S802" s="63" t="str">
        <x:v>单一约束</x:v>
      </x:c>
      <x:c r="T802" s="63" t="str">
        <x:v>方案设计或误差评价</x:v>
      </x:c>
      <x:c r="U802" s="63" t="str">
        <x:v>无</x:v>
      </x:c>
      <x:c r="V802" s="63" t="str">
        <x:v>多层因果推理</x:v>
      </x:c>
    </x:row>
    <x:row r="803">
      <x:c r="A803" s="64" t="str">
        <x:v>​2744286635556954112</x:v>
      </x:c>
      <x:c r="B803" s="65" t="str">
        <x:v>中等题</x:v>
      </x:c>
      <x:c r="C803" s="65" t="str">
        <x:v>中等题</x:v>
      </x:c>
      <x:c r="D803" s="65" t="str">
        <x:v>中等题</x:v>
      </x:c>
      <x:c r="E803" s="65" t="str">
        <x:v>保留原GPT裁定</x:v>
      </x:c>
      <x:c r="F803" s="65" t="str">
        <x:v>高</x:v>
      </x:c>
      <x:c r="G803" s="65" t="str">
        <x:v>中等题</x:v>
      </x:c>
      <x:c r="H803" s="65" t="str">
        <x:v>中等题</x:v>
      </x:c>
      <x:c r="I803" s="65" t="str">
        <x:v>题干、解析与结构证据支持中等题：step=3-5步，题型=概念判断，状态=单状态，约束=无约束，推理=多层因果推理。教师、盲评和多次模型证据中未形成足以推翻原裁定的同向结构证据。</x:v>
      </x:c>
      <x:c r="J803" s="65" t="str">
        <x:v>未进入三次错题并集；逐题结构一致性复核</x:v>
      </x:c>
      <x:c r="K803" s="63" t="str">
        <x:v>如图所示，是某同学的实验示意图。在一敞口玻璃瓶A里盛适量的水，使之能浮在一水槽中，将另一只同样的敞口空玻璃瓶B瓶口朝下，按入槽内水中，并固定位置，在标准大气压下，对槽内水加热到沸腾时（ ）</x:v>
      </x:c>
      <x:c r="L803" s="63" t="str">
        <x:v>A. A、B瓶内水都能沸腾 B. A、B瓶中水都不沸腾 C. A瓶内水沸腾，B瓶内水不沸腾 D. A瓶内水不沸腾，B瓶内水沸腾</x:v>
      </x:c>
      <x:c r="M803" s="63" t="str">
        <x:v>解： 因为水在标准大气压下的沸点是100℃，所以槽中水沸腾时温度是100℃，并保持不变，A瓶中水从槽内水中吸热，温度升高直到100℃，这样A瓶中的水温也能达到沸点，不过A瓶中的水一旦与槽内的水温度相等，A瓶中的水就无法吸热，当然不能沸腾； B瓶中水温同样可达到100℃，但B瓶上端封闭，瓶内气压大于标准大气压，因为液体沸点随液面上气压的增大而增大，所以B瓶中水的沸点高于100℃，这样B瓶中水温达不到沸点，不能沸腾，故B正确。 故选：B。</x:v>
      </x:c>
      <x:c r="N803" s="63" t="str">
        <x:v>https://k12static.xdf.cn/k12/image/externalized/d0b5948a-8b0e-4a3d-be1d-3490c1acd0e0.png</x:v>
      </x:c>
      <x:c r="O803" s="63" t="str">
        <x:v>https://k12static.xdf.cn/k12/image/externalized/aa2ca905-986c-4ffc-9251-7e6fef652ab8.png</x:v>
      </x:c>
      <x:c r="P803" s="63" t="str">
        <x:v>3-5步</x:v>
      </x:c>
      <x:c r="Q803" s="63" t="str">
        <x:v>概念判断</x:v>
      </x:c>
      <x:c r="R803" s="63" t="str">
        <x:v>单状态</x:v>
      </x:c>
      <x:c r="S803" s="63" t="str">
        <x:v>无约束</x:v>
      </x:c>
      <x:c r="T803" s="63" t="str">
        <x:v>无</x:v>
      </x:c>
      <x:c r="U803" s="63" t="str">
        <x:v>无</x:v>
      </x:c>
      <x:c r="V803" s="63" t="str">
        <x:v>多层因果推理</x:v>
      </x:c>
    </x:row>
    <x:row r="804">
      <x:c r="A804" s="64" t="str">
        <x:v>​2745727504761790464</x:v>
      </x:c>
      <x:c r="B804" s="65" t="str">
        <x:v>中等题</x:v>
      </x:c>
      <x:c r="C804" s="65" t="str">
        <x:v>中等题</x:v>
      </x:c>
      <x:c r="D804" s="65" t="str">
        <x:v>中等题</x:v>
      </x:c>
      <x:c r="E804" s="65" t="str">
        <x:v>逐题复核后保留GPT裁定</x:v>
      </x:c>
      <x:c r="F804" s="65" t="str">
        <x:v>高</x:v>
      </x:c>
      <x:c r="G804" s="65" t="str">
        <x:v>中等题</x:v>
      </x:c>
      <x:c r="H804" s="65" t="str">
        <x:v>中等题</x:v>
      </x:c>
      <x:c r="I804" s="65" t="str">
        <x:v>存在约3—4步常规连续分析、共享过程或完整标准实验任务，关系仍显性。 题目证据：整题共5个独立小问，最长连续链为第(4)问，含3个有效物理决策：单位换算、热值公式变形、代入计算；五维锚定：知识量跨能源分类、长度估测、浮力、热值计算多个跨模块知识点，过程/对象均为单状态单过程，数学工具为简单笔算，情境为真实工程背景需要对应物理规律，思维层次为常规应用，整体落在基础/中等区间。各小问相互独立，无答案或模型依赖，每个小问均为独立的基础应用，无决定性转换或高密度综合链。</x:v>
      </x:c>
      <x:c r="J804" s="65" t="str">
        <x:v>三次运行错题并集逐题复核</x:v>
      </x:c>
      <x:c r="K804" s="63" t="str">
        <x:v>阅读材料，回答问题“海油观澜号”深远海浮式风电平台2023年5月20日，我国首座深远海浮式风电平台“海油观澜号”成功并入文昌油田群电网，标志着我国深远海风电关键技术取得重大进展。“海油观澜号”由浮式基础和风机组成，整体高度超200米，总质量达1.1×107kg。平台采用“半潜式”设计，底部是一个三角形浮式基础，包括3个边立柱和1个中间立柱，图甲为其实物照片。浮式基础上方是高约83米的圆筒状柱子，柱子上方安装有机舱，机舱前部的3只大叶片驱动机舱中的发电机转子转动，生成绿色电力，年发电量将达2.2×107kW·h。（1）风能属于 （选填“可”或“不可”）再生能源；（2）根据图甲估测“海油观澜号”单个叶片长度约为 m（保留整数）； 甲（3）风平浪静叶片不动时，平台基础排开海水的体积达 $\mathrm{m}^{3}$（海水密度用1.0×103kg/m3计算，不考虑锚链对平台的作用）；（4）每年的发电量相当于 kg天然气完全燃烧放出的热量（天然气的热值q取4.4×107J/kg；（5）海浮式风电平台基础设计方式除半潜式外还有单柱式（图乙）。两种方式相比较，你认为“半潜式”的一个明显优点是 。 乙</x:v>
      </x:c>
      <x:c r="L804" s="63" t="str"/>
      <x:c r="M804" s="63" t="str">
        <x:v>（1）[1]风能在短时间可以再次产生，属于可再生能源。（2）[2]由甲图可知，单个叶片长度比浮式基础上方圆筒状柱子稍短些，而圆柱子高83米，所以单个叶片长度约为65~80m。（3）[3]“海油观澜号” 总质量达1.1×107kg，漂浮在海面上，根据漂浮条件可知,“海油观澜号” 受到的浮力为F浮=G=1.1×107kg×10N/kg=1. 1×108N根据阿基米德原理可得，平台基础排开海水的体积为$V_{\mathrm{排}}=\dfrac{F_{\mathrm{浮}}}{\rho _{\mathrm{海水}}g}=\dfrac{1.~ 1\times 10^{8}\mathrm{N}}{1.~ 0\times 10^{3}\mathrm{kg}/\mathrm{m}^{3}\times 10\mathrm{N}/\mathrm{kg}}=1.1\times 10^{4}\mathrm{m}^{3}$（4）[4]每年发电量将达为W=2.2×107kW·h=2.2×107×3.6×106J=7.92×1013J消耗天然气的质量为$m=\dfrac{Q}{q}=\dfrac{W}{q}=\dfrac{7.92\times 10^{13}\mathrm{J}}{4.4\times 10^{7}\mathrm{J}/\mathrm{kg}}=1.8\times 10^{6}\mathrm{kg}$（5）[5]由乙图可知， “半潜式”海浮式风电平台基础吃水深度较浅，所以它的优点是适用海域范围较广。</x:v>
      </x:c>
      <x:c r="N804" s="63" t="str">
        <x:v>https://k12static.xdf.cn/k12/image/externalized/70925d07-1c73-4d3a-8fcf-dc105f04a22b.png</x:v>
      </x:c>
      <x:c r="O804" s="63" t="str">
        <x:v>https://k12static.xdf.cn/k12/image/externalized/77fa0184-4fa0-4e7a-9928-839366a644c2.png</x:v>
      </x:c>
      <x:c r="P804" s="63" t="str">
        <x:v>1-2步</x:v>
      </x:c>
      <x:c r="Q804" s="63" t="str">
        <x:v>跨模块综合</x:v>
      </x:c>
      <x:c r="R804" s="63" t="str">
        <x:v>单状态</x:v>
      </x:c>
      <x:c r="S804" s="63" t="str">
        <x:v>无约束</x:v>
      </x:c>
      <x:c r="T804" s="63" t="str">
        <x:v>无</x:v>
      </x:c>
      <x:c r="U804" s="63" t="str">
        <x:v>无</x:v>
      </x:c>
      <x:c r="V804" s="63" t="str">
        <x:v>简单因果推理</x:v>
      </x:c>
    </x:row>
    <x:row r="805">
      <x:c r="A805" s="64" t="str">
        <x:v>​2746205493011169280</x:v>
      </x:c>
      <x:c r="B805" s="65" t="str">
        <x:v>中等题</x:v>
      </x:c>
      <x:c r="C805" s="65" t="str">
        <x:v>中等题</x:v>
      </x:c>
      <x:c r="D805" s="65" t="str">
        <x:v>中等题</x:v>
      </x:c>
      <x:c r="E805" s="65" t="str">
        <x:v>保留原GPT裁定</x:v>
      </x:c>
      <x:c r="F805" s="65" t="str">
        <x:v>高</x:v>
      </x:c>
      <x:c r="G805" s="65" t="str">
        <x:v>中等题</x:v>
      </x:c>
      <x:c r="H805" s="65" t="str">
        <x:v>中等题</x:v>
      </x:c>
      <x:c r="I805" s="65" t="str">
        <x:v>题干、解析与结构证据支持中等题：step=3-5步，题型=电路综合，状态=双状态，约束=单一约束，推理=多层因果推理。教师、盲评和多次模型证据中未形成足以推翻原裁定的同向结构证据。</x:v>
      </x:c>
      <x:c r="J805" s="65" t="str">
        <x:v>未进入三次错题并集；逐题结构一致性复核</x:v>
      </x:c>
      <x:c r="K805" s="63" t="str">
        <x:v>有“3V0.75W”的L1灯泡和“3V1.5W”的L2灯泡，如题图甲所示，闭合开关，L1灯泡和L2正常发光，则电路总电阻R= Ω；如题图乙所示，闭合开关，L1灯正常发光，则电源2的电压U= V；此时L2消耗的实际功率P= W(假设灯丝电阻不变)</x:v>
      </x:c>
      <x:c r="L805" s="63" t="str"/>
      <x:c r="M805" s="63" t="str">
        <x:v>[1]L1灯泡的电阻为R1=$\dfrac{(3\mathrm{V})^{2}}{0.75\mathrm{W}}$=12ΩL2灯泡电阻为 R2=$\dfrac{(3\mathrm{V})^{2}}{1.5\mathrm{W}}$=6Ω如题图甲所示，闭合开关，L1灯泡和L2正常发光且并联，则电路总电阻R=$\dfrac{R_{1}R_{2}}{R_{1}+R_{2}}=\dfrac{6\Omega \times 12\Omega }{6\Omega +12\Omega }$=4Ω[2]如题图乙所示，闭合开关，L1灯正常发光且串联，两个灯泡的额定电流I1=$\dfrac{0.75\mathrm{W}}{3\mathrm{V}}$=0.25AI2=$\dfrac{1.5\mathrm{W}}{3\mathrm{V}}$=0.5A两个灯泡串联，由串联电路电流的规律可知通过电路的电路为0.25A，则电源2的电压U=IR串=0.25A×(6Ω+12Ω)=0.375W[3]此时L2消耗的实际功率P=I2R2=(0.25A)2×6Ω=0.375W</x:v>
      </x:c>
      <x:c r="N805" s="63" t="str">
        <x:v>https://k12static.xdf.cn/k12/image/externalized/77027d4a-a80d-45ac-a6c6-8f5b4e6f60dd.png</x:v>
      </x:c>
      <x:c r="O805" s="63" t="str">
        <x:v>https://k12static.xdf.cn/k12/image/externalized/67c3d927-4f05-4887-81c6-deac18030f2a.png</x:v>
      </x:c>
      <x:c r="P805" s="63" t="str">
        <x:v>3-5步</x:v>
      </x:c>
      <x:c r="Q805" s="63" t="str">
        <x:v>电路综合</x:v>
      </x:c>
      <x:c r="R805" s="63" t="str">
        <x:v>双状态</x:v>
      </x:c>
      <x:c r="S805" s="63" t="str">
        <x:v>单一约束</x:v>
      </x:c>
      <x:c r="T805" s="63" t="str">
        <x:v>无</x:v>
      </x:c>
      <x:c r="U805" s="63" t="str">
        <x:v>无</x:v>
      </x:c>
      <x:c r="V805" s="63" t="str">
        <x:v>多层因果推理</x:v>
      </x:c>
    </x:row>
    <x:row r="806">
      <x:c r="A806" s="64" t="str">
        <x:v>​2747154472781033472</x:v>
      </x:c>
      <x:c r="B806" s="65" t="str">
        <x:v>中等题</x:v>
      </x:c>
      <x:c r="C806" s="65" t="str">
        <x:v>中等题</x:v>
      </x:c>
      <x:c r="D806" s="65" t="str">
        <x:v>中等题</x:v>
      </x:c>
      <x:c r="E806" s="65" t="str">
        <x:v>逐题复核后保留GPT裁定</x:v>
      </x:c>
      <x:c r="F806" s="65" t="str">
        <x:v>高</x:v>
      </x:c>
      <x:c r="G806" s="65" t="str">
        <x:v>中等题</x:v>
      </x:c>
      <x:c r="H806" s="65" t="str">
        <x:v>中等题</x:v>
      </x:c>
      <x:c r="I806" s="65" t="str">
        <x:v>需要围绕力学模型、运动/受力与能量关系完成常规的3—4个有效决策，或完成一套完整标准实验/共享过程分析。关系仍显性、方法常规，没有决定性隐含转换、复杂边界筛选或多状态强耦合。</x:v>
      </x:c>
      <x:c r="J806" s="65" t="str">
        <x:v>三次运行错题并集逐题复核</x:v>
      </x:c>
      <x:c r="K806" s="63" t="str">
        <x:v>如图所示，某同学用重为10N的动滑轮匀速提升重为50N的物体，不计摩擦，则该同学所用拉力F的可能值是（ ）</x:v>
      </x:c>
      <x:c r="L806" s="63" t="str">
        <x:v>A. 20 N B. 25 N C. 30 N D. 35 N</x:v>
      </x:c>
      <x:c r="M806" s="63" t="str">
        <x:v>解：由图可知，物体与滑轮的总重力由两段绳子承担，又由于两根绳子的拉力的方向不平行， 所以由力的合成可得：2F＞G滑轮+G物=10N+50N=60N，即：F＞30N，故ABC错误，D正确。 故选：D。</x:v>
      </x:c>
      <x:c r="N806" s="63" t="str">
        <x:v>https://k12static.xdf.cn/k12/image/externalized/ee03ce1d-08c9-4b85-b16f-de2ab7b9498d.png</x:v>
      </x:c>
      <x:c r="O806" s="63" t="str">
        <x:v>https://k12static.xdf.cn/k12/image/externalized/d2341f8b-de77-4ad9-9fcb-349e2d249cd6.png</x:v>
      </x:c>
      <x:c r="P806" s="63" t="str">
        <x:v>1-2步</x:v>
      </x:c>
      <x:c r="Q806" s="63" t="str">
        <x:v>力学综合</x:v>
      </x:c>
      <x:c r="R806" s="63" t="str">
        <x:v>单状态</x:v>
      </x:c>
      <x:c r="S806" s="63" t="str">
        <x:v>单一约束</x:v>
      </x:c>
      <x:c r="T806" s="63" t="str">
        <x:v>无</x:v>
      </x:c>
      <x:c r="U806" s="63" t="str">
        <x:v>无</x:v>
      </x:c>
      <x:c r="V806" s="63" t="str">
        <x:v>逆向推理或临界分析</x:v>
      </x:c>
    </x:row>
    <x:row r="807">
      <x:c r="A807" s="64" t="str">
        <x:v>​2748448006084079616</x:v>
      </x:c>
      <x:c r="B807" s="65" t="str">
        <x:v>送分题</x:v>
      </x:c>
      <x:c r="C807" s="65" t="str">
        <x:v>送分题</x:v>
      </x:c>
      <x:c r="D807" s="65" t="str">
        <x:v>送分题</x:v>
      </x:c>
      <x:c r="E807" s="65" t="str">
        <x:v>保留原GPT裁定</x:v>
      </x:c>
      <x:c r="F807" s="65" t="str">
        <x:v>高</x:v>
      </x:c>
      <x:c r="G807" s="65" t="str">
        <x:v>送分题</x:v>
      </x:c>
      <x:c r="H807" s="65" t="str">
        <x:v>送分题</x:v>
      </x:c>
      <x:c r="I807" s="65" t="str">
        <x:v>题干、解析与结构证据支持送分题：step=1-2步，题型=电路综合，状态=单状态，约束=无约束，推理=简单因果推理。教师、盲评和多次模型证据中未形成足以推翻原裁定的同向结构证据。</x:v>
      </x:c>
      <x:c r="J807" s="65" t="str">
        <x:v>未进入三次错题并集；逐题结构一致性复核</x:v>
      </x:c>
      <x:c r="K807" s="63" t="str">
        <x:v>如图所示，电源电压为6V，闭合开关后，电压表的示数为4V，则$\mathrm{L}_{2}$两端的电压为（ ）</x:v>
      </x:c>
      <x:c r="L807" s="63" t="str">
        <x:v>A. 2V B. 4V C. 6V D. 10V</x:v>
      </x:c>
      <x:c r="M807" s="63" t="str">
        <x:v>由图可知，L1、L2串联，开关S闭合后，电压表测L2两端的电压，已知电压表的示数为4V，则L2两端的电压为4V，故B符合题意，ACD不符合题意。故选B。</x:v>
      </x:c>
      <x:c r="N807" s="63" t="str">
        <x:v>https://k12static.xdf.cn/k12/image/externalized/f538f0d3-d9c9-4dc4-92c2-d97e28a4dfa3.png</x:v>
      </x:c>
      <x:c r="O807" s="63" t="str">
        <x:v>https://k12static.xdf.cn/k12/image/externalized/f7e00d43-5ed3-468e-8a10-8a9397d3782e.png</x:v>
      </x:c>
      <x:c r="P807" s="63" t="str">
        <x:v>1-2步</x:v>
      </x:c>
      <x:c r="Q807" s="63" t="str">
        <x:v>电路综合</x:v>
      </x:c>
      <x:c r="R807" s="63" t="str">
        <x:v>单状态</x:v>
      </x:c>
      <x:c r="S807" s="63" t="str">
        <x:v>无约束</x:v>
      </x:c>
      <x:c r="T807" s="63" t="str">
        <x:v>无</x:v>
      </x:c>
      <x:c r="U807" s="63" t="str">
        <x:v>无</x:v>
      </x:c>
      <x:c r="V807" s="63" t="str">
        <x:v>简单因果推理</x:v>
      </x:c>
    </x:row>
    <x:row r="808">
      <x:c r="A808" s="64" t="str">
        <x:v>​2748461107426902016</x:v>
      </x:c>
      <x:c r="B808" s="65" t="str">
        <x:v>基础题</x:v>
      </x:c>
      <x:c r="C808" s="65" t="str">
        <x:v>基础题</x:v>
      </x:c>
      <x:c r="D808" s="65" t="str">
        <x:v>基础题</x:v>
      </x:c>
      <x:c r="E808" s="65" t="str">
        <x:v>保留原GPT裁定</x:v>
      </x:c>
      <x:c r="F808" s="65" t="str">
        <x:v>高</x:v>
      </x:c>
      <x:c r="G808" s="65" t="str">
        <x:v>基础题</x:v>
      </x:c>
      <x:c r="H808" s="65" t="str">
        <x:v>基础题</x:v>
      </x:c>
      <x:c r="I808" s="65" t="str">
        <x:v>题干、解析与结构证据支持基础题：step=1-2步，题型=概念判断，状态=单状态，约束=无约束，推理=简单因果推理。教师、盲评和多次模型证据中未形成足以推翻原裁定的同向结构证据。</x:v>
      </x:c>
      <x:c r="J808" s="65" t="str">
        <x:v>未进入三次错题并集；逐题结构一致性复核</x:v>
      </x:c>
      <x:c r="K808" s="63" t="str">
        <x:v>皮鞋擦过鞋油后，还要用鞋刷或软布反复擦几下，会越擦越亮，这是由于</x:v>
      </x:c>
      <x:c r="L808" s="63" t="str">
        <x:v>A. 反复擦可增加镜面反射效果； B. 反复擦可增加漫反射效果； C. 鞋油反光性能比皮革好，反复擦可使鞋油均匀分布，增加漫反射效果； D. 鞋油的颜色比皮革鲜艳，可增加镜面反射效果．</x:v>
      </x:c>
      <x:c r="M808" s="63" t="str">
        <x:v>当皮鞋的表面不光滑，光射向鞋面后发生漫反射，这样皮鞋就失去了光泽；涂上鞋油后，鞋油的微小颗粒能填充到鞋的毛孔中，用布仔细擦拭，使鞋油涂抹的更均匀鞋面就变得十分光滑．光射向鞋面后会发生镜面反射，皮鞋看起来就更光亮更好看了．故A正确，BCD错误．故选A．</x:v>
      </x:c>
      <x:c r="N808" s="63" t="str">
        <x:v>https://k12static.xdf.cn/k12/image/externalized/fe0b3c32-df1c-4a99-9457-d23f58b96508.png</x:v>
      </x:c>
      <x:c r="O808" s="63" t="str">
        <x:v>https://k12static.xdf.cn/k12/image/externalized/6e2f8561-c750-4b71-9711-69715b9a44eb.png</x:v>
      </x:c>
      <x:c r="P808" s="63" t="str">
        <x:v>1-2步</x:v>
      </x:c>
      <x:c r="Q808" s="63" t="str">
        <x:v>概念判断</x:v>
      </x:c>
      <x:c r="R808" s="63" t="str">
        <x:v>单状态</x:v>
      </x:c>
      <x:c r="S808" s="63" t="str">
        <x:v>无约束</x:v>
      </x:c>
      <x:c r="T808" s="63" t="str">
        <x:v>无</x:v>
      </x:c>
      <x:c r="U808" s="63" t="str">
        <x:v>无</x:v>
      </x:c>
      <x:c r="V808" s="63" t="str">
        <x:v>简单因果推理</x:v>
      </x:c>
    </x:row>
    <x:row r="809">
      <x:c r="A809" s="64" t="str">
        <x:v>​2749706662995136512</x:v>
      </x:c>
      <x:c r="B809" s="65" t="str">
        <x:v>基础题</x:v>
      </x:c>
      <x:c r="C809" s="65" t="str">
        <x:v>基础题</x:v>
      </x:c>
      <x:c r="D809" s="65" t="str">
        <x:v>基础题</x:v>
      </x:c>
      <x:c r="E809" s="65" t="str">
        <x:v>保留原GPT裁定</x:v>
      </x:c>
      <x:c r="F809" s="65" t="str">
        <x:v>高</x:v>
      </x:c>
      <x:c r="G809" s="65" t="str">
        <x:v>基础题</x:v>
      </x:c>
      <x:c r="H809" s="65" t="str">
        <x:v>基础题</x:v>
      </x:c>
      <x:c r="I809" s="65" t="str">
        <x:v>题干、解析与结构证据支持基础题：step=1-2步，题型=概念判断，状态=单状态，约束=无约束，推理=简单因果推理。教师、盲评和多次模型证据中未形成足以推翻原裁定的同向结构证据。</x:v>
      </x:c>
      <x:c r="J809" s="65" t="str">
        <x:v>未进入三次错题并集；逐题结构一致性复核</x:v>
      </x:c>
      <x:c r="K809" s="63" t="str">
        <x:v>如图是开瓶盖的起子，可以看成是一个杠杆，能正确表示出杠杆的支点、动力和阻力的图是（ ）</x:v>
      </x:c>
      <x:c r="L809" s="63" t="str"/>
      <x:c r="M809" s="63" t="str">
        <x:v>解： A、如图，动力和阻力都使起子绕支点O顺时针转动。故A错误； B、要把瓶盖打开，要克服瓶盖和瓶口之间的摩擦力，瓶盖给起子的阻力是向下的。故B错误； C、瓶盖给起子的阻力是向下的。动力是起子绕支点O逆时针转动，阻力绕支点O顺时针转动。故C正确； D、动力和阻力都使起子逆时针转动。故D错误。 故选：C。</x:v>
      </x:c>
      <x:c r="N809" s="63" t="str">
        <x:v>https://k12static.xdf.cn/k12/image/externalized/5414e495-562d-41f2-9e08-6edea52ae3a2.png</x:v>
      </x:c>
      <x:c r="O809" s="63" t="str">
        <x:v>https://k12static.xdf.cn/k12/image/externalized/c6a7c1c1-e666-4fa7-a0fd-6f6e9fed47a5.png</x:v>
      </x:c>
      <x:c r="P809" s="63" t="str">
        <x:v>1-2步</x:v>
      </x:c>
      <x:c r="Q809" s="63" t="str">
        <x:v>概念判断</x:v>
      </x:c>
      <x:c r="R809" s="63" t="str">
        <x:v>单状态</x:v>
      </x:c>
      <x:c r="S809" s="63" t="str">
        <x:v>无约束</x:v>
      </x:c>
      <x:c r="T809" s="63" t="str">
        <x:v>无</x:v>
      </x:c>
      <x:c r="U809" s="63" t="str">
        <x:v>无</x:v>
      </x:c>
      <x:c r="V809" s="63" t="str">
        <x:v>简单因果推理</x:v>
      </x:c>
    </x:row>
    <x:row r="810">
      <x:c r="A810" s="64" t="str">
        <x:v>​2749813318690029570</x:v>
      </x:c>
      <x:c r="B810" s="65" t="str">
        <x:v>送分题</x:v>
      </x:c>
      <x:c r="C810" s="65" t="str">
        <x:v>送分题</x:v>
      </x:c>
      <x:c r="D810" s="65" t="str">
        <x:v>送分题</x:v>
      </x:c>
      <x:c r="E810" s="65" t="str">
        <x:v>逐题复核后保留GPT裁定</x:v>
      </x:c>
      <x:c r="F810" s="65" t="str">
        <x:v>高</x:v>
      </x:c>
      <x:c r="G810" s="65" t="str">
        <x:v>送分题</x:v>
      </x:c>
      <x:c r="H810" s="65" t="str">
        <x:v>送分题</x:v>
      </x:c>
      <x:c r="I810" s="65" t="str">
        <x:v>只需识别一个熟悉教材模板，没有第二次物理决策。 题目证据：最长连续链仅1步有效物理决策，五维锚定送分档：知识量为电磁波应用的直接识别，单对象单状态，无运算，航天背景仅作为包装不增加理解负担，思维层次为识记再现。任务是直接识别太空通信所用电磁波，属于单一应用场景的直接检索。</x:v>
      </x:c>
      <x:c r="J810" s="65" t="str">
        <x:v>三次运行错题并集逐题复核</x:v>
      </x:c>
      <x:c r="K810" s="63" t="str">
        <x:v>2023年5月30日，神舟十六号飞船顺利进入太空，飞船与地面联系利用的是（ ）</x:v>
      </x:c>
      <x:c r="L810" s="63" t="str">
        <x:v>A. 微波 B. 紫外线 C. 红外线 D. 次声波</x:v>
      </x:c>
      <x:c r="M810" s="63" t="str">
        <x:v>微波可以传递信息，且可以在真空中传播；声音不能在真空中传播；紫外线主要用消毒，是荧光物质发光；红外线主要用于夜视仪，热谱仪。2023年5月30日，神舟十六号飞船顺利进入太空，飞船与地面联系利用的是微波，综上分析知，故A符合题意，BCD不符合题意。故选A。</x:v>
      </x:c>
      <x:c r="N810" s="63" t="str">
        <x:v>https://k12static.xdf.cn/k12/image/externalized/b6da09da-65e6-417d-9091-f47ed9382d06.png</x:v>
      </x:c>
      <x:c r="O810" s="63" t="str">
        <x:v>https://k12static.xdf.cn/k12/image/externalized/ddd24fb5-fb7c-43e9-b3e3-46cafdc8f60d.png</x:v>
      </x:c>
      <x:c r="P810" s="63" t="str">
        <x:v>1-2步</x:v>
      </x:c>
      <x:c r="Q810" s="63" t="str">
        <x:v>概念判断</x:v>
      </x:c>
      <x:c r="R810" s="63" t="str">
        <x:v>单状态</x:v>
      </x:c>
      <x:c r="S810" s="63" t="str">
        <x:v>无约束</x:v>
      </x:c>
      <x:c r="T810" s="63" t="str">
        <x:v>无</x:v>
      </x:c>
      <x:c r="U810" s="63" t="str">
        <x:v>无</x:v>
      </x:c>
      <x:c r="V810" s="63" t="str">
        <x:v>直接套用</x:v>
      </x:c>
    </x:row>
    <x:row r="811">
      <x:c r="A811" s="64" t="str">
        <x:v>​2749976313373171712</x:v>
      </x:c>
      <x:c r="B811" s="65" t="str">
        <x:v>中等题</x:v>
      </x:c>
      <x:c r="C811" s="65" t="str">
        <x:v>中等题</x:v>
      </x:c>
      <x:c r="D811" s="65" t="str">
        <x:v>中等题</x:v>
      </x:c>
      <x:c r="E811" s="65" t="str">
        <x:v>保留原GPT裁定</x:v>
      </x:c>
      <x:c r="F811" s="65" t="str">
        <x:v>高</x:v>
      </x:c>
      <x:c r="G811" s="65" t="str">
        <x:v>中等题</x:v>
      </x:c>
      <x:c r="H811" s="65" t="str">
        <x:v>中等题</x:v>
      </x:c>
      <x:c r="I811" s="65" t="str">
        <x:v>题干、解析与结构证据支持中等题：step=3-5步，题型=概念判断，状态=双状态，约束=单一约束，推理=多层因果推理。教师、盲评和多次模型证据中未形成足以推翻原裁定的同向结构证据。</x:v>
      </x:c>
      <x:c r="J811" s="65" t="str">
        <x:v>未进入三次错题并集；逐题结构一致性复核</x:v>
      </x:c>
      <x:c r="K811" s="63" t="str">
        <x:v>如图是探究电流热效应的实验装置，两个相同透明容器中密封着等量的空气和电阻$R_{1}$、$R_{2}$，其中$R_{1}=5\Omega$，$R_{2}=R_{3}=10\Omega$。下列说法正确的是（ ）</x:v>
      </x:c>
      <x:c r="L811" s="63" t="str">
        <x:v>A. 只闭合$\mathrm{S}_{1}$，可以探究电流通过导体产生的热量与电阻的关系 B. 只闭合$\mathrm{S}_{1}$，若电路中的电流为0.2A，通电1min电阻$R_{1}$产生的热量为12J C. 闭合$\mathrm{S}_{1}$和$\mathrm{S}_{2}$，通过$R_{1}$的电流是$R_{2}$电流的0.5倍 D. 闭合$\mathrm{S}_{1}$和$\mathrm{S}_{2}$后，左侧U形管内液柱的高度差和右侧的高度差一样</x:v>
      </x:c>
      <x:c r="M811" s="63" t="str">
        <x:v>A．只闭合$\mathrm{S}_{1}$，两个电阻R1、R2串联，电流相同，通电时间相同，电阻的大小不同，故可以探究电流通过导体产生的热量与电阻的关系，故A正确；B．只闭合$\mathrm{S}_{1}$，若电路中的电流为0.2A，通电1min电阻$R_{1}$产生的热量为$Q=I^{2}R_{1}t=\left(0.2\mathrm{A}\right)^{2}\times 5\Omega \times 60\mathrm{s}=12\mathrm{J}$故B正确；C．闭合$\mathrm{S}_{1}$和$\mathrm{S}_{2}$，R2与R3并联，R2与R3电阻相同，设通过R2的电流为I，通过R1的电流为2I，通过$R_{1}$的电流是$R_{2}$电流的2倍，故C错误；D．闭合$\mathrm{S}_{1}$和$\mathrm{S}_{2}$后，R2与R3并联，通过$R_{1}$的电流是$R_{2}$电流的2倍，左侧电阻R1放出的热量多于右侧电阻$R_{2}$放出的热量，左侧U形管内液柱的高度差大于右侧的高度差，故D错误。故选AB。</x:v>
      </x:c>
      <x:c r="N811" s="63" t="str">
        <x:v>https://k12static.xdf.cn/k12/image/externalized/31672351-c5e9-4855-8956-5e1d27a9ea3a.png</x:v>
      </x:c>
      <x:c r="O811" s="63" t="str">
        <x:v>https://k12static.xdf.cn/k12/image/externalized/d1b76427-0d7f-4de3-a0d9-dfc12cb14d15.png</x:v>
      </x:c>
      <x:c r="P811" s="63" t="str">
        <x:v>3-5步</x:v>
      </x:c>
      <x:c r="Q811" s="63" t="str">
        <x:v>概念判断</x:v>
      </x:c>
      <x:c r="R811" s="63" t="str">
        <x:v>双状态</x:v>
      </x:c>
      <x:c r="S811" s="63" t="str">
        <x:v>单一约束</x:v>
      </x:c>
      <x:c r="T811" s="63" t="str">
        <x:v>控制变量或故障分析</x:v>
      </x:c>
      <x:c r="U811" s="63" t="str">
        <x:v>无</x:v>
      </x:c>
      <x:c r="V811" s="63" t="str">
        <x:v>多层因果推理</x:v>
      </x:c>
    </x:row>
    <x:row r="812">
      <x:c r="A812" s="64" t="str">
        <x:v>​2750231183389396992</x:v>
      </x:c>
      <x:c r="B812" s="65" t="str">
        <x:v>中等题</x:v>
      </x:c>
      <x:c r="C812" s="65" t="str">
        <x:v>中等题</x:v>
      </x:c>
      <x:c r="D812" s="65" t="str">
        <x:v>中等题</x:v>
      </x:c>
      <x:c r="E812" s="65" t="str">
        <x:v>保留原GPT裁定</x:v>
      </x:c>
      <x:c r="F812" s="65" t="str">
        <x:v>高</x:v>
      </x:c>
      <x:c r="G812" s="65" t="str">
        <x:v>中等题</x:v>
      </x:c>
      <x:c r="H812" s="65" t="str">
        <x:v>中等题</x:v>
      </x:c>
      <x:c r="I812" s="65" t="str">
        <x:v>题干、解析与结构证据支持中等题：step=3-5步，题型=电路综合，状态=双状态，约束=单一约束，推理=多层因果推理。教师、盲评和多次模型证据中未形成足以推翻原裁定的同向结构证据。</x:v>
      </x:c>
      <x:c r="J812" s="65" t="str">
        <x:v>未进入三次错题并集；逐题结构一致性复核</x:v>
      </x:c>
      <x:c r="K812" s="63" t="str">
        <x:v>甲、乙两只电炉分别标有“220V 500W”和“220V 1000W”字样。把它们串联在220V的电路中时甲电炉的电功率为P1，把它们并联在220V的电路中时甲电炉的电功率为P2，则P1：P2为（ ）</x:v>
      </x:c>
      <x:c r="L812" s="63" t="str">
        <x:v>A. 4：9 B. 1：1 C. 1：2 D. 2：1</x:v>
      </x:c>
      <x:c r="M812" s="63" t="str">
        <x:v>解： 由P=$\frac{{U}^{2}}{R}$可得，甲电炉的电阻为：R甲=$\frac{{{U}_{额}}^{2}}{{P}_{额甲}}$=$\frac{(220V)^{2}}{500W}$=96.8Ω， 乙电炉的电阻为：R乙=$\frac{{{U}_{额}}^{2}}{{P}_{额乙}}$=$\frac{(220V)^{2}}{1000W}$=48.4Ω， 把它们串联在220V电路中时，甲消耗的实际功率： P1=I实2R甲=$(\frac{U}{{R}_{甲}+{R}_{乙}})^{2}×{R}_{甲}$=$(\frac{220V}{96.8Ω+48.4Ω})^{2}×96.8Ω$=$\frac{2000}{9}$W； 把它们并联在220V电路中时，此时甲消耗的实际功率： P2=P甲额=500W， 所以两种情况下甲消耗的功率之比为： P1：P2=$\frac{2000}{9}$W：500W=4：9，故A正确。 故选：A。</x:v>
      </x:c>
      <x:c r="N812" s="63" t="str">
        <x:v>https://k12static.xdf.cn/k12/image/externalized/ed43ff18-1946-4177-945b-d7fcbaa338bd.png</x:v>
      </x:c>
      <x:c r="O812" s="63" t="str">
        <x:v>https://k12static.xdf.cn/k12/image/externalized/0d9e2eb9-86f7-4670-9eb8-900547c980e0.png</x:v>
      </x:c>
      <x:c r="P812" s="63" t="str">
        <x:v>3-5步</x:v>
      </x:c>
      <x:c r="Q812" s="63" t="str">
        <x:v>电路综合</x:v>
      </x:c>
      <x:c r="R812" s="63" t="str">
        <x:v>双状态</x:v>
      </x:c>
      <x:c r="S812" s="63" t="str">
        <x:v>单一约束</x:v>
      </x:c>
      <x:c r="T812" s="63" t="str">
        <x:v>无</x:v>
      </x:c>
      <x:c r="U812" s="63" t="str">
        <x:v>无</x:v>
      </x:c>
      <x:c r="V812" s="63" t="str">
        <x:v>多层因果推理</x:v>
      </x:c>
    </x:row>
    <x:row r="813">
      <x:c r="A813" s="64" t="str">
        <x:v>​2750358595457007616</x:v>
      </x:c>
      <x:c r="B813" s="65" t="str">
        <x:v>中等题</x:v>
      </x:c>
      <x:c r="C813" s="65" t="str">
        <x:v>中等题</x:v>
      </x:c>
      <x:c r="D813" s="65" t="str">
        <x:v>中等题</x:v>
      </x:c>
      <x:c r="E813" s="65" t="str">
        <x:v>逐题复核后保留GPT裁定</x:v>
      </x:c>
      <x:c r="F813" s="65" t="str">
        <x:v>高</x:v>
      </x:c>
      <x:c r="G813" s="65" t="str">
        <x:v>中等题</x:v>
      </x:c>
      <x:c r="H813" s="65" t="str">
        <x:v>中等题</x:v>
      </x:c>
      <x:c r="I813" s="65" t="str">
        <x:v>存在约3—4步常规连续分析、共享过程或完整标准实验任务，关系仍显性。 题目证据：最高难小问（第二问）实际有效物理决策为3步，五维锚定：知识量为并联电路规律与欧姆定律两个关联知识点，过程对象为两个不同电阻箱阻值的并联状态，数学工具为二元一次方程联立，情境为常规电学计算变式，思维层次为常规分析，符合中等题特征。任务台账：第一问要求分析支路电流独立性，第二问需要利用干路电流与支路电流关系，对两个状态分别列方程再联立求解，属于答案依赖的递进结构，两个问题均围绕并联电路欧姆定律模型展开，形成完整分析计算链。</x:v>
      </x:c>
      <x:c r="J813" s="65" t="str">
        <x:v>三次运行错题并集逐题复核</x:v>
      </x:c>
      <x:c r="K813" s="63" t="str">
        <x:v>如图所示，把R1、R2并联接入电压恒定的电路中，其中R1为定值电阻，R2为电阻箱，调节电阻箱R2的阻值别为10 Ω和30 Ω时，电流表示数分别为0.6 A和0.4 A，则：（1）请结合欧姆定律，分析通过R1的电流大小不因R2阻值的改变而改变；（2）计算电源电压和R1阻值。</x:v>
      </x:c>
      <x:c r="L813" s="63" t="str"/>
      <x:c r="M813" s="63" t="str">
        <x:v>解：（1）并联电路各支路两端电压相等，且都等于电源电压，定值电阻R1阻值不变，由欧姆定律$I=\dfrac{U}{R}$可知，通过R1的电流大小不因R2阻值的改变而改变。（2）由题意可知U=U2=I2R2=(0.6A-I1)×10Ω①U=U2'=I2'R2=(0.4A-I1)×30Ω②联立①②得I1=0.3A，U=3V；R1的阻值 $R_{1}=\dfrac{U_{1}}{I_{1}}=\dfrac{U}{I_{1}}=\dfrac{3\mathrm{V}}{0.3\mathrm{A}}=10\Omega$答：（1）见解析；（2）电源电压为3V，R1的阻值为10Ω。</x:v>
      </x:c>
      <x:c r="N813" s="63" t="str">
        <x:v>https://k12static.xdf.cn/k12/image/externalized/d53c217f-dcdf-4fb7-a9af-ebd3e4dfbca7.png</x:v>
      </x:c>
      <x:c r="O813" s="63" t="str">
        <x:v>https://k12static.xdf.cn/k12/image/externalized/684e879d-bcf0-4bc3-8d91-9727addef6e9.png</x:v>
      </x:c>
      <x:c r="P813" s="63" t="str">
        <x:v>3-5步</x:v>
      </x:c>
      <x:c r="Q813" s="63" t="str">
        <x:v>电路综合</x:v>
      </x:c>
      <x:c r="R813" s="63" t="str">
        <x:v>双状态</x:v>
      </x:c>
      <x:c r="S813" s="63" t="str">
        <x:v>单一约束</x:v>
      </x:c>
      <x:c r="T813" s="63" t="str">
        <x:v>无</x:v>
      </x:c>
      <x:c r="U813" s="63" t="str">
        <x:v>无</x:v>
      </x:c>
      <x:c r="V813" s="63" t="str">
        <x:v>多层因果推理</x:v>
      </x:c>
    </x:row>
    <x:row r="814">
      <x:c r="A814" s="64" t="str">
        <x:v>​2751399982590894080</x:v>
      </x:c>
      <x:c r="B814" s="65" t="str">
        <x:v>中等题</x:v>
      </x:c>
      <x:c r="C814" s="65" t="str">
        <x:v>中等题</x:v>
      </x:c>
      <x:c r="D814" s="65" t="str">
        <x:v>中等题</x:v>
      </x:c>
      <x:c r="E814" s="65" t="str">
        <x:v>保留原GPT裁定</x:v>
      </x:c>
      <x:c r="F814" s="65" t="str">
        <x:v>高</x:v>
      </x:c>
      <x:c r="G814" s="65" t="str">
        <x:v>中等题</x:v>
      </x:c>
      <x:c r="H814" s="65" t="str">
        <x:v>中等题</x:v>
      </x:c>
      <x:c r="I814" s="65" t="str">
        <x:v>题干、解析与结构证据支持中等题：step=1-2步，题型=实验探究，状态=单状态，约束=无约束，推理=简单因果推理。教师、盲评和多次模型证据中未形成足以推翻原裁定的同向结构证据。</x:v>
      </x:c>
      <x:c r="J814" s="65" t="str">
        <x:v>未进入三次错题并集；逐题结构一致性复核</x:v>
      </x:c>
      <x:c r="K814" s="63" t="str">
        <x:v>在探究“通电螺线管的外部磁场”的实验中，小明在螺线管周围摆放了一些小磁针． (1)通电后小磁针静止时的分布如图甲所示，由此可看出通电螺线管外部的磁场与 的磁场相似．(2)小明改变通电螺线管中的电流方向，发现小磁针指向转动180°，南北极发生了对调，由此可知：通电螺线管外部的磁场方向与螺线管中 方向有关．(3)小明继续实验探究，并按图乙连接电路，他先将开关S接a，观察电流表的示数及吸引大头针的数目；再将开关S从a换到b，调节变阻器的滑片P，再次观察电流表的示数及吸引大头针的数目，此时调节滑动变阻器是为了 ，来探究 的关系．</x:v>
      </x:c>
      <x:c r="L814" s="63" t="str"/>
      <x:c r="M814" s="63" t="str">
        <x:v>解：（1）通电螺线管的磁场分布与条形磁体相似；（2）如果改变螺线管中的电流方向，发现小磁针转动180°，南北极所指方向发生了改变，由此可知：通电螺线管外部磁场方向与螺线管中的电流方向有关．（3）实验中，他将开关S从a换到b上时，连入电路的线圈匝数发生了变化，为了保证电流不变，应调节变阻器的滑片P，控制两次实验的电流大小不变，再次观察电流表示数及吸引的回形针数目，这样才能探究出通电螺线管磁场强弱与线圈匝数的关系．点睛：（1）通电螺线管的磁场分布与条形磁体相似；（2）通电螺线管外部磁场方向与螺线管中的电流方向和线圈的绕法有关；（3）影响螺线管磁性强弱的因素有电流的大小和线圈匝数的多少，在实验中，应注意控制变量法的运用．</x:v>
      </x:c>
      <x:c r="N814" s="63" t="str">
        <x:v>https://k12static.xdf.cn/k12/image/externalized/d18688cc-7b82-44ec-a7cc-e4dd89409e7d.png</x:v>
      </x:c>
      <x:c r="O814" s="63" t="str">
        <x:v>https://k12static.xdf.cn/k12/image/externalized/61490969-6f0e-431d-92a2-3f3bae64a042.png</x:v>
      </x:c>
      <x:c r="P814" s="63" t="str">
        <x:v>1-2步</x:v>
      </x:c>
      <x:c r="Q814" s="63" t="str">
        <x:v>实验探究</x:v>
      </x:c>
      <x:c r="R814" s="63" t="str">
        <x:v>单状态</x:v>
      </x:c>
      <x:c r="S814" s="63" t="str">
        <x:v>无约束</x:v>
      </x:c>
      <x:c r="T814" s="63" t="str">
        <x:v>控制变量或故障分析</x:v>
      </x:c>
      <x:c r="U814" s="63" t="str">
        <x:v>无</x:v>
      </x:c>
      <x:c r="V814" s="63" t="str">
        <x:v>简单因果推理</x:v>
      </x:c>
    </x:row>
    <x:row r="815">
      <x:c r="A815" s="64" t="str">
        <x:v>​2751742953193320448</x:v>
      </x:c>
      <x:c r="B815" s="65" t="str">
        <x:v>基础题</x:v>
      </x:c>
      <x:c r="C815" s="65" t="str">
        <x:v>基础题</x:v>
      </x:c>
      <x:c r="D815" s="65" t="str">
        <x:v>基础题</x:v>
      </x:c>
      <x:c r="E815" s="65" t="str">
        <x:v>保留原GPT裁定</x:v>
      </x:c>
      <x:c r="F815" s="65" t="str">
        <x:v>高</x:v>
      </x:c>
      <x:c r="G815" s="65" t="str">
        <x:v>基础题</x:v>
      </x:c>
      <x:c r="H815" s="65" t="str">
        <x:v>基础题</x:v>
      </x:c>
      <x:c r="I815" s="65" t="str">
        <x:v>题干、解析与结构证据支持基础题：step=1-2步，题型=光学声学综合，状态=单状态，约束=无约束，推理=简单因果推理。教师、盲评和多次模型证据中未形成足以推翻原裁定的同向结构证据。</x:v>
      </x:c>
      <x:c r="J815" s="65" t="str">
        <x:v>未进入三次错题并集；逐题结构一致性复核</x:v>
      </x:c>
      <x:c r="K815" s="63" t="str">
        <x:v>如图所示，S是一个发光点，S′是它在平面镜中成的像，SA是S发出的一条光线，请在图中画出平面镜的位置和SA经平面镜反射后的光线。</x:v>
      </x:c>
      <x:c r="L815" s="63" t="str"/>
      <x:c r="M815" s="63" t="str">
        <x:v>由题知，S是一个发光点，S′是它在平面镜中成的像；根据像与物关于镜面对称，连接S和S′，作出SS′的中垂线，即为镜面的位置，延长SA与镜面交于一点，即为入射点；连接S′与入射点并延长，即可得到SA的反射光线，如下图所示：</x:v>
      </x:c>
      <x:c r="N815" s="63" t="str">
        <x:v>https://k12static.xdf.cn/k12/image/externalized/b3c611ad-e3c6-4cee-a25e-466c78b69ab8.png</x:v>
      </x:c>
      <x:c r="O815" s="63" t="str">
        <x:v>https://k12static.xdf.cn/k12/image/externalized/e390e7ec-633b-47e2-9e3c-f83cec3e5df4.png</x:v>
      </x:c>
      <x:c r="P815" s="63" t="str">
        <x:v>1-2步</x:v>
      </x:c>
      <x:c r="Q815" s="63" t="str">
        <x:v>光学声学综合</x:v>
      </x:c>
      <x:c r="R815" s="63" t="str">
        <x:v>单状态</x:v>
      </x:c>
      <x:c r="S815" s="63" t="str">
        <x:v>无约束</x:v>
      </x:c>
      <x:c r="T815" s="63" t="str">
        <x:v>无</x:v>
      </x:c>
      <x:c r="U815" s="63" t="str">
        <x:v>无</x:v>
      </x:c>
      <x:c r="V815" s="63" t="str">
        <x:v>简单因果推理</x:v>
      </x:c>
    </x:row>
    <x:row r="816">
      <x:c r="A816" s="64" t="str">
        <x:v>​2758365101371711488</x:v>
      </x:c>
      <x:c r="B816" s="65" t="str">
        <x:v>基础题</x:v>
      </x:c>
      <x:c r="C816" s="65" t="str">
        <x:v>基础题</x:v>
      </x:c>
      <x:c r="D816" s="65" t="str">
        <x:v>基础题</x:v>
      </x:c>
      <x:c r="E816" s="65" t="str">
        <x:v>保留原GPT裁定</x:v>
      </x:c>
      <x:c r="F816" s="65" t="str">
        <x:v>高</x:v>
      </x:c>
      <x:c r="G816" s="65" t="str">
        <x:v>基础题</x:v>
      </x:c>
      <x:c r="H816" s="65" t="str">
        <x:v>基础题</x:v>
      </x:c>
      <x:c r="I816" s="65" t="str">
        <x:v>题干、解析与结构证据支持基础题：step=1-2步，题型=概念判断，状态=单状态，约束=无约束，推理=简单因果推理。教师、盲评和多次模型证据中未形成足以推翻原裁定的同向结构证据。</x:v>
      </x:c>
      <x:c r="J816" s="65" t="str">
        <x:v>未进入三次错题并集；逐题结构一致性复核</x:v>
      </x:c>
      <x:c r="K816" s="63" t="str">
        <x:v>关于如图所示的四个演示实验现象，下列说法中正确的是（ ）</x:v>
      </x:c>
      <x:c r="L816" s="63" t="str">
        <x:v>A. 甲：墨水在热水中扩散得快，说明温度越高分子无规则运动越剧烈 B. 乙：把两块表面干净的铅块压紧，下面吊重物时未能把它们拉开，这是大气压作用的结果 C. 丙：用力推入活塞，活塞内的水很难被压缩，说明分子间存在相互作用的引力 D. 丁：水与酒精混合时，总体积比预计的要小，说明分子之间有空隙</x:v>
      </x:c>
      <x:c r="M816" s="63" t="str">
        <x:v>A．热水的温度相对较高，冷水的温度相对较低，墨水在热水中扩散得快，在冷水中扩散得慢，说明温度越高分子无规则运动越剧烈，故A正确；B．两个铅块没有被重物拉开说明分子间存在引力，虽然斥力同时存在，但表现为引力，故B错误；C．用力推入活塞，活塞内的水很难被压缩，说明分子间存在斥力，虽然引力同时存在，但表现为斥力，故C错误；D．水与酒精混合时，总体积比预计的要小，这是因为分子之间有空隙，水和酒精分子相互填补了对方的空隙，因而体积变小，故D正确。故选AD。</x:v>
      </x:c>
      <x:c r="N816" s="63" t="str">
        <x:v>https://k12static.xdf.cn/k12/image/externalized/6adc7a71-2673-4c52-b98a-bf9befea9d96.png</x:v>
      </x:c>
      <x:c r="O816" s="63" t="str">
        <x:v>https://k12static.xdf.cn/k12/image/externalized/a25049f0-ed04-407d-a7d9-8684315c34a2.png</x:v>
      </x:c>
      <x:c r="P816" s="63" t="str">
        <x:v>1-2步</x:v>
      </x:c>
      <x:c r="Q816" s="63" t="str">
        <x:v>概念判断</x:v>
      </x:c>
      <x:c r="R816" s="63" t="str">
        <x:v>单状态</x:v>
      </x:c>
      <x:c r="S816" s="63" t="str">
        <x:v>无约束</x:v>
      </x:c>
      <x:c r="T816" s="63" t="str">
        <x:v>无</x:v>
      </x:c>
      <x:c r="U816" s="63" t="str">
        <x:v>无</x:v>
      </x:c>
      <x:c r="V816" s="63" t="str">
        <x:v>简单因果推理</x:v>
      </x:c>
    </x:row>
    <x:row r="817">
      <x:c r="A817" s="64" t="str">
        <x:v>​2758493866488086528</x:v>
      </x:c>
      <x:c r="B817" s="65" t="str">
        <x:v>基础题</x:v>
      </x:c>
      <x:c r="C817" s="65" t="str">
        <x:v>基础题</x:v>
      </x:c>
      <x:c r="D817" s="65" t="str">
        <x:v>基础题</x:v>
      </x:c>
      <x:c r="E817" s="65" t="str">
        <x:v>保留原GPT裁定</x:v>
      </x:c>
      <x:c r="F817" s="65" t="str">
        <x:v>高</x:v>
      </x:c>
      <x:c r="G817" s="65" t="str">
        <x:v>基础题</x:v>
      </x:c>
      <x:c r="H817" s="65" t="str">
        <x:v>基础题</x:v>
      </x:c>
      <x:c r="I817" s="65" t="str">
        <x:v>题干、解析与结构证据支持基础题：step=1-2步，题型=概念判断，状态=单状态，约束=无约束，推理=简单因果推理。教师、盲评和多次模型证据中未形成足以推翻原裁定的同向结构证据。</x:v>
      </x:c>
      <x:c r="J817" s="65" t="str">
        <x:v>未进入三次错题并集；逐题结构一致性复核</x:v>
      </x:c>
      <x:c r="K817" s="63" t="str">
        <x:v>某商场内设有自动售货机，方便购物者购买。它可通过手机扫码（闭合S1）或通过投币（闭合S2），启动电动机完成自动售货。以下说法正确的是（ ）</x:v>
      </x:c>
      <x:c r="L817" s="63" t="str">
        <x:v>A. 自动售货机电路中“手机扫码”开关和“投币”开关是串联的 B. 手机扫码时，摄像头捕捉到二维码上的图案，所成的像是正立、缩小的实像 C. 某同学看不清饮料上的说明，眼睛靠近一些才能看见，需要配戴凹透镜矫正视力 D. 自动售货机在地面上受到的支持力是售货机底部形变产生的弹力</x:v>
      </x:c>
      <x:c r="M817" s="63" t="str">
        <x:v>解：A、由题意可知，通过手机扫码使开关S1闭合或通过投币使开关S2闭合都能启动电动机完成自动售货，说明开关S1和开关S2应并联共同控制电动机，故A错误； B、手机镜头扫描二维码所成的是倒立、缩小的实像，故B错误； C、某同学看不清饮料上的说明，眼睛靠近一些才能看见，说明该同学能看清近处的物体，不能看清远处的物体，属于近视眼，近视眼用凹透镜来矫正，故C正确； D、自动售货机在地面上受到的支持力，施力物体是地面，是由于地面发生形变而产生的，故D错误。 故选：C。</x:v>
      </x:c>
      <x:c r="N817" s="63" t="str">
        <x:v>https://k12static.xdf.cn/k12/image/externalized/2ba457de-e3d3-4b99-b709-76726981574e.png</x:v>
      </x:c>
      <x:c r="O817" s="63" t="str">
        <x:v>https://k12static.xdf.cn/k12/image/externalized/b7892b5d-e717-4d5a-b16c-fc7d54c3e8ea.png</x:v>
      </x:c>
      <x:c r="P817" s="63" t="str">
        <x:v>1-2步</x:v>
      </x:c>
      <x:c r="Q817" s="63" t="str">
        <x:v>概念判断</x:v>
      </x:c>
      <x:c r="R817" s="63" t="str">
        <x:v>单状态</x:v>
      </x:c>
      <x:c r="S817" s="63" t="str">
        <x:v>无约束</x:v>
      </x:c>
      <x:c r="T817" s="63" t="str">
        <x:v>无</x:v>
      </x:c>
      <x:c r="U817" s="63" t="str">
        <x:v>无</x:v>
      </x:c>
      <x:c r="V817" s="63" t="str">
        <x:v>简单因果推理</x:v>
      </x:c>
    </x:row>
    <x:row r="818">
      <x:c r="A818" s="64" t="str">
        <x:v>​2759168897897312256</x:v>
      </x:c>
      <x:c r="B818" s="65" t="str">
        <x:v>中等题</x:v>
      </x:c>
      <x:c r="C818" s="65" t="str">
        <x:v>中等题</x:v>
      </x:c>
      <x:c r="D818" s="65" t="str">
        <x:v>中等题</x:v>
      </x:c>
      <x:c r="E818" s="65" t="str">
        <x:v>逐题复核后保留GPT裁定</x:v>
      </x:c>
      <x:c r="F818" s="65" t="str">
        <x:v>高</x:v>
      </x:c>
      <x:c r="G818" s="65" t="str">
        <x:v>中等题</x:v>
      </x:c>
      <x:c r="H818" s="65" t="str">
        <x:v>中等题</x:v>
      </x:c>
      <x:c r="I818" s="65" t="str">
        <x:v>需要围绕实验方案、误差/评价或改进任务完成常规的3—4个有效决策，或完成一套完整标准实验/共享过程分析。关系仍显性、方法常规，没有决定性隐含转换、复杂边界筛选或多状态强耦合。</x:v>
      </x:c>
      <x:c r="J818" s="65" t="str">
        <x:v>三次运行错题并集逐题复核</x:v>
      </x:c>
      <x:c r="K818" s="63" t="str">
        <x:v>读资料，回答问题。2021年10月16日，神舟十三号载人飞船与长征二号F遥十三运载火箭捆绑发射成功，在点火发射约582s后，火箭将飞船顺利送入300km高的预定轨道，翟志刚、王亚平、叶光富三名宇航员将进行为期六个月的在轨生活和实验，并于2021年12月9日“天宫课堂”正式开讲，宇航员们现场给同学们演示（讲述）了许多有趣的太空实验和太空现象。（1）在捆绑发射过程中，以长征二号运载火箭为参照物，神舟十三号载人飞船是 ，宇航员相对于地球是 （选填“运动”或“静止”）；（2）宇航员与地面上的同学们实施“天宫课堂”互动活动时,依靠 传递信息，空间站内宇航员之间交流依靠 传递信息（选填“声波”或“电磁波”）；（3）另一个有趣的现象是无论白天还是黑夜，宇航员看到的天空都是黑色的，是因为太空没有空气，光线穿过空间没有介质产生色散和 ，但是,光线穿过大气层产生了色散和 ,所以地球上的人看到的天空是多彩的；（4）试计算火箭点火发射到将飞船送入预定轨道过程的平均速度 m/s（保留一位小数），飞船环绕地球一周的时间是90min，环绕速度（第一宇宙速度）是7.9km/s，那么飞船一天运行的距离是 km；（5）我们知道，实验室测量质量的工具是 ，空间站内由于处于失重状态，用常规工具测量物体质量的方法是不可行的，科学家们就设计了一种仪器：给被测物体施加一个力（F），物体在力的作用下速度发生了变化，我们只要知道速度在单位时间内的变化量（即加速度）a，就可以根据牛顿第二定律F=ma计算出质量m，假设宇航员在某次测量时仪器施加的力F=248N，宇航员在该力的作用下产生加速度a=4m/s2，则宇航员的质量m= kg（本题不需换算）。</x:v>
      </x:c>
      <x:c r="L818" s="63" t="str"/>
      <x:c r="M818" s="63" t="str">
        <x:v>（1）[1]神舟十三号载人飞船与长征二号F遥十三运载火箭捆绑发射成功，以长征二号运载火箭为参照物，神舟十三号载人飞船相对于长征二号运载火箭的位置没有改变，长征二号运载火箭是静止的。[2]宇航员相对于地球的位置发生改变，宇航员相对于地球是运动的。（2）[3]电磁波能在真空中传播，宇航员与地面上的同学们实施“天宫课堂”互动活动时,通过电磁波传递信息。[4]声音的传播需要介质，空间站内有空气，宇航员之间通过声波传递信息。（3）[5]太空是真空的，没有空气，光线穿过太空，不会产生色散和反射，所以宇航员看到的天空都是黑色的。[6]大气层是空气组成的，光线穿过大气层会产生色散和反射，地球上的人看到的天空是多彩的。（4）[7]火箭点火发射到将飞船送入预定轨道过程的平均速度$v=\dfrac{s}{t}=\dfrac{300\times {{10}^{3}}\text{m}}{582\text{s}}\approx 515.5\text{m/s}$ [8]飞船一天运行的距离${s}'={v}'{t}'=7.9\text{km/s}\times 24\times 3600\text{s=682560km}$ （5）[9]在物理实验中，常用天平测量物体的质量。[10]根据牛顿第二定律F=ma得到宇航员的质量$m=\dfrac{F}{a}=\dfrac{248\text{N}}{4\text{m/}{{\text{s}}^{2}}}\text{=62kg}$</x:v>
      </x:c>
      <x:c r="N818" s="63" t="str">
        <x:v>https://k12static.xdf.cn/k12/image/externalized/61345f66-21e8-45f9-beb6-15ec7c9ca27b.png</x:v>
      </x:c>
      <x:c r="O818" s="63" t="str">
        <x:v>https://k12static.xdf.cn/k12/image/externalized/00ffcea5-6dc5-4d6c-81e0-6de0d1998610.png</x:v>
      </x:c>
      <x:c r="P818" s="63" t="str">
        <x:v>1-2步</x:v>
      </x:c>
      <x:c r="Q818" s="63" t="str">
        <x:v>跨模块综合</x:v>
      </x:c>
      <x:c r="R818" s="63" t="str">
        <x:v>单状态</x:v>
      </x:c>
      <x:c r="S818" s="63" t="str">
        <x:v>无约束</x:v>
      </x:c>
      <x:c r="T818" s="63" t="str">
        <x:v>无</x:v>
      </x:c>
      <x:c r="U818" s="63" t="str">
        <x:v>无</x:v>
      </x:c>
      <x:c r="V818" s="63" t="str">
        <x:v>简单因果推理</x:v>
      </x:c>
    </x:row>
    <x:row r="819">
      <x:c r="A819" s="64" t="str">
        <x:v>​2761520378039517184</x:v>
      </x:c>
      <x:c r="B819" s="65" t="str">
        <x:v>中等题</x:v>
      </x:c>
      <x:c r="C819" s="65" t="str">
        <x:v>中等题</x:v>
      </x:c>
      <x:c r="D819" s="65" t="str">
        <x:v>中等题</x:v>
      </x:c>
      <x:c r="E819" s="65" t="str">
        <x:v>保留原GPT裁定</x:v>
      </x:c>
      <x:c r="F819" s="65" t="str">
        <x:v>高</x:v>
      </x:c>
      <x:c r="G819" s="65" t="str">
        <x:v>中等题</x:v>
      </x:c>
      <x:c r="H819" s="65" t="str">
        <x:v>中等题</x:v>
      </x:c>
      <x:c r="I819" s="65" t="str">
        <x:v>题干、解析与结构证据支持中等题：step=3-5步，题型=热学综合，状态=单状态，约束=无约束，推理=多层因果推理。教师、盲评和多次模型证据中未形成足以推翻原裁定的同向结构证据。</x:v>
      </x:c>
      <x:c r="J819" s="65" t="str">
        <x:v>未进入三次错题并集；逐题结构一致性复核</x:v>
      </x:c>
      <x:c r="K819" s="63" t="str">
        <x:v>如图所示，小阳家的太阳能热水器吸热板的面积为3m2，内装有100L的水，经过10h,该热水器中水的温度从20℃升高到70℃，【水的比热容为4.2×103J/（kg•℃）】 （1）热水器中水的质量是多少？ （2）求热水器中水吸收的热量； （3）如果热水器将太阳能转化为内能的效率是40%，求该热水器上太阳辐射功率【太阳辐射功率是指1h内投射到1m2面积上的太阳能，单位：J/（m2•h）】</x:v>
      </x:c>
      <x:c r="L819" s="63" t="str"/>
      <x:c r="M819" s="63" t="str">
        <x:v>解： （1）由ρ=$\frac{m}{v}$得水的质量为：m=ρV=1.0×103kg/m3×100×10-3m3=100kg； （2）热水器中水吸收的热量： Q吸=cm△t=4.2×103J/（kg•℃）×100kg×（70℃-20℃）=2.1×107J； （3）太阳能转化为内能的效率η=$\frac{{Q}_{吸}}{{W}_{太阳能}}$， 所以将热水器中水加热接受太阳辐射的太阳能： W太阳能=$\frac{{Q}_{吸}}{η}$=$\frac{2.1×1{0}^{7}J}{0.4}$=5.25×107J， 由题知，太阳辐射功率是指1h内投射到1m2面积上的太阳能，所以热水器上太阳辐射功率： P=$\frac{{W}_{太阳能}}{St}$=$\frac{5.25×1{0}^{7}J}{3{m}^{2}×10h}$=1.75×106J/（m2•h）。 答：（1）热水器中水的质量是100kg； （2）热水器中水吸收的热量为2.1×107J； （3）该热水器上太阳辐射功率为1.75×106J/（m2•h）。</x:v>
      </x:c>
      <x:c r="N819" s="63" t="str">
        <x:v>https://k12static.xdf.cn/k12/image/externalized/bfe628fb-b90f-42bb-a29f-1e20b4c0e5a3.png</x:v>
      </x:c>
      <x:c r="O819" s="63" t="str">
        <x:v>https://k12static.xdf.cn/k12/image/externalized/6128d18b-7246-47dd-81c3-b8a1d2afbad8.png</x:v>
      </x:c>
      <x:c r="P819" s="63" t="str">
        <x:v>3-5步</x:v>
      </x:c>
      <x:c r="Q819" s="63" t="str">
        <x:v>热学综合</x:v>
      </x:c>
      <x:c r="R819" s="63" t="str">
        <x:v>单状态</x:v>
      </x:c>
      <x:c r="S819" s="63" t="str">
        <x:v>无约束</x:v>
      </x:c>
      <x:c r="T819" s="63" t="str">
        <x:v>无</x:v>
      </x:c>
      <x:c r="U819" s="63" t="str">
        <x:v>无</x:v>
      </x:c>
      <x:c r="V819" s="63" t="str">
        <x:v>多层因果推理</x:v>
      </x:c>
    </x:row>
    <x:row r="820">
      <x:c r="A820" s="64" t="str">
        <x:v>​2762815632959901696</x:v>
      </x:c>
      <x:c r="B820" s="65" t="str">
        <x:v>中等题</x:v>
      </x:c>
      <x:c r="C820" s="65" t="str">
        <x:v>中等题</x:v>
      </x:c>
      <x:c r="D820" s="65" t="str">
        <x:v>中等题</x:v>
      </x:c>
      <x:c r="E820" s="65" t="str">
        <x:v>保留原GPT裁定</x:v>
      </x:c>
      <x:c r="F820" s="65" t="str">
        <x:v>高</x:v>
      </x:c>
      <x:c r="G820" s="65" t="str">
        <x:v>中等题</x:v>
      </x:c>
      <x:c r="H820" s="65" t="str">
        <x:v>中等题</x:v>
      </x:c>
      <x:c r="I820" s="65" t="str">
        <x:v>题干、解析与结构证据支持中等题：step=3-5步，题型=概念判断，状态=单状态，约束=单一约束，推理=多层因果推理。教师、盲评和多次模型证据中未形成足以推翻原裁定的同向结构证据。</x:v>
      </x:c>
      <x:c r="J820" s="65" t="str">
        <x:v>未进入三次错题并集；逐题结构一致性复核</x:v>
      </x:c>
      <x:c r="K820" s="63" t="str">
        <x:v>在图所示的电路中，电源两端电压保持不变，电表①②③是电压表或电流表。当开关S闭合后，下列说法正确的是（ ）</x:v>
      </x:c>
      <x:c r="L820" s="63" t="str">
        <x:v>A. 若①②③是电压表时，L1发光，L2不发光 B. 若①②③是电流表时，①②③均可能被烧坏 C. 若①③是电压表，②是电流表时，L1、L2并联 D. 若①③是电流表，②是电压表时，③表示数一定大于①表示数</x:v>
      </x:c>
      <x:c r="M820" s="63" t="str">
        <x:v>A．若①②③是电压表时，电压表在电路中相当于断开的开关，分析电路图可知，电压表串联在电路中，电路相当于断路，所以L1、L2都不发光，故A错误；B．若①②③是电流表时，电流表在电路中相当于导线，分析电路图可知，电流表①②串联，将电源短路，电路中电流过大，所以①②均可能被烧坏，③电流表被短路，不会被烧坏，故B错误；C．若①③是电压表，②是电流表时，分析电路图可知，L1、L2首位相连，依次接入电路，所以L1、L2串联，故C错误；D．若①③是电流表，②是电压表时，分析电路图可知，L1、L2并联，③表测量干路中电流，①表测量通过L2的电流，由于并联电路中，干路中电流大于支路中电流，所以③表示数一定大于①表示数，故D正确。故选D。</x:v>
      </x:c>
      <x:c r="N820" s="63" t="str">
        <x:v>https://k12static.xdf.cn/k12/image/externalized/bc65c7f6-463b-44f0-a344-24d478234197.png</x:v>
      </x:c>
      <x:c r="O820" s="63" t="str">
        <x:v>https://k12static.xdf.cn/k12/image/externalized/c47da453-a3b3-47ce-af2a-732ce3db21a6.png</x:v>
      </x:c>
      <x:c r="P820" s="63" t="str">
        <x:v>3-5步</x:v>
      </x:c>
      <x:c r="Q820" s="63" t="str">
        <x:v>概念判断</x:v>
      </x:c>
      <x:c r="R820" s="63" t="str">
        <x:v>单状态</x:v>
      </x:c>
      <x:c r="S820" s="63" t="str">
        <x:v>单一约束</x:v>
      </x:c>
      <x:c r="T820" s="63" t="str">
        <x:v>无</x:v>
      </x:c>
      <x:c r="U820" s="63" t="str">
        <x:v>无</x:v>
      </x:c>
      <x:c r="V820" s="63" t="str">
        <x:v>多层因果推理</x:v>
      </x:c>
    </x:row>
    <x:row r="821">
      <x:c r="A821" s="64" t="str">
        <x:v>​2765596994741768192</x:v>
      </x:c>
      <x:c r="B821" s="65" t="str">
        <x:v>拔高题</x:v>
      </x:c>
      <x:c r="C821" s="65" t="str">
        <x:v>拔高题</x:v>
      </x:c>
      <x:c r="D821" s="65" t="str">
        <x:v>拔高题</x:v>
      </x:c>
      <x:c r="E821" s="65" t="str">
        <x:v>保留原GPT裁定</x:v>
      </x:c>
      <x:c r="F821" s="65" t="str">
        <x:v>高</x:v>
      </x:c>
      <x:c r="G821" s="65" t="str">
        <x:v>拔高题</x:v>
      </x:c>
      <x:c r="H821" s="65" t="str">
        <x:v>拔高题</x:v>
      </x:c>
      <x:c r="I821" s="65" t="str">
        <x:v>题干、解析与结构证据支持拔高题：step=3-5步，题型=电路综合，状态=双状态，约束=多约束，推理=多层因果推理。教师、盲评和多次模型证据中未形成足以推翻原裁定的同向结构证据。</x:v>
      </x:c>
      <x:c r="J821" s="65" t="str">
        <x:v>未进入三次错题并集；逐题结构一致性复核</x:v>
      </x:c>
      <x:c r="K821" s="63" t="str">
        <x:v>在如图所示的电路中，电源电压U=9V，小灯泡L标有“6V、6W”的字样（电源电压和小灯泡的阻值均保持不变），R1为定值电阻，滑动变阻器标有“24Ω、1A”的字样，电流表A的量程为0～0.6A，求：（1）当开关S1闭合S2断开时，电压表的示数为6V，5分钟R1消耗的电能；（2）当开关S1断开S2闭合时，在电路安全的情况下，小灯泡电功率的变化范围。</x:v>
      </x:c>
      <x:c r="L821" s="63" t="str"/>
      <x:c r="M821" s="63" t="str">
        <x:v>解：（1）闭合S1，断开S2时，电阻${{R}_{1}}$与小灯泡L串联，电压表V测量的是小灯泡两端的电压${{U}_{\text{L}}}=6\text{V}$，小灯泡正常发光，电阻${{R}_{1}}$两端的电压${{U}_{\text{R1}}}=U-{{U}_{\text{L}}}=9\text{V}-6\text{V}=3\text{V}$通过${{R}_{1}}$的电流等于小灯泡额定电流${{I}_{\text{R}1}}={{I}_{\text{L}}}=\dfrac{{{P}_{\text{L}}}}{{{U}_{\text{L}}}}=\dfrac{6\text{W}}{6\text{V}}=1\text{A}$5分钟${{R}_{1}}$工作消耗的电能$W={{U}_{R1}}{{I}_{\text{R1}}}t=3\text{V}\times 1\text{A}\times 5\times 60\text{s}=900\text{J}$（2）闭合S2，断开S1，小灯泡L与滑动变阻器串联。小灯泡的电阻为${{R}_{\text{L}}}=\dfrac{U_{额}^{2}}{{{P}_{额}}}=\dfrac{{{(6\text{V})}^{2}}}{6\text{W}}=6\Omega $滑动变阻器允许通过的最大电流为1A，电流表允许通过的最大电流为0.6A，灯泡允许通过的最大电流1A，此时电路允许通过的最大电流${{I}_{最大}}=0.6\text{A}$，小灯泡的最大功率${{P}_{最大}}=I_{最大}^{2}{{R}_{\text{L}}}={{(0.6\text{A})}^{2}}\times 6\Omega =2.16\text{W}$当滑动变阻器阻值最大时，整个电路的电阻${{R}_{总}}={{R}_{\text{L}}}+R=6\Omega +24\Omega =30\Omega $此时通过小灯泡的最小电流${{I}_{最小}}=\dfrac{U}{{{R}_{总}}}=\dfrac{9\text{V}}{30\Omega }=0.3\text{A}$小灯泡的最小功率${{P}_{最小}}=I_{最小}^{2}{{R}_{\text{L}}}={{(0.3\text{A})}^{2}}\times 6\Omega =0.54\text{W}$小灯泡功率变化范围为0.54~2.16W。答：（1）当开关S1闭合S2断开时，电压表的示数为6V，5分钟R1消耗的电能是900J；（2）当开关S1断开S2闭合时，在电路安全的情况下，小灯泡电功率的变化范围是0.54~2.16W。</x:v>
      </x:c>
      <x:c r="N821" s="63" t="str">
        <x:v>https://k12static.xdf.cn/k12/image/externalized/934be158-f73e-4aba-af7e-f95d9400a4f0.png</x:v>
      </x:c>
      <x:c r="O821" s="63" t="str">
        <x:v>https://k12static.xdf.cn/k12/image/externalized/c3db3651-6871-46ac-b375-d700412373de.png</x:v>
      </x:c>
      <x:c r="P821" s="63" t="str">
        <x:v>3-5步</x:v>
      </x:c>
      <x:c r="Q821" s="63" t="str">
        <x:v>电路综合</x:v>
      </x:c>
      <x:c r="R821" s="63" t="str">
        <x:v>双状态</x:v>
      </x:c>
      <x:c r="S821" s="63" t="str">
        <x:v>多约束</x:v>
      </x:c>
      <x:c r="T821" s="63" t="str">
        <x:v>无</x:v>
      </x:c>
      <x:c r="U821" s="63" t="str">
        <x:v>无</x:v>
      </x:c>
      <x:c r="V821" s="63" t="str">
        <x:v>多层因果推理</x:v>
      </x:c>
    </x:row>
    <x:row r="822">
      <x:c r="A822" s="64" t="str">
        <x:v>​2766319552927666176</x:v>
      </x:c>
      <x:c r="B822" s="65" t="str">
        <x:v>基础题</x:v>
      </x:c>
      <x:c r="C822" s="65" t="str">
        <x:v>基础题</x:v>
      </x:c>
      <x:c r="D822" s="65" t="str">
        <x:v>基础题</x:v>
      </x:c>
      <x:c r="E822" s="65" t="str">
        <x:v>逐题复核后保留GPT裁定</x:v>
      </x:c>
      <x:c r="F822" s="65" t="str">
        <x:v>高</x:v>
      </x:c>
      <x:c r="G822" s="65" t="str">
        <x:v>基础题</x:v>
      </x:c>
      <x:c r="H822" s="65" t="str">
        <x:v>基础题</x:v>
      </x:c>
      <x:c r="I822" s="65" t="str">
        <x:v>最高难任务为1—2步显性应用、规范操作或简单因果，没有连续模型转换。 题目证据：最高难选项实际有效推理1-2步，四个选项分别考查家庭电路不同模块的常识性结论：空气开关与保险丝的特点、并联电路各支路独立工作的特点、漏电保护器的工作原理。属于低结构概念多选题，各选项独立调用家庭电路不同知识点，最高难选项考查漏电保护器的作用，仅需1步简单推理。</x:v>
      </x:c>
      <x:c r="J822" s="65" t="str">
        <x:v>三次运行错题并集逐题复核</x:v>
      </x:c>
      <x:c r="K822" s="63" t="str">
        <x:v>现在一般标准住宅户内，配电系统都使用了空气开关、漏电保护器、三孔插座等设备，有一配电系统如图所示，下列说法正确的是（ ）</x:v>
      </x:c>
      <x:c r="L822" s="63" t="str">
        <x:v>A. 空气开关使用起来比保险丝更安全、方便 B. 当空调功率过大时，电灯所在支路的空气开关不会断开 C. 当人因接触了三孔插座中的火线触电时，漏电保护器会迅速断开，切断电路 D. 当人因接触了三孔插座中的火线触电时，漏电保护器能迅速将电流导入大地</x:v>
      </x:c>
      <x:c r="M822" s="63" t="str">
        <x:v>A．空气开关和熔丝在电路短路或用电器的总功率过大时切断电路，起到保护电路的作用；但保险丝熔断以后需更换，空气开关不需要，空气开关使用时更安全、更方便，故A正确；B．空调和电灯并联接入电路，工作时互不影响，当空调功率过大时，电灯所在支路的空气开关不会断开，故B正确；CD．当人因接触了三孔插座中的火线触电时，电流通过人体导入大地，通过零线和火线上的电流不相等，则漏电保护器会切断电源，故C正确，D错误。故选ABC。</x:v>
      </x:c>
      <x:c r="N822" s="63" t="str">
        <x:v>https://k12static.xdf.cn/k12/image/externalized/2b8508ea-6c52-48ed-8c50-8f606e302734.png</x:v>
      </x:c>
      <x:c r="O822" s="63" t="str">
        <x:v>https://k12static.xdf.cn/k12/image/externalized/ee50234d-ad57-420a-b495-d0c9acd723ad.png</x:v>
      </x:c>
      <x:c r="P822" s="63" t="str">
        <x:v>1-2步</x:v>
      </x:c>
      <x:c r="Q822" s="63" t="str">
        <x:v>概念判断</x:v>
      </x:c>
      <x:c r="R822" s="63" t="str">
        <x:v>单状态</x:v>
      </x:c>
      <x:c r="S822" s="63" t="str">
        <x:v>无约束</x:v>
      </x:c>
      <x:c r="T822" s="63" t="str">
        <x:v>无</x:v>
      </x:c>
      <x:c r="U822" s="63" t="str">
        <x:v>无</x:v>
      </x:c>
      <x:c r="V822" s="63" t="str">
        <x:v>多层因果推理</x:v>
      </x:c>
    </x:row>
    <x:row r="823">
      <x:c r="A823" s="64" t="str">
        <x:v>​2767022724833972224</x:v>
      </x:c>
      <x:c r="B823" s="65" t="str">
        <x:v>中等题</x:v>
      </x:c>
      <x:c r="C823" s="65" t="str">
        <x:v>中等题</x:v>
      </x:c>
      <x:c r="D823" s="65" t="str">
        <x:v>中等题</x:v>
      </x:c>
      <x:c r="E823" s="65" t="str">
        <x:v>保留原GPT裁定</x:v>
      </x:c>
      <x:c r="F823" s="65" t="str">
        <x:v>高</x:v>
      </x:c>
      <x:c r="G823" s="65" t="str">
        <x:v>中等题</x:v>
      </x:c>
      <x:c r="H823" s="65" t="str">
        <x:v>中等题</x:v>
      </x:c>
      <x:c r="I823" s="65" t="str">
        <x:v>题干、解析与结构证据支持中等题：step=3-5步，题型=热学综合，状态=单状态，约束=无约束，推理=多层因果推理。教师、盲评和多次模型证据中未形成足以推翻原裁定的同向结构证据。</x:v>
      </x:c>
      <x:c r="J823" s="65" t="str">
        <x:v>未进入三次错题并集；逐题结构一致性复核</x:v>
      </x:c>
      <x:c r="K823" s="63" t="str">
        <x:v>小明将一杯温度为36℃的水放入冰箱冷冻室后，水变为-18℃的冰块。现将这杯水的变化过程分为三个阶段：①36℃的水变为18℃的水，放出热量$Q_{1}$；②18℃的水变为0℃的冰，放出热量$Q_{2}$；③0℃的冰变为-18℃的冰，放出热量$Q_{3}$。已知水的比热容大于冰的比热容，全过程质量不变，下列关系式正确的是（ ）</x:v>
      </x:c>
      <x:c r="L823" s="63" t="str">
        <x:v>A. $Q_{1}&gt; Q_{2}&gt; Q_{3}$ B. $Q_{2}&gt; Q_{1}&gt; Q_{3}$ C. $Q_{3}&gt; Q_{2}&gt; Q_{1}$ D. $Q_{1}=Q_{2}&gt; Q_{3}$</x:v>
      </x:c>
      <x:c r="M823" s="63" t="str">
        <x:v>在过程①③中，冰和水的质量相同，温度变化相同，又c冰＜c水，由$Q=cm\Delta t$知道，所以，在过程①中水放出的热量大于在过程③中冰放出的热量，即$Q_{1}&gt; Q_{3}$在过程①②中，水降低温度释放的热量相等，但在过程②中，0℃水凝固变成0℃冰，持续放热，温度不变，水的内能减小，继续放热，所以$Q_{2}&gt; Q_{1}$故B符合题意，ACD不符合题意。故选B。</x:v>
      </x:c>
      <x:c r="N823" s="63" t="str">
        <x:v>https://k12static.xdf.cn/k12/image/externalized/379531e1-c368-4551-8731-6798530cdcbd.png</x:v>
      </x:c>
      <x:c r="O823" s="63" t="str">
        <x:v>https://k12static.xdf.cn/k12/image/externalized/8b12735a-b09c-4282-9df9-4a71a614d45d.png</x:v>
      </x:c>
      <x:c r="P823" s="63" t="str">
        <x:v>3-5步</x:v>
      </x:c>
      <x:c r="Q823" s="63" t="str">
        <x:v>热学综合</x:v>
      </x:c>
      <x:c r="R823" s="63" t="str">
        <x:v>单状态</x:v>
      </x:c>
      <x:c r="S823" s="63" t="str">
        <x:v>无约束</x:v>
      </x:c>
      <x:c r="T823" s="63" t="str">
        <x:v>无</x:v>
      </x:c>
      <x:c r="U823" s="63" t="str">
        <x:v>无</x:v>
      </x:c>
      <x:c r="V823" s="63" t="str">
        <x:v>多层因果推理</x:v>
      </x:c>
    </x:row>
    <x:row r="824">
      <x:c r="A824" s="64" t="str">
        <x:v>​2768599203289010176</x:v>
      </x:c>
      <x:c r="B824" s="65" t="str">
        <x:v>拔高题</x:v>
      </x:c>
      <x:c r="C824" s="65" t="str">
        <x:v>拔高题</x:v>
      </x:c>
      <x:c r="D824" s="65" t="str">
        <x:v>拔高题</x:v>
      </x:c>
      <x:c r="E824" s="65" t="str">
        <x:v>逐题复核后保留GPT裁定</x:v>
      </x:c>
      <x:c r="F824" s="65" t="str">
        <x:v>高</x:v>
      </x:c>
      <x:c r="G824" s="65" t="str">
        <x:v>拔高题</x:v>
      </x:c>
      <x:c r="H824" s="65" t="str">
        <x:v>拔高题</x:v>
      </x:c>
      <x:c r="I824" s="65" t="str">
        <x:v>存在决定性反推/等效/误差/几何转换，或同一装置中的5—6步高密度综合链。 题目证据：自动调整：gpt56_medium_to_hard_multi_switch_power_boundary_guard；证据：多开关状态重建；灯泡额定或图像关系；安全限制与功率边界。整道题包含三个相互独立的小问，最高难第三小问实际有效物理决策为4步，五维锚定落在中等偏上区间。任务为串联电路结合灯泡额定参数、电表量程和滑动变阻器额定电流的多约束功率范围计算，需分别确定最大电流和最小电流两个临界状态，没有决定性隐含转换或全链深度耦合。</x:v>
      </x:c>
      <x:c r="J824" s="65" t="str">
        <x:v>三次运行错题并集逐题复核</x:v>
      </x:c>
      <x:c r="K824" s="63" t="str">
        <x:v>如图所示电路，电源电压恒为6V保持不变，小灯泡L标有“5V 0.5A”（设灯丝电阻不变），滑动变阻器R1的铭牌是“20Ω 1A”，电流表的量程是0~0.6A，电压表的量程是0~3V。求：(1)小灯泡正常发光时的电阻；(2)只闭合开关S和S1，滑动变阻器的滑片P置于最左端时，电压表的示数为2V，求定值电阻R2的阻值；(3)只闭合开关S和S2，移动滑动变阻器的滑片P，在保证各元件安全工作的情况下，灯泡的电功率取值范围。</x:v>
      </x:c>
      <x:c r="L824" s="63" t="str"/>
      <x:c r="M824" s="63" t="str">
        <x:v>(1)小灯泡标有“5V0.5A”，正常发光时的电阻$R_{\mathrm{L}}=\dfrac{U_{额}}{I_{额}}=\dfrac{5\mathrm{V}}{0.5\mathrm{A}}=10\Omega$(2)只闭合开关S和S1，电路为R1与R2的串联电路，滑动变阻器的滑片P置于最左端时，R1为最大值20Ω，电压表的示数为2V，电路中的电流$I=I_{2}=I_{1}=\dfrac{U_{1}}{R_{1}}=\dfrac{2\mathrm{V}}{20\Omega }=0.1\mathrm{A}$定值电阻两端的电压U2=U-U1=6V-2V=4V定值电阻的阻值$R_{2}=\dfrac{U_{2}}{I_{2}}=\dfrac{4\mathrm{V}}{0.1\mathrm{A}}=40\Omega$(3)只闭合开关S和S2，电路为R1与灯泡L的串联电路，灯泡正常发光时，电流为0.5A，R1两端的电压为1V，各元件均安全，此时灯泡的电功率最大P大=U额I额=5V×0.5A=2.5W向左移动滑动变阻器的滑片P，滑动变阻器的电阻变大，电路中的电流变小，电流表安全，电压表示数变大，当电压表为最大值时，灯泡两端电压最小UL=U-UR1=6V-3V=3V灯泡的电功率最小$P_{小}=\dfrac{U_{\mathrm{L}}^{2}}{R_{\mathrm{L}}}=\dfrac{(3\mathrm{V})^{2}}{10\Omega }=0.9\mathrm{W}$所以在保证各元件安全工作的情况下，灯泡的电功率取值范围为0.9W~2.5W。答：(1)小灯泡正常发光时的电阻为10Ω。(2)定值电阻R2的阻值为40Ω。(3)只闭合开关S和S2，移动滑动变阻器的滑片P，在保证各元件安全工作的情况下，灯泡的电功率取值范围0.9W~2.5W。</x:v>
      </x:c>
      <x:c r="N824" s="63" t="str">
        <x:v>https://k12static.xdf.cn/k12/image/externalized/0235e311-1156-4bbe-a5cf-784458c471b6.png</x:v>
      </x:c>
      <x:c r="O824" s="63" t="str">
        <x:v>https://k12static.xdf.cn/k12/image/externalized/598b397e-3b1a-48d7-9294-218dfc3465be.png</x:v>
      </x:c>
      <x:c r="P824" s="63" t="str">
        <x:v>3-5步</x:v>
      </x:c>
      <x:c r="Q824" s="63" t="str">
        <x:v>电路综合</x:v>
      </x:c>
      <x:c r="R824" s="63" t="str">
        <x:v>双状态</x:v>
      </x:c>
      <x:c r="S824" s="63" t="str">
        <x:v>多约束</x:v>
      </x:c>
      <x:c r="T824" s="63" t="str">
        <x:v>无</x:v>
      </x:c>
      <x:c r="U824" s="63" t="str">
        <x:v>无</x:v>
      </x:c>
      <x:c r="V824" s="63" t="str">
        <x:v>逆向推理或临界分析</x:v>
      </x:c>
    </x:row>
    <x:row r="825">
      <x:c r="A825" s="64" t="str">
        <x:v>​2768911891281055744</x:v>
      </x:c>
      <x:c r="B825" s="65" t="str">
        <x:v>中等题</x:v>
      </x:c>
      <x:c r="C825" s="65" t="str">
        <x:v>中等题</x:v>
      </x:c>
      <x:c r="D825" s="65" t="str">
        <x:v>中等题</x:v>
      </x:c>
      <x:c r="E825" s="65" t="str">
        <x:v>保留原GPT裁定</x:v>
      </x:c>
      <x:c r="F825" s="65" t="str">
        <x:v>高</x:v>
      </x:c>
      <x:c r="G825" s="65" t="str">
        <x:v>中等题</x:v>
      </x:c>
      <x:c r="H825" s="65" t="str">
        <x:v>中等题</x:v>
      </x:c>
      <x:c r="I825" s="65" t="str">
        <x:v>题干、解析与结构证据支持中等题：step=3-5步，题型=实验探究，状态=单状态，约束=无约束，推理=多层因果推理。教师、盲评和多次模型证据中未形成足以推翻原裁定的同向结构证据。</x:v>
      </x:c>
      <x:c r="J825" s="65" t="str">
        <x:v>未进入三次错题并集；逐题结构一致性复核</x:v>
      </x:c>
      <x:c r="K825" s="63" t="str">
        <x:v>小明想比较几种材料的隔音性能，他设计了两个方案：方案一是将小闹铃放到盒子里，然后将盒子放在桌子上，将盒子中先后三次塞上不同材料，再退到离盒子十米的位置，比较听到的声音大小，并收集信息在表一：材料泡沫衣服报纸声音大小很弱较响较响方案二是先后三次将盒子里塞上不同材料，然后慢慢远离盒子，直到听不见时，测量盒子与人之间的距离，并记录信息在表二：材料泡沫衣服报纸距离/m6810材料泡沫衣服报纸距离/m6810</x:v>
      </x:c>
      <x:c r="L825" s="63" t="str"/>
      <x:c r="M825" s="63" t="str"/>
      <x:c r="N825" s="63" t="str">
        <x:v>https://k12static.xdf.cn/k12/image/externalized/3c858ee6-01f6-4ade-9ad1-e6f567a39b60.png</x:v>
      </x:c>
      <x:c r="O825" s="63" t="str">
        <x:v>https://k12static.xdf.cn/k12/image/externalized/e8d544b7-5a57-4d22-9a81-932d2bc6f138.png</x:v>
      </x:c>
      <x:c r="P825" s="63" t="str">
        <x:v>3-5步</x:v>
      </x:c>
      <x:c r="Q825" s="63" t="str">
        <x:v>实验探究</x:v>
      </x:c>
      <x:c r="R825" s="63" t="str">
        <x:v>单状态</x:v>
      </x:c>
      <x:c r="S825" s="63" t="str">
        <x:v>无约束</x:v>
      </x:c>
      <x:c r="T825" s="63" t="str">
        <x:v>控制变量或故障分析</x:v>
      </x:c>
      <x:c r="U825" s="63" t="str">
        <x:v>多组比较归纳</x:v>
      </x:c>
      <x:c r="V825" s="63" t="str">
        <x:v>多层因果推理</x:v>
      </x:c>
    </x:row>
    <x:row r="826">
      <x:c r="A826" s="64" t="str">
        <x:v>​2771609802706108416</x:v>
      </x:c>
      <x:c r="B826" s="65" t="str">
        <x:v>基础题</x:v>
      </x:c>
      <x:c r="C826" s="65" t="str">
        <x:v>基础题</x:v>
      </x:c>
      <x:c r="D826" s="65" t="str">
        <x:v>基础题</x:v>
      </x:c>
      <x:c r="E826" s="65" t="str">
        <x:v>保留原GPT裁定</x:v>
      </x:c>
      <x:c r="F826" s="65" t="str">
        <x:v>高</x:v>
      </x:c>
      <x:c r="G826" s="65" t="str">
        <x:v>基础题</x:v>
      </x:c>
      <x:c r="H826" s="65" t="str">
        <x:v>基础题</x:v>
      </x:c>
      <x:c r="I826" s="65" t="str">
        <x:v>题干、解析与结构证据支持基础题：step=1-2步，题型=概念判断，状态=单状态，约束=无约束，推理=简单因果推理。教师、盲评和多次模型证据中未形成足以推翻原裁定的同向结构证据。</x:v>
      </x:c>
      <x:c r="J826" s="65" t="str">
        <x:v>未进入三次错题并集；逐题结构一致性复核</x:v>
      </x:c>
      <x:c r="K826" s="63" t="str">
        <x:v>如图所示，这是平行光照射到不同物体表面时发生反射的情况。下列说法正确的是（ ）</x:v>
      </x:c>
      <x:c r="L826" s="63" t="str">
        <x:v>A. 甲、乙均为镜面反射 B. 甲、乙均遵循光的反射定律 C. 乙为漫反射，不遵循光的反射定律 D. 甲图反射光路具有可逆性，乙图反射光路不可逆</x:v>
      </x:c>
      <x:c r="M826" s="63" t="str">
        <x:v>解：ABC、根据图甲可知，平行光线入射到平而光滑反射面上，反射光线还是平行射出，这种反射是镜面反射；根据图乙可知，平行光线入射到粗糙的反射面上，反射光线射向四面八方，这种反射是漫反射；镜面反射和漫反射都遵守光的反射定律，故AC错误，B正确； D、在光的反射中，光路是可逆的，镜面反射和漫反射的光路均可逆，故D错误。 故选：B。</x:v>
      </x:c>
      <x:c r="N826" s="63" t="str">
        <x:v>https://k12static.xdf.cn/k12/image/externalized/1e615679-5565-48bb-9a7c-6da028014b7c.png</x:v>
      </x:c>
      <x:c r="O826" s="63" t="str">
        <x:v>https://k12static.xdf.cn/k12/image/externalized/fccb5fba-1ae4-46c7-b6a3-1973ffaf9876.png</x:v>
      </x:c>
      <x:c r="P826" s="63" t="str">
        <x:v>1-2步</x:v>
      </x:c>
      <x:c r="Q826" s="63" t="str">
        <x:v>概念判断</x:v>
      </x:c>
      <x:c r="R826" s="63" t="str">
        <x:v>单状态</x:v>
      </x:c>
      <x:c r="S826" s="63" t="str">
        <x:v>无约束</x:v>
      </x:c>
      <x:c r="T826" s="63" t="str">
        <x:v>无</x:v>
      </x:c>
      <x:c r="U826" s="63" t="str">
        <x:v>无</x:v>
      </x:c>
      <x:c r="V826" s="63" t="str">
        <x:v>简单因果推理</x:v>
      </x:c>
    </x:row>
    <x:row r="827">
      <x:c r="A827" s="64" t="str">
        <x:v>​2771749105628123136</x:v>
      </x:c>
      <x:c r="B827" s="65" t="str">
        <x:v>中等题</x:v>
      </x:c>
      <x:c r="C827" s="65" t="str">
        <x:v>中等题</x:v>
      </x:c>
      <x:c r="D827" s="65" t="str">
        <x:v>中等题</x:v>
      </x:c>
      <x:c r="E827" s="65" t="str">
        <x:v>保留原GPT裁定</x:v>
      </x:c>
      <x:c r="F827" s="65" t="str">
        <x:v>高</x:v>
      </x:c>
      <x:c r="G827" s="65" t="str">
        <x:v>中等题</x:v>
      </x:c>
      <x:c r="H827" s="65" t="str">
        <x:v>中等题</x:v>
      </x:c>
      <x:c r="I827" s="65" t="str">
        <x:v>题干、解析与结构证据支持中等题：step=3-5步，题型=概念判断，状态=多状态，约束=单一约束，推理=多层因果推理。教师、盲评和多次模型证据中未形成足以推翻原裁定的同向结构证据。</x:v>
      </x:c>
      <x:c r="J827" s="65" t="str">
        <x:v>未进入三次错题并集；逐题结构一致性复核</x:v>
      </x:c>
      <x:c r="K827" s="63" t="str">
        <x:v>同学们在学习运动和力的关系时，了解到物体运动时所受空气阻力的大小与物体运动快慢有关，物体运动越快，受到的空气阻力越大。同学们认真观察了竖直向上抛出的篮球的运动情况（如图所示），并讨论了篮球从抛出到落回地面的过程中的受力情况，下面几种看法中正确的是（ ）</x:v>
      </x:c>
      <x:c r="L827" s="63" t="str">
        <x:v>A. 刚抛出时篮球受到的合力最大 B. 落地前瞬间篮球受到的合力最小 C. 整个运动过程中，篮球所受合力先减小后增大 D. 整个运动过程中，篮球所受合力先增大后减小</x:v>
      </x:c>
      <x:c r="M827" s="63" t="str">
        <x:v>A．篮球向上运动时，受到竖直向下的重力及向下的阻力，合力大小等于重力与阻力之和；篮球下落时，重力方向不变，阻力向上，合力大小等于二力之差。篮球刚抛出时，速度最大，阻力最大，篮球受到合力最大，故A正确；B．整个下落过程，落地瞬间，篮球速度最大，阻力最大，篮球受到的合力最小，故B正确；CD．上升过程，阻力越来越小，合力越来越小；下降过程，阻力越来越大，合力越来越小，所以整个运动过程中，合力一直减小，故CD错误。故选AB。</x:v>
      </x:c>
      <x:c r="N827" s="63" t="str">
        <x:v>https://k12static.xdf.cn/k12/image/externalized/4f93558a-e706-47ea-969c-ba78e94bbd8c.png</x:v>
      </x:c>
      <x:c r="O827" s="63" t="str">
        <x:v>https://k12static.xdf.cn/k12/image/externalized/1670b456-1222-4fbb-bbb3-faba9b5e24f5.png</x:v>
      </x:c>
      <x:c r="P827" s="63" t="str">
        <x:v>3-5步</x:v>
      </x:c>
      <x:c r="Q827" s="63" t="str">
        <x:v>概念判断</x:v>
      </x:c>
      <x:c r="R827" s="63" t="str">
        <x:v>多状态</x:v>
      </x:c>
      <x:c r="S827" s="63" t="str">
        <x:v>单一约束</x:v>
      </x:c>
      <x:c r="T827" s="63" t="str">
        <x:v>无</x:v>
      </x:c>
      <x:c r="U827" s="63" t="str">
        <x:v>无</x:v>
      </x:c>
      <x:c r="V827" s="63" t="str">
        <x:v>多层因果推理</x:v>
      </x:c>
    </x:row>
    <x:row r="828">
      <x:c r="A828" s="64" t="str">
        <x:v>​2773166671457259521</x:v>
      </x:c>
      <x:c r="B828" s="65" t="str">
        <x:v>基础题</x:v>
      </x:c>
      <x:c r="C828" s="65" t="str">
        <x:v>基础题</x:v>
      </x:c>
      <x:c r="D828" s="65" t="str">
        <x:v>基础题</x:v>
      </x:c>
      <x:c r="E828" s="65" t="str">
        <x:v>保留原GPT裁定</x:v>
      </x:c>
      <x:c r="F828" s="65" t="str">
        <x:v>高</x:v>
      </x:c>
      <x:c r="G828" s="65" t="str">
        <x:v>基础题</x:v>
      </x:c>
      <x:c r="H828" s="65" t="str">
        <x:v>基础题</x:v>
      </x:c>
      <x:c r="I828" s="65" t="str">
        <x:v>题干、解析与结构证据支持基础题：step=1-2步，题型=概念判断，状态=单状态，约束=无约束，推理=简单因果推理。教师、盲评和多次模型证据中未形成足以推翻原裁定的同向结构证据。</x:v>
      </x:c>
      <x:c r="J828" s="65" t="str">
        <x:v>未进入三次错题并集；逐题结构一致性复核</x:v>
      </x:c>
      <x:c r="K828" s="63" t="str">
        <x:v>如图所示，甲、乙两同学沿水平方向分别向左、右用力拉弹簧测力计，测力计静止时示数为5N，若不计弹簧测力计自身的重力，下列说法正确的是（ ）</x:v>
      </x:c>
      <x:c r="L828" s="63" t="str">
        <x:v>A. 乙对测力计的拉力是2.5N B. 测力计对甲的拉力是5N C. 甲对测力计的拉力是10N D. 在弹性限度内，弹簧的弹力大小和弹簧长度成正比</x:v>
      </x:c>
      <x:c r="M828" s="63" t="str">
        <x:v>ABC．弹簧测力计的示数为5N，说明弹簧测力计里的弹簧受到的拉力为5N，即乙对弹簧测力计的拉力应为5N；而弹簧测力计整体要处于平衡状态，故左侧拉力也应为5N，即甲对测力计的拉力为5N，测力计对甲的拉力是5N，故B正确，AC错误；D．在弹性限度内，弹簧伸长量与所受的拉力成正比。故D错误。故选B。</x:v>
      </x:c>
      <x:c r="N828" s="63" t="str">
        <x:v>https://k12static.xdf.cn/k12/image/externalized/367d37de-43a0-413d-b5e4-a68113aae17f.png</x:v>
      </x:c>
      <x:c r="O828" s="63" t="str">
        <x:v>https://k12static.xdf.cn/k12/image/externalized/6a0d9d3c-0442-45a2-a275-3beb26d91f70.png</x:v>
      </x:c>
      <x:c r="P828" s="63" t="str">
        <x:v>1-2步</x:v>
      </x:c>
      <x:c r="Q828" s="63" t="str">
        <x:v>概念判断</x:v>
      </x:c>
      <x:c r="R828" s="63" t="str">
        <x:v>单状态</x:v>
      </x:c>
      <x:c r="S828" s="63" t="str">
        <x:v>无约束</x:v>
      </x:c>
      <x:c r="T828" s="63" t="str">
        <x:v>无</x:v>
      </x:c>
      <x:c r="U828" s="63" t="str">
        <x:v>无</x:v>
      </x:c>
      <x:c r="V828" s="63" t="str">
        <x:v>简单因果推理</x:v>
      </x:c>
    </x:row>
    <x:row r="829">
      <x:c r="A829" s="64" t="str">
        <x:v>​2773438924203778048</x:v>
      </x:c>
      <x:c r="B829" s="65" t="str">
        <x:v>中等题</x:v>
      </x:c>
      <x:c r="C829" s="65" t="str">
        <x:v>中等题</x:v>
      </x:c>
      <x:c r="D829" s="65" t="str">
        <x:v>中等题</x:v>
      </x:c>
      <x:c r="E829" s="65" t="str">
        <x:v>保留原GPT裁定</x:v>
      </x:c>
      <x:c r="F829" s="65" t="str">
        <x:v>高</x:v>
      </x:c>
      <x:c r="G829" s="65" t="str">
        <x:v>中等题</x:v>
      </x:c>
      <x:c r="H829" s="65" t="str">
        <x:v>中等题</x:v>
      </x:c>
      <x:c r="I829" s="65" t="str">
        <x:v>题干、解析与结构证据支持中等题：step=3-5步，题型=力学综合，状态=双状态，约束=单一约束，推理=多层因果推理。教师、盲评和多次模型证据中未形成足以推翻原裁定的同向结构证据。</x:v>
      </x:c>
      <x:c r="J829" s="65" t="str">
        <x:v>未进入三次错题并集；逐题结构一致性复核</x:v>
      </x:c>
      <x:c r="K829" s="63" t="str">
        <x:v>如图所示，小明用相同的滑轮安装成甲、乙两种装置，分别匀速提升两个质量相同的物体，绳端在相同时间内移动的距离相等。在提升过程中，若绳端拉力F1：F2=3：2，下列说法正确的是（ ）</x:v>
      </x:c>
      <x:c r="L829" s="63" t="str">
        <x:v>A. 物体的速度之比v1：v2=1：2 B. 有用功之比W有1：W有2=2：1 C. 总功之比W总1：W总2=3：2 D. 机械效率之比η1：η2=4：3</x:v>
      </x:c>
      <x:c r="M829" s="63" t="str">
        <x:v>解：设物体的质量为3m,绳端移动的距离为s,运动时间t, 根据定滑轮的特点可得甲图中相关的物理量为：F1=3mg,s1=s,物体上升h1=s； 根据动滑轮的特点可得图乙中相关的物理量为：F2=2mg,s2=s,物体上升h2=$\frac{s}{2}$，G动=mg； A．物体的速度之比：$\frac{{v}_{1}}{{v}_{2}}=\frac{\frac{{h}_{1}}{t}}{\frac{{h}_{2}}{t}}=\frac{{h}_{1}}{{h}_{2}}=\frac{s}{\frac{s}{2}}=\frac{2}{1}$，故A错误； B．有用功之比：$\frac{{W}_{有1}}{{W}_{有2}}=\frac{3mg\bullet {h}_{1}}{3mg\bullet {h}_{2}}=\frac{{h}_{1}}{{h}_{2}}=\frac{2}{1}$，故B正确； C．总功之比：$\frac{{W}_{总1}}{{W}_{总2}}=\frac{{F}_{1}\bullet {s}_{1}}{{F}_{2}\bullet {s}_{2}}=\frac{3mg×s}{2mg×s}=\frac{3}{2}$，故C正确 D．机械效率之比η1：η2=$\frac{{W}_{有1}}{{W}_{总1}}$：$\frac{{W}_{有2}}{{W}_{总2}}$=$\frac{{W}_{有1}×{W}_{总2}}{{W}_{有2}×{W}_{总1}}=\frac{2×2}{3×1}=\frac{4}{3}$=4：3，故D正确。 故选：BCD。</x:v>
      </x:c>
      <x:c r="N829" s="63" t="str">
        <x:v>https://k12static.xdf.cn/k12/image/externalized/2ff21c89-a7ac-470b-ae6c-2a42341e0672.png</x:v>
      </x:c>
      <x:c r="O829" s="63" t="str">
        <x:v>https://k12static.xdf.cn/k12/image/externalized/a8e88a69-0270-45f9-aad9-ee4c7c55d499.png</x:v>
      </x:c>
      <x:c r="P829" s="63" t="str">
        <x:v>3-5步</x:v>
      </x:c>
      <x:c r="Q829" s="63" t="str">
        <x:v>力学综合</x:v>
      </x:c>
      <x:c r="R829" s="63" t="str">
        <x:v>双状态</x:v>
      </x:c>
      <x:c r="S829" s="63" t="str">
        <x:v>单一约束</x:v>
      </x:c>
      <x:c r="T829" s="63" t="str">
        <x:v>无</x:v>
      </x:c>
      <x:c r="U829" s="63" t="str">
        <x:v>无</x:v>
      </x:c>
      <x:c r="V829" s="63" t="str">
        <x:v>多层因果推理</x:v>
      </x:c>
    </x:row>
    <x:row r="830">
      <x:c r="A830" s="64" t="str">
        <x:v>​2774631580162850816</x:v>
      </x:c>
      <x:c r="B830" s="65" t="str">
        <x:v>中等题</x:v>
      </x:c>
      <x:c r="C830" s="65" t="str">
        <x:v>中等题</x:v>
      </x:c>
      <x:c r="D830" s="65" t="str">
        <x:v>中等题</x:v>
      </x:c>
      <x:c r="E830" s="65" t="str">
        <x:v>保留原GPT裁定</x:v>
      </x:c>
      <x:c r="F830" s="65" t="str">
        <x:v>高</x:v>
      </x:c>
      <x:c r="G830" s="65" t="str">
        <x:v>中等题</x:v>
      </x:c>
      <x:c r="H830" s="65" t="str">
        <x:v>中等题</x:v>
      </x:c>
      <x:c r="I830" s="65" t="str">
        <x:v>题干、解析与结构证据支持中等题：step=3-5步，题型=热学综合，状态=单状态，约束=单一约束，推理=多层因果推理。教师、盲评和多次模型证据中未形成足以推翻原裁定的同向结构证据。</x:v>
      </x:c>
      <x:c r="J830" s="65" t="str">
        <x:v>未进入三次错题并集；逐题结构一致性复核</x:v>
      </x:c>
      <x:c r="K830" s="63" t="str">
        <x:v>如图甲所示，1个标准大气压下，使用效率为50%的普通煤炉将壶内20℃的2.5kg水烧开。已知：$q_{\mathrm{煤}}=3\times 10^{7}\mathrm{J}/\mathrm{kg}$，$c_{\mathrm{水}}=4.2\times 10^{3}\mathrm{J}/(\mathrm{kg}\cdot \text{℃})$，求：（1）把壶内水烧开，水需要吸收的热量Q吸；（2）普通煤炉至少燃烧煤的质量m煤。（3）为提高煤炉效率，某创意小组设计了双加热煤炉，如图乙所示，在消耗等量煤烧开壶内初温相同、等量水的过程中，还可以额外把炉壁间2kg水从20℃加热至40℃。求此双加热煤炉的烧水效率η2。</x:v>
      </x:c>
      <x:c r="L830" s="63" t="str"/>
      <x:c r="M830" s="63" t="str">
        <x:v>解：（1）1个标准大气压下水的沸点为100℃，把壶内水烧开，水需要吸收的热量$Q_{\mathrm{吸}}=c_{\mathrm{水}}m\mathrm{（}t-t_{0}\mathrm{）}=4.2\times 10^{3}\mathrm{J}/(\mathrm{kg}\cdot \text{℃})\times 2.5\mathrm{kg}\times \mathrm{（}100\text{℃}-20\text{℃}\mathrm{）}=8.4\times 10^{5}\mathrm{J}$（2）煤燃烧放出的热量$Q_{\mathrm{放}}=\dfrac{Q_{\mathrm{吸}}}{\eta }=\dfrac{8.4\times 10^{5}\mathrm{J}}{50\mathrm{\% }}=1.68\times 10^{6}\mathrm{J}$普通煤炉至少燃烧煤的质量$m_{\mathrm{煤}}=\dfrac{Q_{\mathrm{放}}}{q_{\mathrm{煤}}}=\dfrac{1.68\times 10^{6}\mathrm{J}}{3\times 10^{7}\mathrm{J}/\mathrm{kg}}=0.056\mathrm{kg}$（3）炉壁间的水吸收的热量$Q_{\mathrm{吸}}'=c_{\mathrm{水}}m'\mathrm{（}t'-t_{0}\mathrm{）}=4.2\times 10^{3}\mathrm{J}/(\mathrm{kg}\cdot \text{℃})\times 2\mathrm{kg}\times \mathrm{（}40\text{℃}-20\text{℃}\mathrm{）}=1.68\times 10^{5}\mathrm{J}$在消耗等量煤烧开壶内初温相同、等量水的过程中，煤燃烧放出的热量不变，壶内水吸收的热量不变，则吸收的总的热量为$Q_{\mathrm{吸总}}=Q_{\mathrm{吸}}+Q_{\mathrm{吸}}'=8.4\times 10^{5}\mathrm{J}+1.68\times 10^{5}\mathrm{J}=1.008\times 10^{6}\mathrm{J}$此双加热煤炉的烧水效率$\eta _{2}=\dfrac{Q_{\mathrm{吸总}}}{Q_{\mathrm{放}}}=\dfrac{1.008\times 10^{6}\mathrm{J}}{1.68\times 10^{6}\mathrm{J}}=60\mathrm{\% }$答：（1）把壶内水烧开，水需要吸收的热量为8.4×105J；（2）普通煤炉至少燃烧煤的质量0.056kg；（3）此双加热煤炉的烧水效率为60%。</x:v>
      </x:c>
      <x:c r="N830" s="63" t="str">
        <x:v>https://k12static.xdf.cn/k12/image/externalized/12edbec2-1cba-40bf-a889-381956e4b693.png</x:v>
      </x:c>
      <x:c r="O830" s="63" t="str">
        <x:v>https://k12static.xdf.cn/k12/image/externalized/4ba426c4-5a23-417d-8539-e9b2c2e05073.png</x:v>
      </x:c>
      <x:c r="P830" s="63" t="str">
        <x:v>3-5步</x:v>
      </x:c>
      <x:c r="Q830" s="63" t="str">
        <x:v>热学综合</x:v>
      </x:c>
      <x:c r="R830" s="63" t="str">
        <x:v>单状态</x:v>
      </x:c>
      <x:c r="S830" s="63" t="str">
        <x:v>单一约束</x:v>
      </x:c>
      <x:c r="T830" s="63" t="str">
        <x:v>无</x:v>
      </x:c>
      <x:c r="U830" s="63" t="str">
        <x:v>无</x:v>
      </x:c>
      <x:c r="V830" s="63" t="str">
        <x:v>多层因果推理</x:v>
      </x:c>
    </x:row>
    <x:row r="831">
      <x:c r="A831" s="64" t="str">
        <x:v>​2774631580313845760</x:v>
      </x:c>
      <x:c r="B831" s="65" t="str">
        <x:v>中等题</x:v>
      </x:c>
      <x:c r="C831" s="65" t="str">
        <x:v>中等题</x:v>
      </x:c>
      <x:c r="D831" s="65" t="str">
        <x:v>中等题</x:v>
      </x:c>
      <x:c r="E831" s="65" t="str">
        <x:v>保留原GPT裁定</x:v>
      </x:c>
      <x:c r="F831" s="65" t="str">
        <x:v>高</x:v>
      </x:c>
      <x:c r="G831" s="65" t="str">
        <x:v>中等题</x:v>
      </x:c>
      <x:c r="H831" s="65" t="str">
        <x:v>中等题</x:v>
      </x:c>
      <x:c r="I831" s="65" t="str">
        <x:v>题干、解析与结构证据支持中等题：step=3-5步，题型=热学综合，状态=单状态，约束=单一约束，推理=多层因果推理。教师、盲评和多次模型证据中未形成足以推翻原裁定的同向结构证据。</x:v>
      </x:c>
      <x:c r="J831" s="65" t="str">
        <x:v>未进入三次错题并集；逐题结构一致性复核</x:v>
      </x:c>
      <x:c r="K831" s="63" t="str">
        <x:v>如图甲所示，1个标准大气压下，普通煤炉把壶内80℃、5kg水烧开需燃烧一定质量的煤，此过程中，普通煤炉的效率为50%。已知：$q_{\mathrm{煤}}=3\times 10^{7}\mathrm{J}/\mathrm{kg}$，$c_{\mathrm{水}}=4.2\times 10^{3}\mathrm{J}/(\mathrm{kg}\cdot \mathrm{\text{℃}})$，求：（1）把壶内水烧开，水需要吸收的热量Q吸？（2）普通煤炉至少燃烧煤的质量m煤？（3）为提高煤炉效率，某创意小组设计了双加热煤炉，如图乙所示，在消耗等量煤烧开壶内初温相同、等量水的过程中，还可以额外把炉壁间1kg水从20℃加热至40℃。则此双加热煤炉的烧水效率$\eta _{2}$？</x:v>
      </x:c>
      <x:c r="L831" s="63" t="str"/>
      <x:c r="M831" s="63" t="str">
        <x:v>解：（1）把壶内水烧开，水需要吸收的热量为$Q_{\mathrm{吸}}=c_{\mathrm{水}}m\Delta t=4.2\times 10^{3}\mathrm{J}/(\mathrm{kg}\cdot \mathrm{\text{℃}})\times 5\mathrm{kg}\times (100\mathrm{\text{℃}}-80\mathrm{\text{℃}})=4.2\times 10^{5}\mathrm{J}$（2）普通煤炉的效率为50%，煤完全燃烧放出的热量为$Q_{\mathrm{放}}=\dfrac{Q_{\mathrm{吸}}}{50\mathrm{\% }}=\dfrac{4.2\times 10^{5}\mathrm{J}}{50\mathrm{\% }}=8.4\times 10^{5}\mathrm{J}$普通煤炉至少燃烧煤的质量为$m=\dfrac{Q_{\mathrm{放}}}{q}=\dfrac{8.4\times 10^{5}\mathrm{J}}{3\times 10^{7}\mathrm{J}/\mathrm{kg}}=0.028\mathrm{kg}$（3）由题可知，双加热煤炉还可额外把炉壁间1kg水从20℃加热至40℃，则炉壁间水吸收的热量为$Q_{\mathrm{吸}}'=c_{\mathrm{水}}m'\Delta t'=4.2\times 10^{3}\mathrm{J}/(\mathrm{kg}\cdot \mathrm{\text{℃}})\times 1\mathrm{kg}\times (40\mathrm{\text{℃}}-20\mathrm{\text{℃}})=8.4\times 10^{4}\mathrm{J}$而壶内水的初温、末温以及质量均不变，则壶内水吸收热量不变，所以，双加热煤炉中水吸收的总热量为$Q_{\mathrm{吸总}}=Q_{\mathrm{吸}}+Q_{\mathrm{吸}}'=4.2\times 10^{5}\mathrm{J}+8.4\times 10^{4}\mathrm{J}=5.04\times 10^{5}\mathrm{J}$由题意可知，双加热煤炉与普通煤炉消耗煤的质量相等，则这些煤完全燃烧放出的热量不变，所以，双加热煤炉的烧水效率为$\eta _{2}=\dfrac{Q_{\mathrm{吸总}}}{Q_{\mathrm{放}}}=\dfrac{5.04\times 10^{5}\mathrm{J}}{8.4\times 10^{5}\mathrm{J}}\times 100\mathrm{\% }=60\mathrm{\% }$答：（1）把壶内水烧开，水需要吸收的热量Q吸为$4.2\times 10^{5}\mathrm{J}$；（2）普通煤炉至少燃烧煤的质量m煤为0.028kg；（3）此双加热煤炉的烧水效率$\eta _{2}$为60%。</x:v>
      </x:c>
      <x:c r="N831" s="63" t="str">
        <x:v>https://k12static.xdf.cn/k12/image/externalized/464f9bae-f393-4da5-b35c-ddf3594279fc.png</x:v>
      </x:c>
      <x:c r="O831" s="63" t="str">
        <x:v>https://k12static.xdf.cn/k12/image/externalized/d95bc2a0-222e-4468-bdd4-4c1903e34060.png</x:v>
      </x:c>
      <x:c r="P831" s="63" t="str">
        <x:v>3-5步</x:v>
      </x:c>
      <x:c r="Q831" s="63" t="str">
        <x:v>热学综合</x:v>
      </x:c>
      <x:c r="R831" s="63" t="str">
        <x:v>单状态</x:v>
      </x:c>
      <x:c r="S831" s="63" t="str">
        <x:v>单一约束</x:v>
      </x:c>
      <x:c r="T831" s="63" t="str">
        <x:v>无</x:v>
      </x:c>
      <x:c r="U831" s="63" t="str">
        <x:v>无</x:v>
      </x:c>
      <x:c r="V831" s="63" t="str">
        <x:v>多层因果推理</x:v>
      </x:c>
    </x:row>
    <x:row r="832">
      <x:c r="A832" s="64" t="str">
        <x:v>​2776242701248610304</x:v>
      </x:c>
      <x:c r="B832" s="65" t="str">
        <x:v>中等题</x:v>
      </x:c>
      <x:c r="C832" s="65" t="str">
        <x:v>中等题</x:v>
      </x:c>
      <x:c r="D832" s="65" t="str">
        <x:v>中等题</x:v>
      </x:c>
      <x:c r="E832" s="65" t="str">
        <x:v>保留原GPT裁定</x:v>
      </x:c>
      <x:c r="F832" s="65" t="str">
        <x:v>高</x:v>
      </x:c>
      <x:c r="G832" s="65" t="str">
        <x:v>中等题</x:v>
      </x:c>
      <x:c r="H832" s="65" t="str">
        <x:v>中等题</x:v>
      </x:c>
      <x:c r="I832" s="65" t="str">
        <x:v>题干、解析与结构证据支持中等题：step=1-2步，题型=实验探究，状态=单状态，约束=无约束，推理=多层因果推理。教师、盲评和多次模型证据中未形成足以推翻原裁定的同向结构证据。</x:v>
      </x:c>
      <x:c r="J832" s="65" t="str">
        <x:v>未进入三次错题并集；逐题结构一致性复核</x:v>
      </x:c>
      <x:c r="K832" s="63" t="str">
        <x:v>如图所示，是小明在“探究平面镜成像的特点”的实验装置，其中A为蜡烛，B为蜡烛在平面镜中所成的像。（1）实验应将代替平面镜的玻璃板 放置在水平桌面上；（2）小明将蜡烛逐渐远离玻璃板时，则它的像 （选填“远离”或“靠近”）玻璃板，像的大小 （填“变大”、“变小”或“不变”）；（3）观察A蜡烛的像时，会发现两个几乎重叠的像，原因是 ，这两个像的间距为 。</x:v>
      </x:c>
      <x:c r="L832" s="63" t="str"/>
      <x:c r="M832" s="63" t="str">
        <x:v>（1）[1]实验时玻璃板如果与水平桌面不垂直，不论怎样移动后面的蜡烛都不可能与前面蜡烛的像完全重合，就无法验证像的位置和大小，所以玻璃板应垂直放置。（2）[2][3]将蜡烛逐渐远离玻璃板时，蜡烛大小不变，根据物像大小相等，所以蜡烛像的大小不变；物像到平面镜距离相等，所以蜡烛远离平面镜，蜡烛像也远离平面镜。（3）[4][5]平板玻璃有两个面，并且都会将蜡烛的像反射回来，这时便会有两个重叠的像，所以是由平板玻璃的两个反射面成像；这两个像的间距为平板玻璃厚度的2倍。</x:v>
      </x:c>
      <x:c r="N832" s="63" t="str">
        <x:v>https://k12static.xdf.cn/k12/image/externalized/a9833cb0-5ddc-4405-9e09-fa793168d42d.png</x:v>
      </x:c>
      <x:c r="O832" s="63" t="str">
        <x:v>https://k12static.xdf.cn/k12/image/externalized/1bc2dc74-517b-4f1f-9b5f-9015067889a0.png</x:v>
      </x:c>
      <x:c r="P832" s="63" t="str">
        <x:v>1-2步</x:v>
      </x:c>
      <x:c r="Q832" s="63" t="str">
        <x:v>实验探究</x:v>
      </x:c>
      <x:c r="R832" s="63" t="str">
        <x:v>单状态</x:v>
      </x:c>
      <x:c r="S832" s="63" t="str">
        <x:v>无约束</x:v>
      </x:c>
      <x:c r="T832" s="63" t="str">
        <x:v>控制变量或故障分析</x:v>
      </x:c>
      <x:c r="U832" s="63" t="str">
        <x:v>无</x:v>
      </x:c>
      <x:c r="V832" s="63" t="str">
        <x:v>多层因果推理</x:v>
      </x:c>
    </x:row>
    <x:row r="833">
      <x:c r="A833" s="64" t="str">
        <x:v>​2776362121857699840</x:v>
      </x:c>
      <x:c r="B833" s="65" t="str">
        <x:v>基础题</x:v>
      </x:c>
      <x:c r="C833" s="65" t="str">
        <x:v>基础题</x:v>
      </x:c>
      <x:c r="D833" s="65" t="str">
        <x:v>基础题</x:v>
      </x:c>
      <x:c r="E833" s="65" t="str">
        <x:v>保留原GPT裁定</x:v>
      </x:c>
      <x:c r="F833" s="65" t="str">
        <x:v>高</x:v>
      </x:c>
      <x:c r="G833" s="65" t="str">
        <x:v>基础题</x:v>
      </x:c>
      <x:c r="H833" s="65" t="str">
        <x:v>基础题</x:v>
      </x:c>
      <x:c r="I833" s="65" t="str">
        <x:v>题干、解析与结构证据支持基础题：step=1-2步，题型=概念判断，状态=单状态，约束=无约束，推理=简单因果推理。教师、盲评和多次模型证据中未形成足以推翻原裁定的同向结构证据。</x:v>
      </x:c>
      <x:c r="J833" s="65" t="str">
        <x:v>未进入三次错题并集；逐题结构一致性复核</x:v>
      </x:c>
      <x:c r="K833" s="63" t="str">
        <x:v>关于声音的产生，下列说法错误的是（ ）</x:v>
      </x:c>
      <x:c r="L833" s="63" t="str">
        <x:v>A. 物体在真空中无法发声 B. 有声音产生，就一定有物体在振动 C. 振动停止后，物体停止发声 D. 物体振动，一定发声</x:v>
      </x:c>
      <x:c r="M833" s="63" t="str">
        <x:v>A．物体在真空也可以振动，可以发声，但不能传播，故A错误，符合题意；B．声音是由物体振动产生的，一切发声的物体都在振动，所以有声音产生，就一定有物体在振动，故B正确，不符合题意；C．振动停止发声也就停止，故C正确，不符合题意；D．只要物体振动，就能够发声，但人耳不一定能听到，故D正确，不符合题意。故选A。</x:v>
      </x:c>
      <x:c r="N833" s="63" t="str">
        <x:v>https://k12static.xdf.cn/k12/image/externalized/0306fccf-3c18-4a1a-9d5e-feb0d2fc0106.png</x:v>
      </x:c>
      <x:c r="O833" s="63" t="str">
        <x:v>https://k12static.xdf.cn/k12/image/externalized/80f9dae7-f9de-4a65-a857-0a85380f52eb.png</x:v>
      </x:c>
      <x:c r="P833" s="63" t="str">
        <x:v>1-2步</x:v>
      </x:c>
      <x:c r="Q833" s="63" t="str">
        <x:v>概念判断</x:v>
      </x:c>
      <x:c r="R833" s="63" t="str">
        <x:v>单状态</x:v>
      </x:c>
      <x:c r="S833" s="63" t="str">
        <x:v>无约束</x:v>
      </x:c>
      <x:c r="T833" s="63" t="str">
        <x:v>无</x:v>
      </x:c>
      <x:c r="U833" s="63" t="str">
        <x:v>无</x:v>
      </x:c>
      <x:c r="V833" s="63" t="str">
        <x:v>简单因果推理</x:v>
      </x:c>
    </x:row>
    <x:row r="834">
      <x:c r="A834" s="64" t="str">
        <x:v>​2780857248222351360</x:v>
      </x:c>
      <x:c r="B834" s="65" t="str">
        <x:v>中等题</x:v>
      </x:c>
      <x:c r="C834" s="65" t="str">
        <x:v>中等题</x:v>
      </x:c>
      <x:c r="D834" s="65" t="str">
        <x:v>中等题</x:v>
      </x:c>
      <x:c r="E834" s="65" t="str">
        <x:v>保留原GPT裁定</x:v>
      </x:c>
      <x:c r="F834" s="65" t="str">
        <x:v>高</x:v>
      </x:c>
      <x:c r="G834" s="65" t="str">
        <x:v>中等题</x:v>
      </x:c>
      <x:c r="H834" s="65" t="str">
        <x:v>中等题</x:v>
      </x:c>
      <x:c r="I834" s="65" t="str">
        <x:v>题干、解析与结构证据支持中等题：step=3-5步，题型=概念判断，状态=多状态，约束=无约束，推理=多层因果推理。教师、盲评和多次模型证据中未形成足以推翻原裁定的同向结构证据。</x:v>
      </x:c>
      <x:c r="J834" s="65" t="str">
        <x:v>未进入三次错题并集；逐题结构一致性复核</x:v>
      </x:c>
      <x:c r="K834" s="63" t="str">
        <x:v>如图所示，重为G的小球在A点由静止开始释放，向右侧摆动。B点是小球摆动的最低点，C点是小球摆到右侧的最高点，且A、C两点到B点的竖直距离hA&gt;hC，下列说法正确的是（ ）</x:v>
      </x:c>
      <x:c r="L834" s="63" t="str">
        <x:v>A. 摆动过程中，小球的机械能总量减小 B. 若小球摆动到C点时绳子突然断裂，小球将保持静止状态 C. 若小球摆动经B点时，外力全部消失，小球将沿水平方向做匀速直线运动 D. 小球最终会停在B点，整个过程中克服摩擦力做功为GhA</x:v>
      </x:c>
      <x:c r="M834" s="63" t="str">
        <x:v>A．摆动过程中，要克服阻力做功，小球的机械能总量减小，故A正确；B．若小球摆动到C点时绳子突然断裂，小球在重力的作用下将向下运动，故B错误；C．若小球摆动经B点时，小球的速度沿水平方向，外力全部消失，小球将沿水平方向做匀速直线运动，故C正确；D．小球静止时，受力平衡，此时受到重力、拉力作用，此时拉力方向与重力方向相反，重力方向竖直向下，拉力方向竖直向上，因此小球最终会停在B点，整个过程中小球克服摩擦力做功，将机械能转化为内能，小球克服摩擦力做的功为GhA，故D正确。故选ACD。</x:v>
      </x:c>
      <x:c r="N834" s="63" t="str">
        <x:v>https://k12static.xdf.cn/k12/image/externalized/bcb1a914-2877-4064-ae2a-77a7186ee794.png</x:v>
      </x:c>
      <x:c r="O834" s="63" t="str">
        <x:v>https://k12static.xdf.cn/k12/image/externalized/0b09115b-f8fc-437e-b75b-0b0982cfaf93.png</x:v>
      </x:c>
      <x:c r="P834" s="63" t="str">
        <x:v>3-5步</x:v>
      </x:c>
      <x:c r="Q834" s="63" t="str">
        <x:v>概念判断</x:v>
      </x:c>
      <x:c r="R834" s="63" t="str">
        <x:v>多状态</x:v>
      </x:c>
      <x:c r="S834" s="63" t="str">
        <x:v>无约束</x:v>
      </x:c>
      <x:c r="T834" s="63" t="str">
        <x:v>无</x:v>
      </x:c>
      <x:c r="U834" s="63" t="str">
        <x:v>无</x:v>
      </x:c>
      <x:c r="V834" s="63" t="str">
        <x:v>多层因果推理</x:v>
      </x:c>
    </x:row>
    <x:row r="835">
      <x:c r="A835" s="64" t="str">
        <x:v>​2790316962497482752</x:v>
      </x:c>
      <x:c r="B835" s="65" t="str">
        <x:v>中等题</x:v>
      </x:c>
      <x:c r="C835" s="65" t="str">
        <x:v>中等题</x:v>
      </x:c>
      <x:c r="D835" s="65" t="str">
        <x:v>中等题</x:v>
      </x:c>
      <x:c r="E835" s="65" t="str">
        <x:v>保留原GPT裁定</x:v>
      </x:c>
      <x:c r="F835" s="65" t="str">
        <x:v>高</x:v>
      </x:c>
      <x:c r="G835" s="65" t="str">
        <x:v>中等题</x:v>
      </x:c>
      <x:c r="H835" s="65" t="str">
        <x:v>中等题</x:v>
      </x:c>
      <x:c r="I835" s="65" t="str">
        <x:v>题干、解析与结构证据支持中等题：step=3-5步，题型=概念判断，状态=单状态，约束=无约束，推理=多层因果推理。教师、盲评和多次模型证据中未形成足以推翻原裁定的同向结构证据。</x:v>
      </x:c>
      <x:c r="J835" s="65" t="str">
        <x:v>未进入三次错题并集；逐题结构一致性复核</x:v>
      </x:c>
      <x:c r="K835" s="63" t="str">
        <x:v>小如用如图装置“探究电流通过导体时产生热量的多少跟什么因素有关”的实验中，两个相同透明容器中分别接入了电阻丝R1和R2且密封着等量的空气，并与装有相同液体的U形管相连通，电阻丝R3与图中电阻丝R2并联置于容器外，将导线a和b接入电路进行实验，下列说法错误的是（ ）</x:v>
      </x:c>
      <x:c r="L835" s="63" t="str">
        <x:v>A. 实验时U形管中液面高度没有变化，一定是电路中某处断路 B. 该装置可以探究电流通过导体产生的热量与通电时间的关系 C. 若R1和R2的阻值相等，则可以探究电流通过导体产生的热量与电流的关系 D. 若要探究电流通过导体产生的热量与电阻的关系，则可去掉R3，使R1和R2电阻不同</x:v>
      </x:c>
      <x:c r="M835" s="63" t="str">
        <x:v>解：A、实验时若U形管中液面的高度没有变化，可能是电路中某处断路，也可能是U形管密封不严，有漏气的现象，故A错误。 B、该装置通电时间改变，观察一个电阻丝，电流和电阻不变，改变时间，故可以探究电流通过导体产生的热量与通电时间的关系，故B正确； C、若R1和R2阻值相等，由于并联分流，使得通过容器内的两个电阻的电流不同，所以能探究电流通过导体产生的热量与电流的关系，故C正确； D、若要探究电流通过导体产生的热量与电阻的关系，必须控制电流相等，故二者串联，则可去掉R3，使得电流相等，同时使R1和R2电阻不同，故D正确。 故选：A。</x:v>
      </x:c>
      <x:c r="N835" s="63" t="str">
        <x:v>https://k12static.xdf.cn/k12/image/externalized/adfe1452-5ee4-45da-87bf-06b6a0b2e34c.png</x:v>
      </x:c>
      <x:c r="O835" s="63" t="str">
        <x:v>https://k12static.xdf.cn/k12/image/externalized/9ca0e411-ca83-48de-9211-718966ac15d1.png</x:v>
      </x:c>
      <x:c r="P835" s="63" t="str">
        <x:v>3-5步</x:v>
      </x:c>
      <x:c r="Q835" s="63" t="str">
        <x:v>概念判断</x:v>
      </x:c>
      <x:c r="R835" s="63" t="str">
        <x:v>单状态</x:v>
      </x:c>
      <x:c r="S835" s="63" t="str">
        <x:v>无约束</x:v>
      </x:c>
      <x:c r="T835" s="63" t="str">
        <x:v>控制变量或故障分析</x:v>
      </x:c>
      <x:c r="U835" s="63" t="str">
        <x:v>无</x:v>
      </x:c>
      <x:c r="V835" s="63" t="str">
        <x:v>多层因果推理</x:v>
      </x:c>
    </x:row>
    <x:row r="836">
      <x:c r="A836" s="64" t="str">
        <x:v>​2790494158151520256</x:v>
      </x:c>
      <x:c r="B836" s="65" t="str">
        <x:v>基础题</x:v>
      </x:c>
      <x:c r="C836" s="65" t="str">
        <x:v>基础题</x:v>
      </x:c>
      <x:c r="D836" s="65" t="str">
        <x:v>基础题</x:v>
      </x:c>
      <x:c r="E836" s="65" t="str">
        <x:v>保留原GPT裁定</x:v>
      </x:c>
      <x:c r="F836" s="65" t="str">
        <x:v>高</x:v>
      </x:c>
      <x:c r="G836" s="65" t="str">
        <x:v>基础题</x:v>
      </x:c>
      <x:c r="H836" s="65" t="str">
        <x:v>基础题</x:v>
      </x:c>
      <x:c r="I836" s="65" t="str">
        <x:v>题干、解析与结构证据支持基础题：step=1-2步，题型=图像表格分析，状态=单状态，约束=无约束，推理=简单因果推理。教师、盲评和多次模型证据中未形成足以推翻原裁定的同向结构证据。</x:v>
      </x:c>
      <x:c r="J836" s="65" t="str">
        <x:v>未进入三次错题并集；逐题结构一致性复核</x:v>
      </x:c>
      <x:c r="K836" s="63" t="str">
        <x:v>如图所示为甲、乙两种物质的m-V图像，从图像上可知（ ）</x:v>
      </x:c>
      <x:c r="L836" s="63" t="str">
        <x:v>A. 质量相同的情况下，甲的体积更大 B. 物质质量与体积的比值是个定值 C. 甲的密度小于乙的密度 D. 同种物质，质量与体积成正比</x:v>
      </x:c>
      <x:c r="M836" s="63" t="str">
        <x:v>解：A、由图象可知，当质量相同时，乙的体积大，故A错误； BD、由图象可知，同种物质，质量与体积成正比，比值是个定值；故B错误，D正确； C、由图象可知，当体积相同时，甲的质量大；所以甲的密度大；故C错误。 故选：D。</x:v>
      </x:c>
      <x:c r="N836" s="63" t="str">
        <x:v>https://k12static.xdf.cn/k12/image/externalized/5f89d1d5-01b3-47b8-8c5c-e094c4d18205.png</x:v>
      </x:c>
      <x:c r="O836" s="63" t="str">
        <x:v>https://k12static.xdf.cn/k12/image/externalized/c7fb79f7-e558-4e7a-aed1-95faf2c001a3.png</x:v>
      </x:c>
      <x:c r="P836" s="63" t="str">
        <x:v>1-2步</x:v>
      </x:c>
      <x:c r="Q836" s="63" t="str">
        <x:v>图像表格分析</x:v>
      </x:c>
      <x:c r="R836" s="63" t="str">
        <x:v>单状态</x:v>
      </x:c>
      <x:c r="S836" s="63" t="str">
        <x:v>无约束</x:v>
      </x:c>
      <x:c r="T836" s="63" t="str">
        <x:v>无</x:v>
      </x:c>
      <x:c r="U836" s="63" t="str">
        <x:v>直接读数</x:v>
      </x:c>
      <x:c r="V836" s="63" t="str">
        <x:v>简单因果推理</x:v>
      </x:c>
    </x:row>
    <x:row r="837">
      <x:c r="A837" s="64" t="str">
        <x:v>​2792198412246482944</x:v>
      </x:c>
      <x:c r="B837" s="65" t="str">
        <x:v>送分题</x:v>
      </x:c>
      <x:c r="C837" s="65" t="str">
        <x:v>送分题</x:v>
      </x:c>
      <x:c r="D837" s="65" t="str">
        <x:v>送分题</x:v>
      </x:c>
      <x:c r="E837" s="65" t="str">
        <x:v>保留原GPT裁定</x:v>
      </x:c>
      <x:c r="F837" s="65" t="str">
        <x:v>高</x:v>
      </x:c>
      <x:c r="G837" s="65" t="str">
        <x:v>送分题</x:v>
      </x:c>
      <x:c r="H837" s="65" t="str">
        <x:v>送分题</x:v>
      </x:c>
      <x:c r="I837" s="65" t="str">
        <x:v>题干、解析与结构证据支持送分题：step=1-2步，题型=概念判断，状态=单状态，约束=无约束，推理=直接套用。教师、盲评和多次模型证据中未形成足以推翻原裁定的同向结构证据。</x:v>
      </x:c>
      <x:c r="J837" s="65" t="str">
        <x:v>未进入三次错题并集；逐题结构一致性复核</x:v>
      </x:c>
      <x:c r="K837" s="63" t="str">
        <x:v>下列物体中，质量最接近5×10-2千克的是（ ）</x:v>
      </x:c>
      <x:c r="L837" s="63" t="str">
        <x:v>A. 一枚鸡蛋 B. 一位初二学生 C. 一元硬币 D. 一瓶500毫升的水</x:v>
      </x:c>
      <x:c r="M837" s="63" t="str">
        <x:v>解：5×10-2kg=50g； A、一枚鸡蛋的质量约为50g,故A正确； B、一位初二学生的质量约为50kg,故B错误； C、一元硬币的质量约为5g,故C错误； D、一瓶500毫升的水的质量约为500g,故D错误。 故选：A。</x:v>
      </x:c>
      <x:c r="N837" s="63" t="str">
        <x:v>https://k12static.xdf.cn/k12/image/externalized/e23c01a0-388e-4712-887f-b4fddef69c1d.png</x:v>
      </x:c>
      <x:c r="O837" s="63" t="str">
        <x:v>https://k12static.xdf.cn/k12/image/externalized/cae4a732-2d08-48b5-bc51-7a4fdeb7c640.png</x:v>
      </x:c>
      <x:c r="P837" s="63" t="str">
        <x:v>1-2步</x:v>
      </x:c>
      <x:c r="Q837" s="63" t="str">
        <x:v>概念判断</x:v>
      </x:c>
      <x:c r="R837" s="63" t="str">
        <x:v>单状态</x:v>
      </x:c>
      <x:c r="S837" s="63" t="str">
        <x:v>无约束</x:v>
      </x:c>
      <x:c r="T837" s="63" t="str">
        <x:v>无</x:v>
      </x:c>
      <x:c r="U837" s="63" t="str">
        <x:v>无</x:v>
      </x:c>
      <x:c r="V837" s="63" t="str">
        <x:v>直接套用</x:v>
      </x:c>
    </x:row>
    <x:row r="838">
      <x:c r="A838" s="64" t="str">
        <x:v>​2792198447995043840</x:v>
      </x:c>
      <x:c r="B838" s="65" t="str">
        <x:v>送分题</x:v>
      </x:c>
      <x:c r="C838" s="65" t="str">
        <x:v>送分题</x:v>
      </x:c>
      <x:c r="D838" s="65" t="str">
        <x:v>送分题</x:v>
      </x:c>
      <x:c r="E838" s="65" t="str">
        <x:v>保留原GPT裁定</x:v>
      </x:c>
      <x:c r="F838" s="65" t="str">
        <x:v>高</x:v>
      </x:c>
      <x:c r="G838" s="65" t="str">
        <x:v>送分题</x:v>
      </x:c>
      <x:c r="H838" s="65" t="str">
        <x:v>送分题</x:v>
      </x:c>
      <x:c r="I838" s="65" t="str">
        <x:v>题干、解析与结构证据支持送分题：step=1-2步，题型=概念判断，状态=单状态，约束=无约束，推理=直接套用。教师、盲评和多次模型证据中未形成足以推翻原裁定的同向结构证据。</x:v>
      </x:c>
      <x:c r="J838" s="65" t="str">
        <x:v>未进入三次错题并集；逐题结构一致性复核</x:v>
      </x:c>
      <x:c r="K838" s="63" t="str">
        <x:v>小嘉用橡皮擦去铅笔字迹之后，橡皮的质量（ ）</x:v>
      </x:c>
      <x:c r="L838" s="63" t="str">
        <x:v>A. 变大 B. 变小 C. 不变 D. 先变小再变大</x:v>
      </x:c>
      <x:c r="M838" s="63" t="str">
        <x:v>解：物体所含物质的多少叫质量，小嘉用橡皮擦去铅笔字迹之后，橡皮的质量变小，故B符合题意，ACD不符合题意。 故选：B。</x:v>
      </x:c>
      <x:c r="N838" s="63" t="str">
        <x:v>https://k12static.xdf.cn/k12/image/externalized/fca1eb6e-974e-4add-80c5-0f3328d6bc6a.png</x:v>
      </x:c>
      <x:c r="O838" s="63" t="str">
        <x:v>https://k12static.xdf.cn/k12/image/externalized/b0170f2f-efb6-4fef-bf71-13cbe3dc3152.png</x:v>
      </x:c>
      <x:c r="P838" s="63" t="str">
        <x:v>1-2步</x:v>
      </x:c>
      <x:c r="Q838" s="63" t="str">
        <x:v>概念判断</x:v>
      </x:c>
      <x:c r="R838" s="63" t="str">
        <x:v>单状态</x:v>
      </x:c>
      <x:c r="S838" s="63" t="str">
        <x:v>无约束</x:v>
      </x:c>
      <x:c r="T838" s="63" t="str">
        <x:v>无</x:v>
      </x:c>
      <x:c r="U838" s="63" t="str">
        <x:v>无</x:v>
      </x:c>
      <x:c r="V838" s="63" t="str">
        <x:v>直接套用</x:v>
      </x:c>
    </x:row>
    <x:row r="839">
      <x:c r="A839" s="64" t="str">
        <x:v>​2792401676220510208</x:v>
      </x:c>
      <x:c r="B839" s="65" t="str">
        <x:v>送分题</x:v>
      </x:c>
      <x:c r="C839" s="65" t="str">
        <x:v>送分题</x:v>
      </x:c>
      <x:c r="D839" s="65" t="str">
        <x:v>送分题</x:v>
      </x:c>
      <x:c r="E839" s="65" t="str">
        <x:v>保留原GPT裁定</x:v>
      </x:c>
      <x:c r="F839" s="65" t="str">
        <x:v>高</x:v>
      </x:c>
      <x:c r="G839" s="65" t="str">
        <x:v>送分题</x:v>
      </x:c>
      <x:c r="H839" s="65" t="str">
        <x:v>送分题</x:v>
      </x:c>
      <x:c r="I839" s="65" t="str">
        <x:v>题干、解析与结构证据支持送分题：step=1-2步，题型=概念判断，状态=单状态，约束=无约束，推理=直接套用。教师、盲评和多次模型证据中未形成足以推翻原裁定的同向结构证据。</x:v>
      </x:c>
      <x:c r="J839" s="65" t="str">
        <x:v>未进入三次错题并集；逐题结构一致性复核</x:v>
      </x:c>
      <x:c r="K839" s="63" t="str">
        <x:v>以下估测中最接近事实的是（ ）</x:v>
      </x:c>
      <x:c r="L839" s="63" t="str">
        <x:v>A. 一张课桌桌面的宽度是5m B. 小嘉的质量约50kg C. 人步行的速度是10m/s D. 一支铅笔的直径为8cm</x:v>
      </x:c>
      <x:c r="M839" s="63" t="str">
        <x:v>解：A、一张课桌桌面的宽度约0.5m,故A错误； B、中学生的质量可能为50kg,故B正确； C、人步行的速度约1.1m/s,故C错误； D、一支铅笔的直径约为8mm=0.8cm,故D错误。 故选：B。</x:v>
      </x:c>
      <x:c r="N839" s="63" t="str">
        <x:v>https://k12static.xdf.cn/k12/image/externalized/64de930b-7e18-4ed7-8500-e88f32efe602.png</x:v>
      </x:c>
      <x:c r="O839" s="63" t="str">
        <x:v>https://k12static.xdf.cn/k12/image/externalized/2f300040-c025-4d3c-9eaf-62496022a2f5.png</x:v>
      </x:c>
      <x:c r="P839" s="63" t="str">
        <x:v>1-2步</x:v>
      </x:c>
      <x:c r="Q839" s="63" t="str">
        <x:v>概念判断</x:v>
      </x:c>
      <x:c r="R839" s="63" t="str">
        <x:v>单状态</x:v>
      </x:c>
      <x:c r="S839" s="63" t="str">
        <x:v>无约束</x:v>
      </x:c>
      <x:c r="T839" s="63" t="str">
        <x:v>无</x:v>
      </x:c>
      <x:c r="U839" s="63" t="str">
        <x:v>无</x:v>
      </x:c>
      <x:c r="V839" s="63" t="str">
        <x:v>直接套用</x:v>
      </x:c>
    </x:row>
    <x:row r="840">
      <x:c r="A840" s="64" t="str">
        <x:v>​2799289765416701952</x:v>
      </x:c>
      <x:c r="B840" s="65" t="str">
        <x:v>中等题</x:v>
      </x:c>
      <x:c r="C840" s="65" t="str">
        <x:v>中等题</x:v>
      </x:c>
      <x:c r="D840" s="65" t="str">
        <x:v>中等题</x:v>
      </x:c>
      <x:c r="E840" s="65" t="str">
        <x:v>逐题复核后保留GPT裁定</x:v>
      </x:c>
      <x:c r="F840" s="65" t="str">
        <x:v>高</x:v>
      </x:c>
      <x:c r="G840" s="65" t="str">
        <x:v>中等题</x:v>
      </x:c>
      <x:c r="H840" s="65" t="str">
        <x:v>中等题</x:v>
      </x:c>
      <x:c r="I840" s="65" t="str">
        <x:v>存在约3—4步常规连续分析、共享过程或完整标准实验任务，关系仍显性。 题目证据：最高难选项D实际有效推理3步：第一步根据闪烁参数计算消耗电能，第二步单位换算，第三步代入功率公式计算电功率，五维锚定知识量2-3个关联知识点，过程为单对象单应用，数学工具为多步常规计算，情境为常见生活场景，思维层次为常规分析，符合中等题特征。四个选项分别调用不同知识点，需要逐项完成独立分析判断。</x:v>
      </x:c>
      <x:c r="J840" s="65" t="str">
        <x:v>三次运行错题并集逐题复核</x:v>
      </x:c>
      <x:c r="K840" s="63" t="str">
        <x:v>如图所示分别是小明家上月初和月末的电能表的表盘，表盘上“1600imp/（kW•h）”表示每消耗1kW•h的电能，指示灯闪烁1600次，下列选项正确的是（ ）</x:v>
      </x:c>
      <x:c r="L840" s="63" t="str">
        <x:v>A. 指示灯闪烁越慢，电能表所在电路消耗的电能越少 B. 小明家上月消耗的电能为911kW•h C. 10（20）A表示该电能表在10-20A的电路中使用 D. 断开其他用电器，只让电饭锅单独工作2min,指示灯闪烁32次，此时电饭锅的功率为600W</x:v>
      </x:c>
      <x:c r="M840" s="63" t="str">
        <x:v>解：A、指示灯闪烁越慢，表示接入电路的用电器的功率越小，故A错误； B、小明家上月消耗的电能为：W=5637.8kW•h-5546.7kW•h=91.1kW•h,故B错误； C、10A表示电能表的标定电流，20A表示电能表的额定最大电流，故C错误； D、断开其它用电器，只让电饭锅单独工作2min,指示灯闪烁32次，此时电饭锅消耗的电能为： $W=\frac{1kW\bullet h}{1600imp}×32imp=0.02kW\bullet h$ 此时电饭锅的功率为：$P=\frac{W}{t}=\frac{0.02kW\bullet h}{\frac{2}{60}h}=0.6kW=600W$，故D正确。 故选：D。</x:v>
      </x:c>
      <x:c r="N840" s="63" t="str">
        <x:v>https://k12static.xdf.cn/k12/image/externalized/5c695e33-d23d-4225-a0e7-7feaa754e4a1.png</x:v>
      </x:c>
      <x:c r="O840" s="63" t="str">
        <x:v>https://k12static.xdf.cn/k12/image/externalized/21696784-58a0-4114-bae4-81f938d51714.png</x:v>
      </x:c>
      <x:c r="P840" s="63" t="str">
        <x:v>1-2步</x:v>
      </x:c>
      <x:c r="Q840" s="63" t="str">
        <x:v>概念判断</x:v>
      </x:c>
      <x:c r="R840" s="63" t="str">
        <x:v>单状态</x:v>
      </x:c>
      <x:c r="S840" s="63" t="str">
        <x:v>无约束</x:v>
      </x:c>
      <x:c r="T840" s="63" t="str">
        <x:v>无</x:v>
      </x:c>
      <x:c r="U840" s="63" t="str">
        <x:v>直接读数</x:v>
      </x:c>
      <x:c r="V840" s="63" t="str">
        <x:v>简单因果推理</x:v>
      </x:c>
    </x:row>
    <x:row r="841">
      <x:c r="A841" s="64" t="str">
        <x:v>​2801176680798371840</x:v>
      </x:c>
      <x:c r="B841" s="65" t="str">
        <x:v>基础题</x:v>
      </x:c>
      <x:c r="C841" s="65" t="str">
        <x:v>基础题</x:v>
      </x:c>
      <x:c r="D841" s="65" t="str">
        <x:v>基础题</x:v>
      </x:c>
      <x:c r="E841" s="65" t="str">
        <x:v>保留原GPT裁定</x:v>
      </x:c>
      <x:c r="F841" s="65" t="str">
        <x:v>高</x:v>
      </x:c>
      <x:c r="G841" s="65" t="str">
        <x:v>基础题</x:v>
      </x:c>
      <x:c r="H841" s="65" t="str">
        <x:v>基础题</x:v>
      </x:c>
      <x:c r="I841" s="65" t="str">
        <x:v>题干、解析与结构证据支持基础题：step=1-2步，题型=概念判断，状态=单状态，约束=无约束，推理=简单因果推理。教师、盲评和多次模型证据中未形成足以推翻原裁定的同向结构证据。</x:v>
      </x:c>
      <x:c r="J841" s="65" t="str">
        <x:v>未进入三次错题并集；逐题结构一致性复核</x:v>
      </x:c>
      <x:c r="K841" s="63" t="str">
        <x:v>京沪铁路连接北京和上海，是中国最繁忙的铁路之一，如图是秦淮区中华门的一段铁轨，枕木下方铺有大量碎石子，可以减震，从而有效减弱火车行驶过程中的噪声。下列与其控制噪声方法相同的是（ ）</x:v>
      </x:c>
      <x:c r="L841" s="63" t="str">
        <x:v>A. 学校附近禁止鸣笛 B. 工厂里工人戴的防噪声耳罩 C. 高速公路旁的隔音板 D. 路边的噪声监测仪</x:v>
      </x:c>
      <x:c r="M841" s="63" t="str">
        <x:v>解：枕木下方铺有大量碎石子，可以减震，属于在声源处减弱噪声； A．学校附近禁止鸣笛，属于在声源处减弱噪声，故A正确； B．工厂里工人戴的防噪声耳罩，属于在人耳处减弱噪声，故B错误； C．高速公路旁的隔音板，属于在传播过程中减弱噪声，故C错误； D．路边的噪声监测仪，只能减弱噪声响度的大小，不能减弱噪声，故D错误。 故选：A。</x:v>
      </x:c>
      <x:c r="N841" s="63" t="str">
        <x:v>https://k12static.xdf.cn/k12/image/externalized/5f1cdba0-1ef4-40f0-886c-499fe3fd429c.png</x:v>
      </x:c>
      <x:c r="O841" s="63" t="str">
        <x:v>https://k12static.xdf.cn/k12/image/externalized/596dc3a4-55a4-4355-a2b8-c2241a73c2e3.png</x:v>
      </x:c>
      <x:c r="P841" s="63" t="str">
        <x:v>1-2步</x:v>
      </x:c>
      <x:c r="Q841" s="63" t="str">
        <x:v>概念判断</x:v>
      </x:c>
      <x:c r="R841" s="63" t="str">
        <x:v>单状态</x:v>
      </x:c>
      <x:c r="S841" s="63" t="str">
        <x:v>无约束</x:v>
      </x:c>
      <x:c r="T841" s="63" t="str">
        <x:v>无</x:v>
      </x:c>
      <x:c r="U841" s="63" t="str">
        <x:v>无</x:v>
      </x:c>
      <x:c r="V841" s="63" t="str">
        <x:v>简单因果推理</x:v>
      </x:c>
    </x:row>
    <x:row r="842">
      <x:c r="A842" s="64" t="str">
        <x:v>​2804003948029558784</x:v>
      </x:c>
      <x:c r="B842" s="65" t="str">
        <x:v>基础题</x:v>
      </x:c>
      <x:c r="C842" s="65" t="str">
        <x:v>基础题</x:v>
      </x:c>
      <x:c r="D842" s="65" t="str">
        <x:v>基础题</x:v>
      </x:c>
      <x:c r="E842" s="65" t="str">
        <x:v>保留原GPT裁定</x:v>
      </x:c>
      <x:c r="F842" s="65" t="str">
        <x:v>高</x:v>
      </x:c>
      <x:c r="G842" s="65" t="str">
        <x:v>基础题</x:v>
      </x:c>
      <x:c r="H842" s="65" t="str">
        <x:v>基础题</x:v>
      </x:c>
      <x:c r="I842" s="65" t="str">
        <x:v>题干、解析与结构证据支持基础题：step=1-2步，题型=概念判断，状态=单状态，约束=无约束，推理=简单因果推理。教师、盲评和多次模型证据中未形成足以推翻原裁定的同向结构证据。</x:v>
      </x:c>
      <x:c r="J842" s="65" t="str">
        <x:v>未进入三次错题并集；逐题结构一致性复核</x:v>
      </x:c>
      <x:c r="K842" s="63" t="str">
        <x:v>下列变化中，物体的密度不变的是（ ）</x:v>
      </x:c>
      <x:c r="L842" s="63" t="str">
        <x:v>A. 把一块木板锯下一段前后 B. 篮球中的气体在打气前后 C. 碘颗粒升华为碘蒸气前后 D. 煤油温度计中的煤油在温度升高前后</x:v>
      </x:c>
      <x:c r="M842" s="63" t="str">
        <x:v>解： A、把一块木板锯下一段前后，其物质的种类没变。同种物质，在一定状态下密度是定值，与物体的质量、体积、形状等无关，所以木板锯下一段前后的密度不变，故A正确； B、篮球中的气体在打气前后，气体的体积变化不大，但质量增加，根据密度公式$ρ=\frac{m}{V}$，m增大，v不变，所以ρ增大，故B错误； C、碘颗粒升华为碘蒸气前后，碘由固态变为气态，质量不变，但体积变大，根据密度公式$ρ=\frac{m}{V}$，m不变，v增大，所以ρ减小，故C错误； D、煤油温度计中的煤油在温度升高前后，煤油受热膨胀，质量不变，但体积变大，根据密度公式$ρ=\frac{m}{V}$，m不变，v增大，所以ρ减小，故D错误。 故选：A。</x:v>
      </x:c>
      <x:c r="N842" s="63" t="str">
        <x:v>https://k12static.xdf.cn/k12/image/externalized/03458681-598b-4551-9f77-78327058fbc6.png</x:v>
      </x:c>
      <x:c r="O842" s="63" t="str">
        <x:v>https://k12static.xdf.cn/k12/image/externalized/135b3780-0e7f-40bd-ae01-70b44816a5ec.png</x:v>
      </x:c>
      <x:c r="P842" s="63" t="str">
        <x:v>1-2步</x:v>
      </x:c>
      <x:c r="Q842" s="63" t="str">
        <x:v>概念判断</x:v>
      </x:c>
      <x:c r="R842" s="63" t="str">
        <x:v>单状态</x:v>
      </x:c>
      <x:c r="S842" s="63" t="str">
        <x:v>无约束</x:v>
      </x:c>
      <x:c r="T842" s="63" t="str">
        <x:v>无</x:v>
      </x:c>
      <x:c r="U842" s="63" t="str">
        <x:v>无</x:v>
      </x:c>
      <x:c r="V842" s="63" t="str">
        <x:v>简单因果推理</x:v>
      </x:c>
    </x:row>
    <x:row r="843">
      <x:c r="A843" s="64" t="str">
        <x:v>​2804005463500640256</x:v>
      </x:c>
      <x:c r="B843" s="65" t="str">
        <x:v>中等题</x:v>
      </x:c>
      <x:c r="C843" s="65" t="str">
        <x:v>中等题</x:v>
      </x:c>
      <x:c r="D843" s="65" t="str">
        <x:v>中等题</x:v>
      </x:c>
      <x:c r="E843" s="65" t="str">
        <x:v>保留原GPT裁定</x:v>
      </x:c>
      <x:c r="F843" s="65" t="str">
        <x:v>高</x:v>
      </x:c>
      <x:c r="G843" s="65" t="str">
        <x:v>中等题</x:v>
      </x:c>
      <x:c r="H843" s="65" t="str">
        <x:v>中等题</x:v>
      </x:c>
      <x:c r="I843" s="65" t="str">
        <x:v>题干、解析与结构证据支持中等题：step=3-5步，题型=概念判断，状态=双状态，约束=单一约束，推理=多层因果推理。教师、盲评和多次模型证据中未形成足以推翻原裁定的同向结构证据。</x:v>
      </x:c>
      <x:c r="J843" s="65" t="str">
        <x:v>未进入三次错题并集；逐题结构一致性复核</x:v>
      </x:c>
      <x:c r="K843" s="63" t="str">
        <x:v>小明将水、油、蜂蜜三种密度不同的均匀液体，按照“蜂蜜→水→油”的顺序小心翼翼地倒入杯中，模拟调制“鸡尾酒”。第一杯中，三种液体的体积相同；第二杯中，三种液体的质量相同。若两个空杯完全相同，且两杯“鸡尾酒”都刚好装满，则第一杯和第二杯“鸡尾酒”的质量m1和m2的关系是（ ）</x:v>
      </x:c>
      <x:c r="L843" s="63" t="str">
        <x:v>A. m1＞m2 B. m1=m2 C. m1＜m2 D. 无法确定</x:v>
      </x:c>
      <x:c r="M843" s="63" t="str">
        <x:v>解：由题意可知，水、油、蜂蜜三种密度不同的均匀液体，按照“蜂蜜一水一油”的顺序小心翼翼地倒入杯中，模拟调制”鸡尾酒”，第一杯中，三种液体的体积相同；第二杯中，三种液体的质量相同，若两个空杯完全相同，且两杯“鸡尾酒”都刚好装满，根据密度公式$ρ=\frac{m}{V}$，则第一杯和第二杯“鸡尾酒”的质量m1和m2的关系是m1＞m2。 故选：A。</x:v>
      </x:c>
      <x:c r="N843" s="63" t="str">
        <x:v>https://k12static.xdf.cn/k12/image/externalized/575c8a3b-19ee-486e-b744-1fe1ce11a40e.png</x:v>
      </x:c>
      <x:c r="O843" s="63" t="str">
        <x:v>https://k12static.xdf.cn/k12/image/externalized/f116d880-fe0a-4b6a-be12-1db30076273d.png</x:v>
      </x:c>
      <x:c r="P843" s="63" t="str">
        <x:v>3-5步</x:v>
      </x:c>
      <x:c r="Q843" s="63" t="str">
        <x:v>概念判断</x:v>
      </x:c>
      <x:c r="R843" s="63" t="str">
        <x:v>双状态</x:v>
      </x:c>
      <x:c r="S843" s="63" t="str">
        <x:v>单一约束</x:v>
      </x:c>
      <x:c r="T843" s="63" t="str">
        <x:v>无</x:v>
      </x:c>
      <x:c r="U843" s="63" t="str">
        <x:v>无</x:v>
      </x:c>
      <x:c r="V843" s="63" t="str">
        <x:v>多层因果推理</x:v>
      </x:c>
    </x:row>
    <x:row r="844">
      <x:c r="A844" s="64" t="str">
        <x:v>​2804244239690878976</x:v>
      </x:c>
      <x:c r="B844" s="65" t="str">
        <x:v>基础题</x:v>
      </x:c>
      <x:c r="C844" s="65" t="str">
        <x:v>基础题</x:v>
      </x:c>
      <x:c r="D844" s="65" t="str">
        <x:v>基础题</x:v>
      </x:c>
      <x:c r="E844" s="65" t="str">
        <x:v>保留原GPT裁定</x:v>
      </x:c>
      <x:c r="F844" s="65" t="str">
        <x:v>高</x:v>
      </x:c>
      <x:c r="G844" s="65" t="str">
        <x:v>基础题</x:v>
      </x:c>
      <x:c r="H844" s="65" t="str">
        <x:v>基础题</x:v>
      </x:c>
      <x:c r="I844" s="65" t="str">
        <x:v>题干、解析与结构证据支持基础题：step=1-2步，题型=概念判断，状态=单状态，约束=无约束，推理=简单因果推理。教师、盲评和多次模型证据中未形成足以推翻原裁定的同向结构证据。</x:v>
      </x:c>
      <x:c r="J844" s="65" t="str">
        <x:v>未进入三次错题并集；逐题结构一致性复核</x:v>
      </x:c>
      <x:c r="K844" s="63" t="str">
        <x:v>如图所示的家庭电路中，有两个器件链接错误，它们是（ ）</x:v>
      </x:c>
      <x:c r="L844" s="63" t="str">
        <x:v>A. 闸刀开关和带开关的灯泡 B. 带开关的灯泡和三孔插座 C. 带开关的灯泡和带熔丝的二孔插座 D. 闸刀开关和三孔插座</x:v>
      </x:c>
      <x:c r="M844" s="63" t="str">
        <x:v>解：（1）进户线进入用户，首先接入总开关，总开关的后面接入保险丝，保险丝只在火线上接一根，不是为了节省，而是为了更安全。当保险丝熔断后，家庭电路和火线断开，防止触电事故的发生。图中总开关和保险丝连接正确。 （2）开关控制灯泡时，火线首先进入开关，然后进入灯泡顶端的金属点，零线直接进入灯泡的螺旋套。开关既能控制灯泡，又能在灯泡损坏后，断开开关，切断火线，安全的更换灯泡。图中带开关的灯泡连接错误。 （3）两孔插座左孔接零线，右孔接火线。当插座上进入大功率的用电器时，还要在火线上串联一根保险丝。这样在电流过大时，能自动切断电源，起到保险作用。图中连接正确，不符合题意。 （4）三孔插座的三孔接地线，左孔接零线，右孔接火线。当金属外壳的用电器插入三孔插座时，金属外壳的用电器漏电时，接触用电器防止触电事故的发生。图中连接错误。 故错误的是带开关的灯泡和三孔插座； 故选：B。</x:v>
      </x:c>
      <x:c r="N844" s="63" t="str">
        <x:v>https://k12static.xdf.cn/k12/image/externalized/775b470d-d235-4cba-a8f6-a4b83a19c698.png</x:v>
      </x:c>
      <x:c r="O844" s="63" t="str">
        <x:v>https://k12static.xdf.cn/k12/image/externalized/5a06bb70-4f0f-4c9f-aada-6d80995a1a2d.png</x:v>
      </x:c>
      <x:c r="P844" s="63" t="str">
        <x:v>1-2步</x:v>
      </x:c>
      <x:c r="Q844" s="63" t="str">
        <x:v>概念判断</x:v>
      </x:c>
      <x:c r="R844" s="63" t="str">
        <x:v>单状态</x:v>
      </x:c>
      <x:c r="S844" s="63" t="str">
        <x:v>无约束</x:v>
      </x:c>
      <x:c r="T844" s="63" t="str">
        <x:v>无</x:v>
      </x:c>
      <x:c r="U844" s="63" t="str">
        <x:v>无</x:v>
      </x:c>
      <x:c r="V844" s="63" t="str">
        <x:v>简单因果推理</x:v>
      </x:c>
    </x:row>
    <x:row r="845">
      <x:c r="A845" s="64" t="str">
        <x:v>​2804244328814256128</x:v>
      </x:c>
      <x:c r="B845" s="65" t="str">
        <x:v>送分题</x:v>
      </x:c>
      <x:c r="C845" s="65" t="str">
        <x:v>送分题</x:v>
      </x:c>
      <x:c r="D845" s="65" t="str">
        <x:v>送分题</x:v>
      </x:c>
      <x:c r="E845" s="65" t="str">
        <x:v>保留原GPT裁定</x:v>
      </x:c>
      <x:c r="F845" s="65" t="str">
        <x:v>高</x:v>
      </x:c>
      <x:c r="G845" s="65" t="str">
        <x:v>送分题</x:v>
      </x:c>
      <x:c r="H845" s="65" t="str">
        <x:v>送分题</x:v>
      </x:c>
      <x:c r="I845" s="65" t="str">
        <x:v>题干、解析与结构证据支持送分题：step=1-2步，题型=概念判断，状态=单状态，约束=无约束，推理=直接套用。教师、盲评和多次模型证据中未形成足以推翻原裁定的同向结构证据。</x:v>
      </x:c>
      <x:c r="J845" s="65" t="str">
        <x:v>未进入三次错题并集；逐题结构一致性复核</x:v>
      </x:c>
      <x:c r="K845" s="63" t="str">
        <x:v>下列各图中，符合安全用电原则的是（ ）</x:v>
      </x:c>
      <x:c r="L845" s="63" t="str">
        <x:v>A. 电器失火时先切断电源 B. 湿衣服晾在电线上 C. 用湿布擦抹电器 D. 用电器未加接地保护</x:v>
      </x:c>
      <x:c r="M845" s="63" t="str">
        <x:v>解：A、电器失火先切断电源，符合安全用电原则。 B、湿衣服晾电线上易触电，不符合安全用电原则。 C、湿布擦电器易触电，不符合安全用电原则。 D、电器未接地线一旦漏电时会发生触电事故，不符合安全用电原则。 故选：A。</x:v>
      </x:c>
      <x:c r="N845" s="63" t="str">
        <x:v>https://k12static.xdf.cn/k12/image/externalized/e4f69d64-2498-4ef8-ad7c-768b0d218110.png</x:v>
      </x:c>
      <x:c r="O845" s="63" t="str">
        <x:v>https://k12static.xdf.cn/k12/image/externalized/16fddd15-6c64-480f-a115-fd5dc6f0df12.png</x:v>
      </x:c>
      <x:c r="P845" s="63" t="str">
        <x:v>1-2步</x:v>
      </x:c>
      <x:c r="Q845" s="63" t="str">
        <x:v>概念判断</x:v>
      </x:c>
      <x:c r="R845" s="63" t="str">
        <x:v>单状态</x:v>
      </x:c>
      <x:c r="S845" s="63" t="str">
        <x:v>无约束</x:v>
      </x:c>
      <x:c r="T845" s="63" t="str">
        <x:v>无</x:v>
      </x:c>
      <x:c r="U845" s="63" t="str">
        <x:v>无</x:v>
      </x:c>
      <x:c r="V845" s="63" t="str">
        <x:v>直接套用</x:v>
      </x:c>
    </x:row>
    <x:row r="846">
      <x:c r="A846" s="64" t="str">
        <x:v>​2804244422915010560</x:v>
      </x:c>
      <x:c r="B846" s="65" t="str">
        <x:v>基础题</x:v>
      </x:c>
      <x:c r="C846" s="65" t="str">
        <x:v>基础题</x:v>
      </x:c>
      <x:c r="D846" s="65" t="str">
        <x:v>基础题</x:v>
      </x:c>
      <x:c r="E846" s="65" t="str">
        <x:v>保留原GPT裁定</x:v>
      </x:c>
      <x:c r="F846" s="65" t="str">
        <x:v>高</x:v>
      </x:c>
      <x:c r="G846" s="65" t="str">
        <x:v>基础题</x:v>
      </x:c>
      <x:c r="H846" s="65" t="str">
        <x:v>基础题</x:v>
      </x:c>
      <x:c r="I846" s="65" t="str">
        <x:v>题干、解析与结构证据支持基础题：step=1-2步，题型=概念判断，状态=单状态，约束=无约束，推理=简单因果推理。教师、盲评和多次模型证据中未形成足以推翻原裁定的同向结构证据。</x:v>
      </x:c>
      <x:c r="J846" s="65" t="str">
        <x:v>未进入三次错题并集；逐题结构一致性复核</x:v>
      </x:c>
      <x:c r="K846" s="63" t="str">
        <x:v>随着人们生活水平的逐步提高，家用电器的不断增多，在家庭电路中，下列说法正确的是（ ）</x:v>
      </x:c>
      <x:c r="L846" s="63" t="str">
        <x:v>A. 灯与控制它的开关是并联的，与插座是串联的 B. 使用测电笔时，不能用手接触到笔尾的金属体 C. 电路中电流过大的原因之一是使用的电器总功率过大 D. 增加大功率用电器时，只需换上足够粗的保险丝即可</x:v>
      </x:c>
      <x:c r="M846" s="63" t="str">
        <x:v>解：A、说法错误，开关要控制电灯，应与电灯串联，插座与电灯是并联； B、说法错误，使用测电笔时，要用手接触到笔尾的金属体； C、说法正确，电器总功率过大是电流过大的原因之一； D、说法错误，应换上合适的保险丝，否则起不到保险作用。 故选：C。</x:v>
      </x:c>
      <x:c r="N846" s="63" t="str">
        <x:v>https://k12static.xdf.cn/k12/image/externalized/39d636a6-7494-456e-b317-027151b6c372.png</x:v>
      </x:c>
      <x:c r="O846" s="63" t="str">
        <x:v>https://k12static.xdf.cn/k12/image/externalized/aa77c172-858d-45a8-8644-1924d403eeaf.png</x:v>
      </x:c>
      <x:c r="P846" s="63" t="str">
        <x:v>1-2步</x:v>
      </x:c>
      <x:c r="Q846" s="63" t="str">
        <x:v>概念判断</x:v>
      </x:c>
      <x:c r="R846" s="63" t="str">
        <x:v>单状态</x:v>
      </x:c>
      <x:c r="S846" s="63" t="str">
        <x:v>无约束</x:v>
      </x:c>
      <x:c r="T846" s="63" t="str">
        <x:v>无</x:v>
      </x:c>
      <x:c r="U846" s="63" t="str">
        <x:v>无</x:v>
      </x:c>
      <x:c r="V846" s="63" t="str">
        <x:v>简单因果推理</x:v>
      </x:c>
    </x:row>
    <x:row r="847">
      <x:c r="A847" s="64" t="str">
        <x:v>​2809351022681600000</x:v>
      </x:c>
      <x:c r="B847" s="65" t="str">
        <x:v>中等题</x:v>
      </x:c>
      <x:c r="C847" s="65" t="str">
        <x:v>中等题</x:v>
      </x:c>
      <x:c r="D847" s="65" t="str">
        <x:v>中等题</x:v>
      </x:c>
      <x:c r="E847" s="65" t="str">
        <x:v>保留原GPT裁定</x:v>
      </x:c>
      <x:c r="F847" s="65" t="str">
        <x:v>高</x:v>
      </x:c>
      <x:c r="G847" s="65" t="str">
        <x:v>中等题</x:v>
      </x:c>
      <x:c r="H847" s="65" t="str">
        <x:v>中等题</x:v>
      </x:c>
      <x:c r="I847" s="65" t="str">
        <x:v>题干、解析与结构证据支持中等题：step=3-5步，题型=概念判断，状态=单状态，约束=无约束，推理=多层因果推理。教师、盲评和多次模型证据中未形成足以推翻原裁定的同向结构证据。</x:v>
      </x:c>
      <x:c r="J847" s="65" t="str">
        <x:v>未进入三次错题并集；逐题结构一致性复核</x:v>
      </x:c>
      <x:c r="K847" s="63" t="str">
        <x:v>如图所示是某小组探究影响电磁铁磁性强弱的因素实验电路。关于这个实验，下列说法中正确的是（ ）</x:v>
      </x:c>
      <x:c r="L847" s="63" t="str">
        <x:v>A. 闭合开关，a、b两个铁钉吸引的大头针的数量一样多 B. 此实验探究的是电流一定时，电磁铁磁性强弱与线圈匝数的关系 C. 此电路也可以探究线圈匝数一定时，电磁铁磁性强弱与电流的关系 D. 此实验应用了控制变量和转换的实验方法</x:v>
      </x:c>
      <x:c r="M847" s="63" t="str">
        <x:v>解： A、实验中a、b是形状大小相同的两个铁钉，在电流相等时，线圈的匝数越多，电磁铁的磁性越强，吸引大头针的个数越多，所以b吸引大头针的个数较多，故A错误； B、此实验中两电磁铁串联，所以可以探究的是电流一定时，电磁铁磁性强弱与线圈匝数的关系，故B正确； C、实验中可以通过滑动变阻器改变通过电磁铁的电流，所以此电路也可以探究线圈匝数一定时，电磁铁磁性强弱与电流的关系，故C正确； D、影响电磁铁磁性强弱的因素：电流的大小和线圈的匝数，探究过程运用了控制变量法，实验中同时利用转换法，通过电磁铁吸引大头针的多少来认识其磁性强弱，故D正确。 故选：BCD。</x:v>
      </x:c>
      <x:c r="N847" s="63" t="str">
        <x:v>https://k12static.xdf.cn/k12/image/externalized/55b3cf33-1ea0-4041-981a-d9539bfd66ae.png</x:v>
      </x:c>
      <x:c r="O847" s="63" t="str">
        <x:v>https://k12static.xdf.cn/k12/image/externalized/631a0226-9c24-4561-bdad-97dc02a30ac0.png</x:v>
      </x:c>
      <x:c r="P847" s="63" t="str">
        <x:v>3-5步</x:v>
      </x:c>
      <x:c r="Q847" s="63" t="str">
        <x:v>概念判断</x:v>
      </x:c>
      <x:c r="R847" s="63" t="str">
        <x:v>单状态</x:v>
      </x:c>
      <x:c r="S847" s="63" t="str">
        <x:v>无约束</x:v>
      </x:c>
      <x:c r="T847" s="63" t="str">
        <x:v>控制变量或故障分析</x:v>
      </x:c>
      <x:c r="U847" s="63" t="str">
        <x:v>无</x:v>
      </x:c>
      <x:c r="V847" s="63" t="str">
        <x:v>多层因果推理</x:v>
      </x:c>
    </x:row>
    <x:row r="848">
      <x:c r="A848" s="64" t="str">
        <x:v>​2810715360535023616</x:v>
      </x:c>
      <x:c r="B848" s="65" t="str">
        <x:v>中等题</x:v>
      </x:c>
      <x:c r="C848" s="65" t="str">
        <x:v>中等题</x:v>
      </x:c>
      <x:c r="D848" s="65" t="str">
        <x:v>中等题</x:v>
      </x:c>
      <x:c r="E848" s="65" t="str">
        <x:v>逐题复核后保留GPT裁定</x:v>
      </x:c>
      <x:c r="F848" s="65" t="str">
        <x:v>高</x:v>
      </x:c>
      <x:c r="G848" s="65" t="str">
        <x:v>中等题</x:v>
      </x:c>
      <x:c r="H848" s="65" t="str">
        <x:v>中等题</x:v>
      </x:c>
      <x:c r="I848" s="65" t="str">
        <x:v>需要围绕教材概念与常规物理关系完成常规的3—4个有效决策，或完成一套完整标准实验/共享过程分析。关系仍显性、方法常规，没有决定性隐含转换、复杂边界筛选或多状态强耦合。</x:v>
      </x:c>
      <x:c r="J848" s="65" t="str">
        <x:v>三次运行错题并集逐题复核</x:v>
      </x:c>
      <x:c r="K848" s="63" t="str">
        <x:v>1kg铁和1kg水，它们放出了相等的热量之后，把铁迅速投入水中（ ）</x:v>
      </x:c>
      <x:c r="L848" s="63" t="str">
        <x:v>A. 热量从水传给铁 B. 热量从铁传给水 C. 水和铁之间不会发生热传递 D. 条件不足，无法判断</x:v>
      </x:c>
      <x:c r="M848" s="63" t="str">
        <x:v>质量相同的铝块和水，当它们放出了相同的热量后，由$\Delta t=\dfrac{Q_{\mathrm{放}}}{cm}$可得，比热容越大，降低的温度越小；由于水的比热容大，所以水降低的温度小，但由于水和铝的初温不知道，所以无法比较水和铝的末温高低；从而无法判断把铝块投入水中后热量的传递情况；故D符合题意，ABC不符合题意。故选D。</x:v>
      </x:c>
      <x:c r="N848" s="63" t="str">
        <x:v>https://k12static.xdf.cn/k12/image/externalized/4d0e1c9e-27cb-4504-b9d1-e6037ef8f89a.png</x:v>
      </x:c>
      <x:c r="O848" s="63" t="str">
        <x:v>https://k12static.xdf.cn/k12/image/externalized/9f4145ea-47c7-4196-b6fa-dd4ea1315864.png</x:v>
      </x:c>
      <x:c r="P848" s="63" t="str">
        <x:v>1-2步</x:v>
      </x:c>
      <x:c r="Q848" s="63" t="str">
        <x:v>概念判断</x:v>
      </x:c>
      <x:c r="R848" s="63" t="str">
        <x:v>单状态</x:v>
      </x:c>
      <x:c r="S848" s="63" t="str">
        <x:v>无约束</x:v>
      </x:c>
      <x:c r="T848" s="63" t="str">
        <x:v>无</x:v>
      </x:c>
      <x:c r="U848" s="63" t="str">
        <x:v>无</x:v>
      </x:c>
      <x:c r="V848" s="63" t="str">
        <x:v>多层因果推理</x:v>
      </x:c>
    </x:row>
    <x:row r="849">
      <x:c r="A849" s="64" t="str">
        <x:v>​2810861586822582272</x:v>
      </x:c>
      <x:c r="B849" s="65" t="str">
        <x:v>中等题</x:v>
      </x:c>
      <x:c r="C849" s="65" t="str">
        <x:v>中等题</x:v>
      </x:c>
      <x:c r="D849" s="65" t="str">
        <x:v>中等题</x:v>
      </x:c>
      <x:c r="E849" s="65" t="str">
        <x:v>保留原GPT裁定</x:v>
      </x:c>
      <x:c r="F849" s="65" t="str">
        <x:v>高</x:v>
      </x:c>
      <x:c r="G849" s="65" t="str">
        <x:v>中等题</x:v>
      </x:c>
      <x:c r="H849" s="65" t="str">
        <x:v>中等题</x:v>
      </x:c>
      <x:c r="I849" s="65" t="str">
        <x:v>题干、解析与结构证据支持中等题：step=3-5步，题型=电路综合，状态=多状态，约束=单一约束，推理=多层因果推理。教师、盲评和多次模型证据中未形成足以推翻原裁定的同向结构证据。</x:v>
      </x:c>
      <x:c r="J849" s="65" t="str">
        <x:v>未进入三次错题并集；逐题结构一致性复核</x:v>
      </x:c>
      <x:c r="K849" s="63" t="str">
        <x:v>如图所示电阻R1的阻值为20Ω，电源电压不变。当S1、S2断开，S3闭合时，电流表的示数为0.45A；S1断开，S2、S3闭合时，电流表示数为0.75A，下列说法正确的是（ ）</x:v>
      </x:c>
      <x:c r="L849" s="63" t="str">
        <x:v>A. 电源电压是15V B. R2的阻值是12Ω C. S1、S2闭合，S3断开时，电流表的示数是0.35A D. S1闭合，S2、S3断开时，电流表的示数是0.18A</x:v>
      </x:c>
      <x:c r="M849" s="63" t="str">
        <x:v>解：AB．当S1、S2断开，S3闭合时，电路为R1的简单电路，电流表测通过R1的电流， 电源电压为U=I1R1=0.45A×20Ω=9V，故A错误； 当S1断开，S2、S3闭合时，两电阻并联，电流表测干路电流， 因并联电路中各支路独立工作、互不影响，所以此时通过R1的电流仍为0.45A不变， 因并联电路中干路电流等于各支路电流之和，所以通过电阻R2的电流为I2=I-I1=0.75A-0.45A=0.3A， 因并联电路中各支路两端的电压相等，所以电阻R2的阻值R2=$\frac{U}{{I}_{2}}$=$\frac{9V}{0.3A}$=30Ω，故B错误； CD．当S2、S3断开，S1闭合时，两电阻串联，电流表测电路中的电流， 因串联电路中总电阻等于各分电阻之和，所以电路中电流表的示数I′=$\frac{U}{{R}_{1}+{R}_{2}}$=$\frac{9V}{20Ω+30Ω}$=0.18A，故D正确； D．当S1、S2闭合S3断开时，电路为R2的简单电路，电流表测通过R2的电流， 则电流表的示数I″=$\frac{U}{{R}_{2}}$=$\frac{9V}{30Ω}$=0.3A，故C错误。 故选：D。</x:v>
      </x:c>
      <x:c r="N849" s="63" t="str">
        <x:v>https://k12static.xdf.cn/k12/image/externalized/ffbb6da3-4ec7-49f6-b606-e740ab4c6d45.png</x:v>
      </x:c>
      <x:c r="O849" s="63" t="str">
        <x:v>https://k12static.xdf.cn/k12/image/externalized/d549c1e7-16d9-42b2-a935-f08018b70a7d.png</x:v>
      </x:c>
      <x:c r="P849" s="63" t="str">
        <x:v>3-5步</x:v>
      </x:c>
      <x:c r="Q849" s="63" t="str">
        <x:v>电路综合</x:v>
      </x:c>
      <x:c r="R849" s="63" t="str">
        <x:v>多状态</x:v>
      </x:c>
      <x:c r="S849" s="63" t="str">
        <x:v>单一约束</x:v>
      </x:c>
      <x:c r="T849" s="63" t="str">
        <x:v>无</x:v>
      </x:c>
      <x:c r="U849" s="63" t="str">
        <x:v>无</x:v>
      </x:c>
      <x:c r="V849" s="63" t="str">
        <x:v>多层因果推理</x:v>
      </x:c>
    </x:row>
    <x:row r="850">
      <x:c r="A850" s="64" t="str">
        <x:v>​2810931317429776384</x:v>
      </x:c>
      <x:c r="B850" s="65" t="str">
        <x:v>基础题</x:v>
      </x:c>
      <x:c r="C850" s="65" t="str">
        <x:v>基础题</x:v>
      </x:c>
      <x:c r="D850" s="65" t="str">
        <x:v>基础题</x:v>
      </x:c>
      <x:c r="E850" s="65" t="str">
        <x:v>保留原GPT裁定</x:v>
      </x:c>
      <x:c r="F850" s="65" t="str">
        <x:v>高</x:v>
      </x:c>
      <x:c r="G850" s="65" t="str">
        <x:v>基础题</x:v>
      </x:c>
      <x:c r="H850" s="65" t="str">
        <x:v>基础题</x:v>
      </x:c>
      <x:c r="I850" s="65" t="str">
        <x:v>题干、解析与结构证据支持基础题：step=1-2步，题型=概念判断，状态=单状态，约束=无约束，推理=简单因果推理。教师、盲评和多次模型证据中未形成足以推翻原裁定的同向结构证据。</x:v>
      </x:c>
      <x:c r="J850" s="65" t="str">
        <x:v>未进入三次错题并集；逐题结构一致性复核</x:v>
      </x:c>
      <x:c r="K850" s="63" t="str">
        <x:v>如图所示为磁悬浮LED灯，灯座A内有电磁铁，灯头B内有磁体和接收线圈，接通电源后，灯泡可以悬浮在空中是因为 （选填：“同名磁极相互排斥”、“异名磁极相互吸引”）的结果，当底C的开关闭合时，内部的发射线圈产生变化的磁场，灯泡被隔空点亮，这个过程与 （选填“电动机”或“发电机”）的工作原理相同。</x:v>
      </x:c>
      <x:c r="L850" s="63" t="str"/>
      <x:c r="M850" s="63" t="str">
        <x:v>解：灯泡悬浮在空中，受到竖直向上的吸引力的作用，其原因是异名磁极相互吸引； 当底座C的开关闭合时，内部的发射线圈产生交变磁场，灯泡被隔空点亮，电路中产生了感应电流，这是电磁感应现象，这个过程与发电机工作原理相同。 故答案为：异名磁极相互吸引；发电机。</x:v>
      </x:c>
      <x:c r="N850" s="63" t="str">
        <x:v>https://k12static.xdf.cn/k12/image/externalized/e85bf4ad-12c0-4179-b5ef-7d8629ffc3c2.png</x:v>
      </x:c>
      <x:c r="O850" s="63" t="str">
        <x:v>https://k12static.xdf.cn/k12/image/externalized/a3be233a-c411-4a64-b4a2-1a669467ab38.png</x:v>
      </x:c>
      <x:c r="P850" s="63" t="str">
        <x:v>1-2步</x:v>
      </x:c>
      <x:c r="Q850" s="63" t="str">
        <x:v>概念判断</x:v>
      </x:c>
      <x:c r="R850" s="63" t="str">
        <x:v>单状态</x:v>
      </x:c>
      <x:c r="S850" s="63" t="str">
        <x:v>无约束</x:v>
      </x:c>
      <x:c r="T850" s="63" t="str">
        <x:v>无</x:v>
      </x:c>
      <x:c r="U850" s="63" t="str">
        <x:v>无</x:v>
      </x:c>
      <x:c r="V850" s="63" t="str">
        <x:v>简单因果推理</x:v>
      </x:c>
    </x:row>
    <x:row r="851">
      <x:c r="A851" s="64" t="str">
        <x:v>​2815212681823006720</x:v>
      </x:c>
      <x:c r="B851" s="65" t="str">
        <x:v>中等题</x:v>
      </x:c>
      <x:c r="C851" s="65" t="str">
        <x:v>中等题</x:v>
      </x:c>
      <x:c r="D851" s="65" t="str">
        <x:v>中等题</x:v>
      </x:c>
      <x:c r="E851" s="65" t="str">
        <x:v>保留原GPT裁定</x:v>
      </x:c>
      <x:c r="F851" s="65" t="str">
        <x:v>高</x:v>
      </x:c>
      <x:c r="G851" s="65" t="str">
        <x:v>中等题</x:v>
      </x:c>
      <x:c r="H851" s="65" t="str">
        <x:v>中等题</x:v>
      </x:c>
      <x:c r="I851" s="65" t="str">
        <x:v>题干、解析与结构证据支持中等题：step=3-5步，题型=概念判断，状态=单状态，约束=单一约束，推理=多层因果推理。教师、盲评和多次模型证据中未形成足以推翻原裁定的同向结构证据。</x:v>
      </x:c>
      <x:c r="J851" s="65" t="str">
        <x:v>未进入三次错题并集；逐题结构一致性复核</x:v>
      </x:c>
      <x:c r="K851" s="63" t="str">
        <x:v>如图所示，一块小磁铁吸附在竖直放置的磁性黑板表面，且沿着磁性黑板表面匀速下滑，磁铁与磁性黑板间存在着（ ）</x:v>
      </x:c>
      <x:c r="L851" s="63" t="str">
        <x:v>A. 一对相互作用力 B. 二对相互作用力 C. 三对相互作用力 D. 四对相互作用力</x:v>
      </x:c>
      <x:c r="M851" s="63" t="str">
        <x:v>以磁铁为研究对象，它共受到四个力的作用：①磁性黑板对它的支持力；②黑板对它的吸引力；③磁性黑板对它的摩擦力；④磁铁的重力。由于力的作用是相互的，四个个力各对应一个相互作用力，即：①磁性黑板对它的支持力和它对黑板的压力；②黑板对它的吸引力和它对黑板的吸引力；③磁性黑板对它向上的摩擦力和它对黑板向下的摩擦力；④磁铁的重力和磁铁对地球的吸引力。四对相互作用力中，①②③是磁铁与磁性黑板间存在的相互作用力，而④是磁铁和地球之间的相互作用力，故磁铁与磁性黑板间存在着三对相互作用力。故C符合题意，ABD不符合题意。故选C。</x:v>
      </x:c>
      <x:c r="N851" s="63" t="str">
        <x:v>https://k12static.xdf.cn/k12/image/externalized/8f5a37f7-913c-4ee4-a89d-6c6ee24c1c51.png</x:v>
      </x:c>
      <x:c r="O851" s="63" t="str">
        <x:v>https://k12static.xdf.cn/k12/image/externalized/62d4c001-0251-4a24-82d4-5c79303977e7.png</x:v>
      </x:c>
      <x:c r="P851" s="63" t="str">
        <x:v>3-5步</x:v>
      </x:c>
      <x:c r="Q851" s="63" t="str">
        <x:v>概念判断</x:v>
      </x:c>
      <x:c r="R851" s="63" t="str">
        <x:v>单状态</x:v>
      </x:c>
      <x:c r="S851" s="63" t="str">
        <x:v>单一约束</x:v>
      </x:c>
      <x:c r="T851" s="63" t="str">
        <x:v>无</x:v>
      </x:c>
      <x:c r="U851" s="63" t="str">
        <x:v>无</x:v>
      </x:c>
      <x:c r="V851" s="63" t="str">
        <x:v>多层因果推理</x:v>
      </x:c>
    </x:row>
    <x:row r="852">
      <x:c r="A852" s="64" t="str">
        <x:v>​2815356603173978112</x:v>
      </x:c>
      <x:c r="B852" s="65" t="str">
        <x:v>中等题</x:v>
      </x:c>
      <x:c r="C852" s="65" t="str">
        <x:v>中等题</x:v>
      </x:c>
      <x:c r="D852" s="65" t="str">
        <x:v>中等题</x:v>
      </x:c>
      <x:c r="E852" s="65" t="str">
        <x:v>保留原GPT裁定</x:v>
      </x:c>
      <x:c r="F852" s="65" t="str">
        <x:v>高</x:v>
      </x:c>
      <x:c r="G852" s="65" t="str">
        <x:v>中等题</x:v>
      </x:c>
      <x:c r="H852" s="65" t="str">
        <x:v>中等题</x:v>
      </x:c>
      <x:c r="I852" s="65" t="str">
        <x:v>题干、解析与结构证据支持中等题：step=3-5步，题型=光学声学综合，状态=双状态，约束=无约束，推理=多层因果推理。教师、盲评和多次模型证据中未形成足以推翻原裁定的同向结构证据。</x:v>
      </x:c>
      <x:c r="J852" s="65" t="str">
        <x:v>未进入三次错题并集；逐题结构一致性复核</x:v>
      </x:c>
      <x:c r="K852" s="63" t="str">
        <x:v>一束阳光与水平面成$50{^{\circ}}$角入射到地面。若要使反射光线沿水平方向射出，则平面镜与水平面的夹角为（ ）</x:v>
      </x:c>
      <x:c r="L852" s="63" t="str">
        <x:v>A. $25{^{\circ}}$ B. $65{^{\circ}}$ C. $75{^{\circ}}$ D. $50{^{\circ}}$</x:v>
      </x:c>
      <x:c r="M852" s="63" t="str">
        <x:v>在左图中，反射光线与入射光线的夹角为$180{^{\circ}}-50{^{\circ}}=130{^{\circ}}$则入射角为$\dfrac{1}{2}\times 130{^{\circ}}=65{^{\circ}}$则平面镜与水平面的夹角为$90{^{\circ}}-65{^{\circ}}=25{^{\circ}}$在右图中，反射光线与入射光线的夹角为$50{^{\circ}}$，入射角和反射角都为$25{^{\circ}}$，则平面镜与水平面的夹角为$90{^{\circ}}-25{^{\circ}}=65{^{\circ}}$故AB符合题意，CD不符合题意。故选AB。</x:v>
      </x:c>
      <x:c r="N852" s="63" t="str">
        <x:v>https://k12static.xdf.cn/k12/image/externalized/602be9bb-7978-41a1-b39e-66f540fd51d5.png</x:v>
      </x:c>
      <x:c r="O852" s="63" t="str">
        <x:v>https://k12static.xdf.cn/k12/image/externalized/e3dff354-3d10-4a76-94dc-bf734a7368b4.png</x:v>
      </x:c>
      <x:c r="P852" s="63" t="str">
        <x:v>3-5步</x:v>
      </x:c>
      <x:c r="Q852" s="63" t="str">
        <x:v>光学声学综合</x:v>
      </x:c>
      <x:c r="R852" s="63" t="str">
        <x:v>双状态</x:v>
      </x:c>
      <x:c r="S852" s="63" t="str">
        <x:v>无约束</x:v>
      </x:c>
      <x:c r="T852" s="63" t="str">
        <x:v>无</x:v>
      </x:c>
      <x:c r="U852" s="63" t="str">
        <x:v>无</x:v>
      </x:c>
      <x:c r="V852" s="63" t="str">
        <x:v>多层因果推理</x:v>
      </x:c>
    </x:row>
    <x:row r="853">
      <x:c r="A853" s="64" t="str">
        <x:v>​2819785121945358336</x:v>
      </x:c>
      <x:c r="B853" s="65" t="str">
        <x:v>中等题</x:v>
      </x:c>
      <x:c r="C853" s="65" t="str">
        <x:v>中等题</x:v>
      </x:c>
      <x:c r="D853" s="65" t="str">
        <x:v>中等题</x:v>
      </x:c>
      <x:c r="E853" s="65" t="str">
        <x:v>逐题复核后保留GPT裁定</x:v>
      </x:c>
      <x:c r="F853" s="65" t="str">
        <x:v>高</x:v>
      </x:c>
      <x:c r="G853" s="65" t="str">
        <x:v>中等题</x:v>
      </x:c>
      <x:c r="H853" s="65" t="str">
        <x:v>中等题</x:v>
      </x:c>
      <x:c r="I853" s="65" t="str">
        <x:v>存在约3—4步常规连续分析、共享过程或完整标准实验任务，关系仍显性。 题目证据：最高难选项实际有效推理约3步，五维锚定：知识量为2-3个关联知识点（串并联电流规律、焦耳定律实验控制变量法、改变内能的方式），过程/对象为单状态但需要识别混联电路结构，数学工具无需计算，情境为教材标准探究实验，思维层次为常规应用分析。任务结构为围绕同一实验辨析控制变量法的应用和电路电流规律，需要分析电路结构、匹配控制变量要求、判断内能改变方式，多个判断需要共享对电路结构的分析结论。</x:v>
      </x:c>
      <x:c r="J853" s="65" t="str">
        <x:v>三次运行错题并集逐题复核</x:v>
      </x:c>
      <x:c r="K853" s="63" t="str">
        <x:v>在探究“电流通过导体产生热量的多少跟什么因素有关”的实验中，三个透明容器中密封着等量的空气，容器内的电阻连接情况如图所示，通电后，观察U形管中液面高度的变化，则（ ）</x:v>
      </x:c>
      <x:c r="L853" s="63" t="str">
        <x:v>A. 甲、乙、丙三个容器内，流过三个电阻的电流相等 B. 要探究电流产生的热量与电阻的关系，需观察甲、丙两个U形管中液面高度的变化 C. 要探究电流产生的热量与电流的关系，需观察甲、乙两个U形管中液面高度的变化 D. 甲、乙、丙实验中电阻丝产生的热量是通过做功的方式实现的</x:v>
      </x:c>
      <x:c r="M853" s="63" t="str">
        <x:v>解：A．丙容器中两电阻并联后再与甲、乙两容器中的电阻串联接入电路，根据串联电路和并联电路电流的规律可知通过甲、乙两容器中的电阻的电流相同，都大于通过丙容器中的电阻的电流，故A错误； B．要探究电流产生的热量与电阻的关系，要控制电流相同，改变电阻的大小，需观察甲、乙两个U形管中液面高度的变化，故B错误； C．要探究电流产生的热量与电流的关系，要控制电阻相同，改变电流大小，需观察甲、丙两个U形管中液面高度的变化，故C错误； D．甲、乙、丙实验中电阻丝产生的热量是通过做功的方式实现的，再通过热传递使容器中密封着的空气内能增加，故D正确。 故选：D。</x:v>
      </x:c>
      <x:c r="N853" s="63" t="str">
        <x:v>https://k12static.xdf.cn/k12/image/externalized/f43c4a64-64f9-4a90-9b71-f6c2d7f7d189.png</x:v>
      </x:c>
      <x:c r="O853" s="63" t="str">
        <x:v>https://k12static.xdf.cn/k12/image/externalized/5b8d6f24-b550-46de-8932-c2241d971399.png</x:v>
      </x:c>
      <x:c r="P853" s="63" t="str">
        <x:v>1-2步</x:v>
      </x:c>
      <x:c r="Q853" s="63" t="str">
        <x:v>实验探究</x:v>
      </x:c>
      <x:c r="R853" s="63" t="str">
        <x:v>单状态</x:v>
      </x:c>
      <x:c r="S853" s="63" t="str">
        <x:v>无约束</x:v>
      </x:c>
      <x:c r="T853" s="63" t="str">
        <x:v>控制变量或故障分析</x:v>
      </x:c>
      <x:c r="U853" s="63" t="str">
        <x:v>无</x:v>
      </x:c>
      <x:c r="V853" s="63" t="str">
        <x:v>多层因果推理</x:v>
      </x:c>
    </x:row>
    <x:row r="854">
      <x:c r="A854" s="64" t="str">
        <x:v>​2820811441004924928</x:v>
      </x:c>
      <x:c r="B854" s="65" t="str">
        <x:v>中等题</x:v>
      </x:c>
      <x:c r="C854" s="65" t="str">
        <x:v>中等题</x:v>
      </x:c>
      <x:c r="D854" s="65" t="str">
        <x:v>中等题</x:v>
      </x:c>
      <x:c r="E854" s="65" t="str">
        <x:v>保留原GPT裁定</x:v>
      </x:c>
      <x:c r="F854" s="65" t="str">
        <x:v>高</x:v>
      </x:c>
      <x:c r="G854" s="65" t="str">
        <x:v>中等题</x:v>
      </x:c>
      <x:c r="H854" s="65" t="str">
        <x:v>中等题</x:v>
      </x:c>
      <x:c r="I854" s="65" t="str">
        <x:v>题干、解析与结构证据支持中等题：step=3-5步，题型=实验探究，状态=单状态，约束=单一约束，推理=多层因果推理。教师、盲评和多次模型证据中未形成足以推翻原裁定的同向结构证据。</x:v>
      </x:c>
      <x:c r="J854" s="65" t="str">
        <x:v>未进入三次错题并集；逐题结构一致性复核</x:v>
      </x:c>
      <x:c r="K854" s="63" t="str">
        <x:v>为了探究压力的作用效果跟哪些因素有关，老师准备了如图所示的器材：①装有沙的容器；②砝码；③用钉子做腿的小桌；④海绵；⑤木板；⑥盛有适量水的矿泉水瓶等供同学们选择。以下四组器材中，能达到探究目的有（ ）</x:v>
      </x:c>
      <x:c r="L854" s="63" t="str">
        <x:v>A. ①②③ B. ②③⑤ C. ②③④ D. ④⑥</x:v>
      </x:c>
      <x:c r="M854" s="63" t="str">
        <x:v>解：A．选择①装有沙的容器、②砝码、③用钉子做腿的小桌，小桌放在沙子上，观察小桌陷入沙子的深度；在小桌上再放砝码，再观察小桌陷入沙子的深度；把小桌的桌面朝下，小桌上放砝码，再观察桌面陷入沙子的深度，可以达到实验目的，故A符合题意； B．选择②砝码、③用钉子做腿的小桌、⑤木板，没有明显发生形变的物体，无法显示压强大小，达不到探究的目的，故B不符合题意； C．选择②砝码、③用钉子做腿的小桌、④海绵，小桌放在海绵上，观察小桌陷入海绵的深度；在小桌上再放砝码，再观察小桌陷入海绵的深度；把小桌的桌面朝下，小桌上放砝码，再观察桌面陷入海绵的深度，可以达到实验目的，故C符合题意； D．选择④海绵、⑥盛有适量水的矿泉水瓶，可通过改变矿泉水瓶中水的多少来改变压力，还可通过改变矿泉水瓶的倒正来改变受力面积，压强的大小可通过海绵的形变反映出来，因此可以达到探究目的，故D符合题意。 故选：ACD。</x:v>
      </x:c>
      <x:c r="N854" s="63" t="str">
        <x:v>https://k12static.xdf.cn/k12/image/externalized/5162c446-fbf3-42ad-9afc-0341781e4260.png</x:v>
      </x:c>
      <x:c r="O854" s="63" t="str">
        <x:v>https://k12static.xdf.cn/k12/image/externalized/61272700-b019-48c6-8a79-87a2d06d02a5.png</x:v>
      </x:c>
      <x:c r="P854" s="63" t="str">
        <x:v>3-5步</x:v>
      </x:c>
      <x:c r="Q854" s="63" t="str">
        <x:v>实验探究</x:v>
      </x:c>
      <x:c r="R854" s="63" t="str">
        <x:v>单状态</x:v>
      </x:c>
      <x:c r="S854" s="63" t="str">
        <x:v>单一约束</x:v>
      </x:c>
      <x:c r="T854" s="63" t="str">
        <x:v>控制变量或故障分析</x:v>
      </x:c>
      <x:c r="U854" s="63" t="str">
        <x:v>无</x:v>
      </x:c>
      <x:c r="V854" s="63" t="str">
        <x:v>多层因果推理</x:v>
      </x:c>
    </x:row>
    <x:row r="855">
      <x:c r="A855" s="64" t="str">
        <x:v>​2822255067536625664</x:v>
      </x:c>
      <x:c r="B855" s="65" t="str">
        <x:v>中等题</x:v>
      </x:c>
      <x:c r="C855" s="65" t="str">
        <x:v>中等题</x:v>
      </x:c>
      <x:c r="D855" s="65" t="str">
        <x:v>中等题</x:v>
      </x:c>
      <x:c r="E855" s="65" t="str">
        <x:v>保留原GPT裁定</x:v>
      </x:c>
      <x:c r="F855" s="65" t="str">
        <x:v>高</x:v>
      </x:c>
      <x:c r="G855" s="65" t="str">
        <x:v>中等题</x:v>
      </x:c>
      <x:c r="H855" s="65" t="str">
        <x:v>中等题</x:v>
      </x:c>
      <x:c r="I855" s="65" t="str">
        <x:v>题干、解析与结构证据支持中等题：step=3-5步，题型=概念判断，状态=单状态，约束=单一约束，推理=多层因果推理。教师、盲评和多次模型证据中未形成足以推翻原裁定的同向结构证据。</x:v>
      </x:c>
      <x:c r="J855" s="65" t="str">
        <x:v>未进入三次错题并集；逐题结构一致性复核</x:v>
      </x:c>
      <x:c r="K855" s="63" t="str">
        <x:v>如图所示的家庭电路，闭合开关S1和S2，灯L1发光，灯L2不发光。用试电笔分别接触插座的左、右孔，氖管均发光。若电路中只有一处故障，则（ ）</x:v>
      </x:c>
      <x:c r="L855" s="63" t="str">
        <x:v>A. 灯L2断路 B. ab间断路 C. cd间断路 D. de间断路</x:v>
      </x:c>
      <x:c r="M855" s="63" t="str">
        <x:v>解：闭合开关S1和S2，灯L1发光，这说明灯L1所在的支路是通路；灯L2不发光，这说明灯L2所在的电路出现了断路现象； 用试电笔分别接触插座的左、右孔，氖管均发光，这说明插座的左孔与火线之间是接通的，即左孔通过灯泡L2与火线相连，所以故障是de间断路。 故选：D。</x:v>
      </x:c>
      <x:c r="N855" s="63" t="str">
        <x:v>https://k12static.xdf.cn/k12/image/externalized/c518af9f-a263-4115-bedc-ab055b6cf382.png</x:v>
      </x:c>
      <x:c r="O855" s="63" t="str">
        <x:v>https://k12static.xdf.cn/k12/image/externalized/63e19d6b-e833-4939-9841-bbbe8e53b8fe.png</x:v>
      </x:c>
      <x:c r="P855" s="63" t="str">
        <x:v>3-5步</x:v>
      </x:c>
      <x:c r="Q855" s="63" t="str">
        <x:v>概念判断</x:v>
      </x:c>
      <x:c r="R855" s="63" t="str">
        <x:v>单状态</x:v>
      </x:c>
      <x:c r="S855" s="63" t="str">
        <x:v>单一约束</x:v>
      </x:c>
      <x:c r="T855" s="63" t="str">
        <x:v>无</x:v>
      </x:c>
      <x:c r="U855" s="63" t="str">
        <x:v>无</x:v>
      </x:c>
      <x:c r="V855" s="63" t="str">
        <x:v>多层因果推理</x:v>
      </x:c>
    </x:row>
    <x:row r="856">
      <x:c r="A856" s="64" t="str">
        <x:v>​2822516844618579968</x:v>
      </x:c>
      <x:c r="B856" s="65" t="str">
        <x:v>基础题</x:v>
      </x:c>
      <x:c r="C856" s="65" t="str">
        <x:v>基础题</x:v>
      </x:c>
      <x:c r="D856" s="65" t="str">
        <x:v>基础题</x:v>
      </x:c>
      <x:c r="E856" s="65" t="str">
        <x:v>保留原GPT裁定</x:v>
      </x:c>
      <x:c r="F856" s="65" t="str">
        <x:v>高</x:v>
      </x:c>
      <x:c r="G856" s="65" t="str">
        <x:v>基础题</x:v>
      </x:c>
      <x:c r="H856" s="65" t="str">
        <x:v>基础题</x:v>
      </x:c>
      <x:c r="I856" s="65" t="str">
        <x:v>题干、解析与结构证据支持基础题：step=1-2步，题型=概念判断，状态=单状态，约束=无约束，推理=简单因果推理。教师、盲评和多次模型证据中未形成足以推翻原裁定的同向结构证据。</x:v>
      </x:c>
      <x:c r="J856" s="65" t="str">
        <x:v>未进入三次错题并集；逐题结构一致性复核</x:v>
      </x:c>
      <x:c r="K856" s="63" t="str">
        <x:v>关于质量和密度，下列说法正确的是（ ）</x:v>
      </x:c>
      <x:c r="L856" s="63" t="str">
        <x:v>A. 1kg的铁块比1kg的棉花质量大 B. 为减轻质量，比赛用自行车采用强度高、密度大的材料制造 C. 同种物质的状态发生变化，质量和密度均不变 D. 氧气罐中的氧气用去一半，密度减小一半</x:v>
      </x:c>
      <x:c r="M856" s="63" t="str">
        <x:v>解：A、1kg的铁块与1kg的棉花质量一样大，故A错误； B、为减轻质量，比赛用自行车采用强度高、密度小的材料制造，故B错误； C、同种物质的状态发生变化，质量不变和密度可能改变，如：水和冰，故C错误； D、氧气罐中的氧气用去一半，质量减小一半，体积不变，密度减小一半，故D正确。 故选：D。</x:v>
      </x:c>
      <x:c r="N856" s="63" t="str">
        <x:v>https://k12static.xdf.cn/k12/image/externalized/d3e714a2-d29e-481e-b46a-a73b123ea7f0.png</x:v>
      </x:c>
      <x:c r="O856" s="63" t="str">
        <x:v>https://k12static.xdf.cn/k12/image/externalized/ad326422-aaaa-4d62-bd03-0a806b38f81c.png</x:v>
      </x:c>
      <x:c r="P856" s="63" t="str">
        <x:v>1-2步</x:v>
      </x:c>
      <x:c r="Q856" s="63" t="str">
        <x:v>概念判断</x:v>
      </x:c>
      <x:c r="R856" s="63" t="str">
        <x:v>单状态</x:v>
      </x:c>
      <x:c r="S856" s="63" t="str">
        <x:v>无约束</x:v>
      </x:c>
      <x:c r="T856" s="63" t="str">
        <x:v>无</x:v>
      </x:c>
      <x:c r="U856" s="63" t="str">
        <x:v>无</x:v>
      </x:c>
      <x:c r="V856" s="63" t="str">
        <x:v>简单因果推理</x:v>
      </x:c>
    </x:row>
    <x:row r="857">
      <x:c r="A857" s="64" t="str">
        <x:v>​2822648293002092544</x:v>
      </x:c>
      <x:c r="B857" s="65" t="str">
        <x:v>中等题</x:v>
      </x:c>
      <x:c r="C857" s="65" t="str">
        <x:v>中等题</x:v>
      </x:c>
      <x:c r="D857" s="65" t="str">
        <x:v>中等题</x:v>
      </x:c>
      <x:c r="E857" s="65" t="str">
        <x:v>保留原GPT裁定</x:v>
      </x:c>
      <x:c r="F857" s="65" t="str">
        <x:v>高</x:v>
      </x:c>
      <x:c r="G857" s="65" t="str">
        <x:v>中等题</x:v>
      </x:c>
      <x:c r="H857" s="65" t="str">
        <x:v>中等题</x:v>
      </x:c>
      <x:c r="I857" s="65" t="str">
        <x:v>题干、解析与结构证据支持中等题：step=3-5步，题型=电路综合，状态=单状态，约束=多约束，推理=多层因果推理。教师、盲评和多次模型证据中未形成足以推翻原裁定的同向结构证据。</x:v>
      </x:c>
      <x:c r="J857" s="65" t="str">
        <x:v>未进入三次错题并集；逐题结构一致性复核</x:v>
      </x:c>
      <x:c r="K857" s="63" t="str">
        <x:v>将两个分别标有“6V 3W”和“6V 2W”的小灯泡串联后接入电路，在确保两个小灯泡都不超过额定值工作的前提下，不计灯丝电阻随温度的变化，下列说法中正确的是（ ）</x:v>
      </x:c>
      <x:c r="L857" s="63" t="str">
        <x:v>A. 规格为“6V 3W”的小灯泡更亮 B. 通过两个小灯泡的电流的最大值为0.5A C. 加在两个小灯泡两端的电压的最大值为10V D. 两个小灯泡总功率的最大值为5W</x:v>
      </x:c>
      <x:c r="M857" s="63" t="str">
        <x:v>解：根据P=UI可得，两灯泡的额定电流： I1=$\frac{{P}_{1}}{{U}_{1}}$=$\frac{3W}{6V}$=0.5A，I2=$\frac{{P}_{2}}{{U}_{2}}$=$\frac{2W}{6V}$=$\frac{1}{3}$A， 根据欧姆定律可得，两灯泡的电阻分别为： R1=$\frac{{U}_{1}}{{I}_{1}}$=$\frac{6V}{0.5A}$=12Ω，R2=$\frac{{U}_{2}}{{I}_{2}}$=$\frac{6V}{\frac{1}{3}A}$=18Ω； A、由于R1＜R2，串联电路中的电流处处相等，根据P=I2R可知：P1＜P2，则规格为“6V 2W”的小灯泡更亮，故A错误； B、由于串联电路中各处的电流相等，则两灯串联后电路电流为I=I2=$\frac{1}{3}$A≈0.33A，故B错误； C、由I=$\frac{U}{R}$可得电路两端的最大电压U=IR=$\frac{1}{3}A$×30Ω=10V，故C正确； D、最大总功率P=UI=10V×$\frac{1}{3}$A=$\frac{10}{3}$W，故D错误。 故选：C。</x:v>
      </x:c>
      <x:c r="N857" s="63" t="str">
        <x:v>https://k12static.xdf.cn/k12/image/externalized/977ea8f6-6b32-48a1-a20d-5923f86675c3.png</x:v>
      </x:c>
      <x:c r="O857" s="63" t="str">
        <x:v>https://k12static.xdf.cn/k12/image/externalized/946a346b-e615-49de-878d-f1d6ea60b44e.png</x:v>
      </x:c>
      <x:c r="P857" s="63" t="str">
        <x:v>3-5步</x:v>
      </x:c>
      <x:c r="Q857" s="63" t="str">
        <x:v>电路综合</x:v>
      </x:c>
      <x:c r="R857" s="63" t="str">
        <x:v>单状态</x:v>
      </x:c>
      <x:c r="S857" s="63" t="str">
        <x:v>多约束</x:v>
      </x:c>
      <x:c r="T857" s="63" t="str">
        <x:v>无</x:v>
      </x:c>
      <x:c r="U857" s="63" t="str">
        <x:v>无</x:v>
      </x:c>
      <x:c r="V857" s="63" t="str">
        <x:v>多层因果推理</x:v>
      </x:c>
    </x:row>
    <x:row r="858">
      <x:c r="A858" s="64" t="str">
        <x:v>​2822786717855305728</x:v>
      </x:c>
      <x:c r="B858" s="65" t="str">
        <x:v>拔高题</x:v>
      </x:c>
      <x:c r="C858" s="65" t="str">
        <x:v>拔高题</x:v>
      </x:c>
      <x:c r="D858" s="65" t="str">
        <x:v>拔高题</x:v>
      </x:c>
      <x:c r="E858" s="65" t="str">
        <x:v>逐题复核后保留GPT裁定</x:v>
      </x:c>
      <x:c r="F858" s="65" t="str">
        <x:v>高</x:v>
      </x:c>
      <x:c r="G858" s="65" t="str">
        <x:v>拔高题</x:v>
      </x:c>
      <x:c r="H858" s="65" t="str">
        <x:v>拔高题</x:v>
      </x:c>
      <x:c r="I858" s="65" t="str">
        <x:v>存在决定性反推/等效/误差/几何转换，或同一装置中的5—6步高密度综合链。 题目证据：最高难选项实际有效物理决策约5步。五维中知识量为3个关联知识点，过程为两个需要分别建立关系的滑片状态，数学工具需要比例法联立两个方程消元求解，思维层次为多层因果推理，符合拔高题的核心特征。核心任务为：分别对滑片在两个位置建立欧姆定律关系，联立比例消元得到R2与R1的关系，再结合R1的功率求出R1阻值，最后逐一计算验证各选项，属于两个状态联立的常规综合链。</x:v>
      </x:c>
      <x:c r="J858" s="65" t="str">
        <x:v>三次运行错题并集逐题复核</x:v>
      </x:c>
      <x:c r="K858" s="63" t="str">
        <x:v>如图电路，电源电压不变，闭合开关S，当滑片P置于滑动变阻器R2的最右端B处时，电压表的示数为4V，定值电阻R1的功率为0.8W；当滑片P置于滑动变阻器R2的中点时，电压表的示数变化了1V．下列结果正确的是（ ）</x:v>
      </x:c>
      <x:c r="L858" s="63" t="str">
        <x:v>A. 电源电压为8V B. R1的阻值为20Ω C. 电路变化前后电流之比为1：3 D. 电路总功率变化了1.2W</x:v>
      </x:c>
      <x:c r="M858" s="63" t="str">
        <x:v>解：（1）由电路图可知，R1与R2串联，电压表测滑动变阻器R2两端的电压， 因串联电路中总电阻等于各分电阻之和， 所以，当滑片在B处时，电路中的电流： I1=$\frac{U}{{R}_{1}+{R}_{2}}$， 则滑动变阻器两端的电压： U2=I1×R2=$\frac{U}{{R}_{1}+{R}_{2}}$×R2=4V-------① 由图知，当滑片P置于滑动变阻器R2的中点时，滑动变阻器的电阻减小，由串联分压的规律可知，电压表的示数减小，即此时滑动变阻器两端电压为U2=4V-1V=3V， 同理可得，此时滑动变阻器两端的电压：U2′=$\frac{U}{{R}_{1}+\frac{{R}_{2}}{2}}$×$\frac{{R}_{2}}{2}$=3V---------② 用①式比②式可得：$\frac{{R}_{1}+\frac{{R}_{2}}{2}}{{R}_{1}+{R}_{2}}$=$\frac{2}{3}$， 解得：R2=2R1--------------③ 将③代入①式可得：$\frac{U}{{R}_{1}+{2R}_{1}}×2{R}_{1}$=4V， 解得：U=6V，故A错误； （2）当滑片P置于滑动变阻器R2的最右端B处时，电压表的示数为4V，定值电阻两端的电压为U1=6V-4V=2V， 此时定值电阻R1的功率为0.8W，即；P1=$\frac{{{U}_{1}}^{2}}{{R}_{1}}$=$\frac{(2V)^{2}}{{R}_{1}}$=0.8W， 解得：R1=5Ω， 则R2=2R1=2×5Ω=10Ω，故B错误； （3）电路前后电流之比为I1：I2=$\frac{U}{{R}_{1}+{R}_{2}}$：$\frac{U}{{R}_{1}+\frac{{R}_{2}}{2}}$=$\frac{1}{5Ω+10Ω}$：$\frac{1}{5Ω+5Ω}$=$\frac{2}{3}$，故C错误； （4）电路总功率变化了：ΔP=P2总-P1总=$\frac{{U}^{2}}{{R}_{1}+\frac{{R}_{2}}{2}}$-$\frac{{U}^{2}}{{R}_{1}+{R}_{2}}$=$\frac{(6V)^{2}}{5Ω+5Ω}$-$\frac{(6V)^{2}}{5Ω+10Ω}$=1.2W，故D正确。 故选：D。</x:v>
      </x:c>
      <x:c r="N858" s="63" t="str">
        <x:v>https://k12static.xdf.cn/k12/image/externalized/4d284f0b-fefc-4880-8c77-d941130f6b01.png</x:v>
      </x:c>
      <x:c r="O858" s="63" t="str">
        <x:v>https://k12static.xdf.cn/k12/image/externalized/31f8b89f-4e02-4f6c-a24a-90308f861454.png</x:v>
      </x:c>
      <x:c r="P858" s="63" t="str">
        <x:v>3-5步</x:v>
      </x:c>
      <x:c r="Q858" s="63" t="str">
        <x:v>电路综合</x:v>
      </x:c>
      <x:c r="R858" s="63" t="str">
        <x:v>双状态</x:v>
      </x:c>
      <x:c r="S858" s="63" t="str">
        <x:v>单一约束</x:v>
      </x:c>
      <x:c r="T858" s="63" t="str">
        <x:v>无</x:v>
      </x:c>
      <x:c r="U858" s="63" t="str">
        <x:v>无</x:v>
      </x:c>
      <x:c r="V858" s="63" t="str">
        <x:v>多层因果推理</x:v>
      </x:c>
    </x:row>
    <x:row r="859">
      <x:c r="A859" s="64" t="str">
        <x:v>​2828355671010676736</x:v>
      </x:c>
      <x:c r="B859" s="65" t="str">
        <x:v>送分题</x:v>
      </x:c>
      <x:c r="C859" s="65" t="str">
        <x:v>送分题</x:v>
      </x:c>
      <x:c r="D859" s="65" t="str">
        <x:v>送分题</x:v>
      </x:c>
      <x:c r="E859" s="65" t="str">
        <x:v>保留原GPT裁定</x:v>
      </x:c>
      <x:c r="F859" s="65" t="str">
        <x:v>高</x:v>
      </x:c>
      <x:c r="G859" s="65" t="str">
        <x:v>送分题</x:v>
      </x:c>
      <x:c r="H859" s="65" t="str">
        <x:v>送分题</x:v>
      </x:c>
      <x:c r="I859" s="65" t="str">
        <x:v>题干、解析与结构证据支持送分题：step=1-2步，题型=概念判断，状态=单状态，约束=无约束，推理=直接套用。教师、盲评和多次模型证据中未形成足以推翻原裁定的同向结构证据。</x:v>
      </x:c>
      <x:c r="J859" s="65" t="str">
        <x:v>未进入三次错题并集；逐题结构一致性复核</x:v>
      </x:c>
      <x:c r="K859" s="63" t="str">
        <x:v>用力越大，弹簧被拉得越长；打台球时，击球用力的大小和方向都会影响到球能否入袋；越靠近门轴推门，越费力。下列属于力的三要素的是（ ）</x:v>
      </x:c>
      <x:c r="L859" s="63" t="str">
        <x:v>A. 力臂 B. 支点 C. 静止 D. 方向</x:v>
      </x:c>
      <x:c r="M859" s="63" t="str">
        <x:v>解：影响力的作用效果的三要素是力的大小、方向和作用点。故ABC不正确，D正确。 故选：D。</x:v>
      </x:c>
      <x:c r="N859" s="63" t="str">
        <x:v>https://k12static.xdf.cn/k12/image/externalized/403b2112-abf7-46cf-874f-4e31cbd5434c.png</x:v>
      </x:c>
      <x:c r="O859" s="63" t="str">
        <x:v>https://k12static.xdf.cn/k12/image/externalized/f68ead7c-4c09-47ba-89e9-9da511c438bc.png</x:v>
      </x:c>
      <x:c r="P859" s="63" t="str">
        <x:v>1-2步</x:v>
      </x:c>
      <x:c r="Q859" s="63" t="str">
        <x:v>概念判断</x:v>
      </x:c>
      <x:c r="R859" s="63" t="str">
        <x:v>单状态</x:v>
      </x:c>
      <x:c r="S859" s="63" t="str">
        <x:v>无约束</x:v>
      </x:c>
      <x:c r="T859" s="63" t="str">
        <x:v>无</x:v>
      </x:c>
      <x:c r="U859" s="63" t="str">
        <x:v>无</x:v>
      </x:c>
      <x:c r="V859" s="63" t="str">
        <x:v>直接套用</x:v>
      </x:c>
    </x:row>
    <x:row r="860">
      <x:c r="A860" s="64" t="str">
        <x:v>​2832743628026707968</x:v>
      </x:c>
      <x:c r="B860" s="65" t="str">
        <x:v>拔高题</x:v>
      </x:c>
      <x:c r="C860" s="65" t="str">
        <x:v>拔高题</x:v>
      </x:c>
      <x:c r="D860" s="65" t="str">
        <x:v>拔高题</x:v>
      </x:c>
      <x:c r="E860" s="65" t="str">
        <x:v>逐题复核后保留GPT裁定</x:v>
      </x:c>
      <x:c r="F860" s="65" t="str">
        <x:v>高</x:v>
      </x:c>
      <x:c r="G860" s="65" t="str">
        <x:v>拔高题</x:v>
      </x:c>
      <x:c r="H860" s="65" t="str">
        <x:v>拔高题</x:v>
      </x:c>
      <x:c r="I860" s="65" t="str">
        <x:v>存在决定性反推/等效/误差/几何转换，或同一装置中的5—6步高密度综合链。 题目证据：最高难小问为第(5)问，实际有3个有效物理决策：识别串联电路、分别建立两个滑动变阻器状态的电源电压方程、联立方程推导待测电阻表达式，结合五维锚定属于拔高档。整题围绕伏安法测电阻实验，覆盖电路连接、操作规范、故障分析、读数计算和缺表测量五个不同环节，最高难小问属于缺表测电阻的方案推导，存在两个状态的方程联立推导。</x:v>
      </x:c>
      <x:c r="J860" s="65" t="str">
        <x:v>三次运行错题并集逐题复核</x:v>
      </x:c>
      <x:c r="K860" s="63" t="str">
        <x:v>在中考物理实验操作考试中，小红完成了“伏安法测电阻”实验，用到的器材有：电源（电压低于3V且不变）、电流表和电压表各1只、滑动变阻器1只、待测电阻一只（约10Ω）、导线若干、开关1个。请完成以下问题： （1）图甲是老师预接的部分实验电路，请将电路连接完整（要求滑动变阻器滑片右移时电流表示数变小）。 （2）闭合开关前，滑动变阻器的滑片应移到 ________ （选填“A”或“B”）端的位置。 （3）闭合开关，发现电流表指针如图乙所示，造成这一现象的原因可能是 ________ 。 （4）排除故障，闭合开关，调节滑动变阻器滑片到适当位置时，电压表和电流表示数如图丙所示，则该次测得阻值为 ________ Ω。为了测量结果更准确，应移动滑动变阻器滑片，多次测量求平均值。 （5）实验中电压表损坏，小红用余下的器材也完成了测量，设计电路如图丁，主要操作步骤如下（观察滑动变阻器铭牌，其最大阻值为R0）： ①连接电路，将滑片移到B端，闭合开关，电流表示数为I1； ②再将滑片移到A端，电流表示数为I2； ③已知滑动变阻器最大阻值为R0，则待测电阻R= ________ （用字母表示）。</x:v>
      </x:c>
      <x:c r="L860" s="63" t="str"/>
      <x:c r="M860" s="63" t="str">
        <x:v>解：（1）电源电压低于3V且不变，电压表选用小量程并联在电阻两端；滑动变阻器滑片右移时电流表示数变小，说明电路中电阻变大，变阻器应接左下接线柱与电阻串联，如图所示： （2）为了保护电路，闭合开关前，滑动变阻器的滑片应移到阻值最大处，即B端。 （3）闭合开关，发现电流表指针如图乙所示，电流表指针反转，说明电流表正负接线柱接反了。 （4）排除故障，闭合开关，调节滑动变阻器滑片到适当位置时，两表示数如图丙所示，根据乙图，电流表选用小量程，分度值0.02A，其示数为0.3A，根据甲图，电压表选用小量程，分度值0.1V，其示数为2.4V；则该次测得阻值为 $R=\frac{U}{I}=\frac{2.4V}{0.3A}=8Ω$ （5）由电路图可知，定值电阻R与滑动变阻器R0串联，电流表测电路中的电流，将滑片移到B端时，变阻器接入电路中的电阻最大，此时电流表示数为I1，则电源的电压 U=I1R总=I1（R0+R）——————① 再将滑片移到A端时，变阻器接入电路中的电阻为零，此时电流表示数为I2，则电源的电压 U=I2R————————② 由①②可得$R=\frac{{I}_{1}{R}_{0}}{{I}_{2}-{I}_{1}}$。 故答案为：（1）；（2）B；（3）电流表正负接线柱接反了；（4）8；（5）$\frac{{I}_{1}{R}_{0}}{{I}_{2}-{I}_{1}}$。</x:v>
      </x:c>
      <x:c r="N860" s="63" t="str">
        <x:v>https://k12static.xdf.cn/k12/image/externalized/7f8f1287-981e-42af-89f0-d4f107f9bb82.png</x:v>
      </x:c>
      <x:c r="O860" s="63" t="str">
        <x:v>https://k12static.xdf.cn/k12/image/externalized/cb0ea058-6abf-4564-a2e9-92ea3806ece7.png</x:v>
      </x:c>
      <x:c r="P860" s="63" t="str">
        <x:v>3-5步</x:v>
      </x:c>
      <x:c r="Q860" s="63" t="str">
        <x:v>实验探究</x:v>
      </x:c>
      <x:c r="R860" s="63" t="str">
        <x:v>双状态</x:v>
      </x:c>
      <x:c r="S860" s="63" t="str">
        <x:v>单一约束</x:v>
      </x:c>
      <x:c r="T860" s="63" t="str">
        <x:v>方案设计或误差评价</x:v>
      </x:c>
      <x:c r="U860" s="63" t="str">
        <x:v>直接读数</x:v>
      </x:c>
      <x:c r="V860" s="63" t="str">
        <x:v>多层因果推理</x:v>
      </x:c>
    </x:row>
    <x:row r="861">
      <x:c r="A861" s="64" t="str">
        <x:v>​2833035699825954816</x:v>
      </x:c>
      <x:c r="B861" s="65" t="str">
        <x:v>基础题</x:v>
      </x:c>
      <x:c r="C861" s="65" t="str">
        <x:v>基础题</x:v>
      </x:c>
      <x:c r="D861" s="65" t="str">
        <x:v>基础题</x:v>
      </x:c>
      <x:c r="E861" s="65" t="str">
        <x:v>逐题复核后保留GPT裁定</x:v>
      </x:c>
      <x:c r="F861" s="65" t="str">
        <x:v>高</x:v>
      </x:c>
      <x:c r="G861" s="65" t="str">
        <x:v>基础题</x:v>
      </x:c>
      <x:c r="H861" s="65" t="str">
        <x:v>基础题</x:v>
      </x:c>
      <x:c r="I861" s="65" t="str">
        <x:v>最高难任务为1—2步显性应用、规范操作或简单因果，没有连续模型转换。 题目证据：本题为四选一概念判断题，最高难选项D实际有效推理为2步，四个选项分别调用不同密度应用知识点，没有共享题目特有中间结论或严格逻辑辨析，各选项属于独立的常规密度概念应用。</x:v>
      </x:c>
      <x:c r="J861" s="65" t="str">
        <x:v>三次运行错题并集逐题复核</x:v>
      </x:c>
      <x:c r="K861" s="63" t="str">
        <x:v>密度与生活有紧密的联系，下列说法错误的是（ ）</x:v>
      </x:c>
      <x:c r="L861" s="63" t="str">
        <x:v>A. 农民常用一定密度的盐水进行选种 B. 一壶食用油，壶上标有“5L”字样，则该壶中油的质量小于5kg C. 飞船尽可能采用强度高，密度小，性能优良的材料制造 D. 氧气瓶中的氧气用掉一半，瓶中氧气的体积不变，密度不变</x:v>
      </x:c>
      <x:c r="M861" s="63" t="str">
        <x:v>解：A、在盐水中，饱满的种子会下沉，干瘪的种子会上浮，所以农民常用一定密度的盐水进行选种，故A正确。 B、壶上标有“5L”字样，则壶中水的体积V=5L=5×10-3m3，由ρ=$\frac{m}{V}$可得，水的质量m=ρ水V=1.0×103kg/m3×5×10-3m3=5kg。而油的密度小于水的密度，由ρ=$\frac{m}{V}$可得，则该壶中油的质量小于5kg,故B正确； C、飞船采用密度小的材料才能在体积一定的情况下，尽可能地减小质量，以适应其工作的要求，故C正确。 D、氧气瓶中的氧气用掉一半，钢瓶中氧气的体积不变（等于钢瓶的容积），但质量减小为原来的一半，由ρ=$\frac{m}{V}$可知，钢瓶中氧气的密度变小，故D错误。 故选：D。</x:v>
      </x:c>
      <x:c r="N861" s="63" t="str">
        <x:v>https://k12static.xdf.cn/k12/image/externalized/9e629e42-b1cd-4362-83a3-156c4414488f.png</x:v>
      </x:c>
      <x:c r="O861" s="63" t="str">
        <x:v>https://k12static.xdf.cn/k12/image/externalized/ffac8160-0ef7-4ac2-b907-81581fd823e1.png</x:v>
      </x:c>
      <x:c r="P861" s="63" t="str">
        <x:v>1-2步</x:v>
      </x:c>
      <x:c r="Q861" s="63" t="str">
        <x:v>概念判断</x:v>
      </x:c>
      <x:c r="R861" s="63" t="str">
        <x:v>单状态</x:v>
      </x:c>
      <x:c r="S861" s="63" t="str">
        <x:v>无约束</x:v>
      </x:c>
      <x:c r="T861" s="63" t="str">
        <x:v>无</x:v>
      </x:c>
      <x:c r="U861" s="63" t="str">
        <x:v>无</x:v>
      </x:c>
      <x:c r="V861" s="63" t="str">
        <x:v>简单因果推理</x:v>
      </x:c>
    </x:row>
    <x:row r="862">
      <x:c r="A862" s="64" t="str">
        <x:v>​2833950432095989760</x:v>
      </x:c>
      <x:c r="B862" s="65" t="str">
        <x:v>中等题</x:v>
      </x:c>
      <x:c r="C862" s="65" t="str">
        <x:v>中等题</x:v>
      </x:c>
      <x:c r="D862" s="65" t="str">
        <x:v>中等题</x:v>
      </x:c>
      <x:c r="E862" s="65" t="str">
        <x:v>逐题复核后保留GPT裁定</x:v>
      </x:c>
      <x:c r="F862" s="65" t="str">
        <x:v>高</x:v>
      </x:c>
      <x:c r="G862" s="65" t="str">
        <x:v>中等题</x:v>
      </x:c>
      <x:c r="H862" s="65" t="str">
        <x:v>中等题</x:v>
      </x:c>
      <x:c r="I862" s="65" t="str">
        <x:v>存在约3—4步常规连续分析、共享过程或完整标准实验任务，关系仍显性。 题目证据：最长连续链实际有2个有效物理决策：首先识别右侧外并联电阻导致左右容器电阻的电流关系，再利用焦耳定律计算热量比。五维中知识量2-3个，过程/对象为单装置下的显性串并联电路识别，数学工具为简单比例计算，情境为教材标准探究实验，思维层次为简单应用分析。任务核心是识别实验的电流控制变量关系，不属于全链耦合或决定性转换。</x:v>
      </x:c>
      <x:c r="J862" s="65" t="str">
        <x:v>三次运行错题并集逐题复核</x:v>
      </x:c>
      <x:c r="K862" s="63" t="str">
        <x:v>在探究电流通过导体时产生热的多少与什么因素有关时，采用了如图所示的实验装置。在相同时间内左右两容器中产生的热量比为（ ）</x:v>
      </x:c>
      <x:c r="L862" s="63" t="str">
        <x:v>A. 1：1 B. 1：2 C. 4：1 D. 1：4</x:v>
      </x:c>
      <x:c r="M862" s="63" t="str">
        <x:v>解：根据图示可知，右侧电阻丝R2与另一电阻丝并联，故左右两容器中电阻丝的电阻和通电时间相同，左侧的电流是右侧电流的2倍，由焦耳定律Q=I2Rt可知，左侧电阻产生热量是右侧电阻产生热量的4倍，即左右两侧容器内空气吸收的热量之比为4：1，故C正确。 故选：C。</x:v>
      </x:c>
      <x:c r="N862" s="63" t="str">
        <x:v>https://k12static.xdf.cn/k12/image/externalized/6b0ad357-2b74-45a5-9c25-c325427f0aac.png</x:v>
      </x:c>
      <x:c r="O862" s="63" t="str">
        <x:v>https://k12static.xdf.cn/k12/image/externalized/74258444-56c9-4e06-a8d2-456c284e36e5.png</x:v>
      </x:c>
      <x:c r="P862" s="63" t="str">
        <x:v>1-2步</x:v>
      </x:c>
      <x:c r="Q862" s="63" t="str">
        <x:v>实验探究</x:v>
      </x:c>
      <x:c r="R862" s="63" t="str">
        <x:v>单状态</x:v>
      </x:c>
      <x:c r="S862" s="63" t="str">
        <x:v>单一约束</x:v>
      </x:c>
      <x:c r="T862" s="63" t="str">
        <x:v>控制变量或故障分析</x:v>
      </x:c>
      <x:c r="U862" s="63" t="str">
        <x:v>无</x:v>
      </x:c>
      <x:c r="V862" s="63" t="str">
        <x:v>简单因果推理</x:v>
      </x:c>
    </x:row>
    <x:row r="863">
      <x:c r="A863" s="64" t="str">
        <x:v>​2839228695145410560</x:v>
      </x:c>
      <x:c r="B863" s="65" t="str">
        <x:v>中等题</x:v>
      </x:c>
      <x:c r="C863" s="65" t="str">
        <x:v>中等题</x:v>
      </x:c>
      <x:c r="D863" s="65" t="str">
        <x:v>中等题</x:v>
      </x:c>
      <x:c r="E863" s="65" t="str">
        <x:v>保留原GPT裁定</x:v>
      </x:c>
      <x:c r="F863" s="65" t="str">
        <x:v>高</x:v>
      </x:c>
      <x:c r="G863" s="65" t="str">
        <x:v>中等题</x:v>
      </x:c>
      <x:c r="H863" s="65" t="str">
        <x:v>中等题</x:v>
      </x:c>
      <x:c r="I863" s="65" t="str">
        <x:v>题干、解析与结构证据支持中等题：step=3-5步，题型=力学综合，状态=双状态，约束=单一约束，推理=多层因果推理。教师、盲评和多次模型证据中未形成足以推翻原裁定的同向结构证据。</x:v>
      </x:c>
      <x:c r="J863" s="65" t="str">
        <x:v>未进入三次错题并集；逐题结构一致性复核</x:v>
      </x:c>
      <x:c r="K863" s="63" t="str">
        <x:v>A、B为两个实心正方体，若A、B密度之比为3：1，高度之比为1：2；B的质量为8kg,边长为0.2m。如图甲所示A对B的压力与B对地的压力之比为 ，如图乙所示，A对地面的压强是 Pa。（g取10N/kg）</x:v>
      </x:c>
      <x:c r="L863" s="63" t="str"/>
      <x:c r="M863" s="63" t="str">
        <x:v>解：（1）B的密度为：ρB=$\frac{{m}_{B}}{{V}_{B}}$=$\frac{8kg}{(0.2m)^{3}}$=1×103kg/m3， 则ρA=3ρB=3×1×103kg/m3=3×103kg/m3， 则hA=$\frac{1}{2}$hB=$\frac{1}{2}$×0.2m=0.1m, 则A的质量为：mA=ρAVA=3×103kg/m3×（0.1m）3=3kg, 则甲图中A对B的压力为：FA=GA=mAg=3kg×10N/kg=30N， B对地的压力为：FB=G总=GA+GB=GA+mBg=30N+8kg×10N/kg=110N， 所以甲图中A对B的压力与B对地的压力之比为：$\frac{{F}_{A}}{{F}_{B}}$=$\frac{30N}{110N}$=$\frac{3}{11}$； （2）乙图中，A对地的压力为：FA′=G总=110N， 则A对地面的压强为：pA=$\frac{{F}_{A}'}{{S}_{A}}$=$\frac{110N}{(0.1m)^{2}}$=1.1×104Pa。 故答案为：3：11；1.1×104。</x:v>
      </x:c>
      <x:c r="N863" s="63" t="str">
        <x:v>https://k12static.xdf.cn/k12/image/externalized/1c01d872-321b-438a-b34a-dba6ab744018.png</x:v>
      </x:c>
      <x:c r="O863" s="63" t="str">
        <x:v>https://k12static.xdf.cn/k12/image/externalized/1b39b54b-0352-43ff-b61c-d382303bcf95.png</x:v>
      </x:c>
      <x:c r="P863" s="63" t="str">
        <x:v>3-5步</x:v>
      </x:c>
      <x:c r="Q863" s="63" t="str">
        <x:v>力学综合</x:v>
      </x:c>
      <x:c r="R863" s="63" t="str">
        <x:v>双状态</x:v>
      </x:c>
      <x:c r="S863" s="63" t="str">
        <x:v>单一约束</x:v>
      </x:c>
      <x:c r="T863" s="63" t="str">
        <x:v>无</x:v>
      </x:c>
      <x:c r="U863" s="63" t="str">
        <x:v>无</x:v>
      </x:c>
      <x:c r="V863" s="63" t="str">
        <x:v>多层因果推理</x:v>
      </x:c>
    </x:row>
    <x:row r="864">
      <x:c r="A864" s="64" t="str">
        <x:v>​2840048869885370368</x:v>
      </x:c>
      <x:c r="B864" s="65" t="str">
        <x:v>基础题</x:v>
      </x:c>
      <x:c r="C864" s="65" t="str">
        <x:v>基础题</x:v>
      </x:c>
      <x:c r="D864" s="65" t="str">
        <x:v>基础题</x:v>
      </x:c>
      <x:c r="E864" s="65" t="str">
        <x:v>保留原GPT裁定</x:v>
      </x:c>
      <x:c r="F864" s="65" t="str">
        <x:v>高</x:v>
      </x:c>
      <x:c r="G864" s="65" t="str">
        <x:v>基础题</x:v>
      </x:c>
      <x:c r="H864" s="65" t="str">
        <x:v>基础题</x:v>
      </x:c>
      <x:c r="I864" s="65" t="str">
        <x:v>题干、解析与结构证据支持基础题：step=1-2步，题型=概念判断，状态=单状态，约束=无约束，推理=简单因果推理。教师、盲评和多次模型证据中未形成足以推翻原裁定的同向结构证据。</x:v>
      </x:c>
      <x:c r="J864" s="65" t="str">
        <x:v>未进入三次错题并集；逐题结构一致性复核</x:v>
      </x:c>
      <x:c r="K864" s="63" t="str">
        <x:v>以下校园活动的场景中，有关说法不正确的是（ ）</x:v>
      </x:c>
      <x:c r="L864" s="63" t="str">
        <x:v>A. 引体向上——当身体上升，使身体向上运动的力的施力物体是单杠 B. 50m跑步——人向后蹬地会向前运动是利用力的作用是相互的 C. 排球比赛——将排球向上垫起上升的过程中，排球受重力方向竖直向下 D. 打篮球——人站在三分线外投篮，当球运动到最高点时所受外力突然全部消失，球将竖直下落</x:v>
      </x:c>
      <x:c r="M864" s="63" t="str">
        <x:v>解：A．引体向上当身体上升，单杠对身体的拉力使身体向上运动，所以使身体向上的力的施力物体是单杠，故A正确； B．50m跑步时，脚用力向后蹬地，地面同时给脚一个向前的反作用力，所以人会向前跑，是利用了物体间力的作用是相互的，故B正确； C．排球比赛将排球向上垫起后，由于地球的吸引，排球受到竖直向下的重力，故C正确； D．打篮球投篮时，球在最高点时，水平方向仍有速度，因此若所受外力全部消失，由牛顿第一定律可知，球将沿水平方向做匀速直线运动，故D错误。 故选：D。</x:v>
      </x:c>
      <x:c r="N864" s="63" t="str">
        <x:v>https://k12static.xdf.cn/k12/image/externalized/7cb32f78-5123-4c0e-a9b1-5edc6c3753b3.png</x:v>
      </x:c>
      <x:c r="O864" s="63" t="str">
        <x:v>https://k12static.xdf.cn/k12/image/externalized/5634d750-a22c-4858-add5-0e0af969206e.png</x:v>
      </x:c>
      <x:c r="P864" s="63" t="str">
        <x:v>1-2步</x:v>
      </x:c>
      <x:c r="Q864" s="63" t="str">
        <x:v>概念判断</x:v>
      </x:c>
      <x:c r="R864" s="63" t="str">
        <x:v>单状态</x:v>
      </x:c>
      <x:c r="S864" s="63" t="str">
        <x:v>无约束</x:v>
      </x:c>
      <x:c r="T864" s="63" t="str">
        <x:v>无</x:v>
      </x:c>
      <x:c r="U864" s="63" t="str">
        <x:v>无</x:v>
      </x:c>
      <x:c r="V864" s="63" t="str">
        <x:v>简单因果推理</x:v>
      </x:c>
    </x:row>
    <x:row r="865">
      <x:c r="A865" s="64" t="str">
        <x:v>​2842500933923696640</x:v>
      </x:c>
      <x:c r="B865" s="65" t="str">
        <x:v>拔高题</x:v>
      </x:c>
      <x:c r="C865" s="65" t="str">
        <x:v>拔高题</x:v>
      </x:c>
      <x:c r="D865" s="65" t="str">
        <x:v>拔高题</x:v>
      </x:c>
      <x:c r="E865" s="65" t="str">
        <x:v>保留原GPT裁定</x:v>
      </x:c>
      <x:c r="F865" s="65" t="str">
        <x:v>高</x:v>
      </x:c>
      <x:c r="G865" s="65" t="str">
        <x:v>拔高题</x:v>
      </x:c>
      <x:c r="H865" s="65" t="str">
        <x:v>拔高题</x:v>
      </x:c>
      <x:c r="I865" s="65" t="str">
        <x:v>题干、解析与结构证据支持拔高题：step=3-5步，题型=实验探究，状态=单状态，约束=单一约束，推理=多层因果推理。教师、盲评和多次模型证据中未形成足以推翻原裁定的同向结构证据。</x:v>
      </x:c>
      <x:c r="J865" s="65" t="str">
        <x:v>未进入三次错题并集；逐题结构一致性复核</x:v>
      </x:c>
      <x:c r="K865" s="63" t="str">
        <x:v>小宁用如图甲所示电路测量小灯泡的电阻，已知小灯泡正常发光时的电压为2.5V。 实验次数 1 2 3 电压/V 2.2 2.5 2.8 电流/A 0.22 0.26 电阻/Ω 10.0 10.8 （1）请用笔画线代替导线，在图甲中将实物电路连接完整，要求滑动变阻器滑片向右移动，小灯泡变暗； （2）闭合开关前，滑动变阻器的滑片P在 ________ 端（选“A”或“B”）；闭合开关后，调节滑动变阻器的滑片P使电压表示数为2.2V，记下对应电流表的示数；调节滑动变阻器滑片P，使电压表示数为2.5V，此时电流表示数如图乙所示； （3）分析表格中实验数据，得出小灯泡正常发光时的电阻为 ________ Ω（结果保留一位小数），三次计算电阻结果 ________ （选填“能”或“不能”）求平均值； （4）另外一名同学在没有电流表的情况下，利用图丙所示的电路也测出了正常发光时的电压是U0的灯泡正常发光时的电阻，已知电源电压为U，定值电阻为R0，请完成以下步骤： ①按图丙所示电路图连接好电路，闭合开关S1、S2，断开开关S3，调节滑动变阻器的滑片使电压表示数为 ________ 。 ②保持滑动变阻器滑片位置不变，闭合开关S1、S3，断开开关S2，记下此时电压表示数为U1； ③小灯泡正常发光时的电阻为R1= ________ 。（用U、U0、U1、R0表示）</x:v>
      </x:c>
      <x:c r="L865" s="63" t="str"/>
      <x:c r="M865" s="63" t="str">
        <x:v>解：（1）小灯泡的额定电压为2.5V，故电压表选用小量程并联在灯泡两端；滑动变阻器滑片向右移动，小灯泡变暗，说明电路中电流变小，滑动变阻器阻值变大，故滑动变阻器选用左下接线柱与电流表串联在电路中，如下图所示： ； （2）为了保护电路，开关闭合前，滑动变阻器滑片移动到阻值最大处，因此闭合开关前，滑动变阻器的滑片P在B端； （3）由（2）可知，小灯泡正常发光时，通过灯泡的电流为0.24A，则小灯泡正常发光时的电阻为： R=$\frac{U_L}{I_L}$=$\frac{2.5V}{0.24A}$≈10.4Ω； 由于灯泡的灯丝电阻随温度的变化而变化，因此三次计算电阻结果不能求平均值； （4）①按图丙所示电路图连接好电路，闭合开关S1、S2，断开开关S3，此时灯泡和两电阻串联，电压表测的是两电阻的两端电压，此时应调节滑动变阻器的滑片，使得小灯泡正常发光，故使电压表示数为U-U0； ②保持滑动变阻器滑片位置不变，闭合开关S1、S3，断开开关S2，此时灯泡和两电阻串联，电压表测的是滑动变阻器的两端电压，记下此时电压表示数为U1；根据串联电路电压规律，定值电阻的两端电压为U定=U-U0-U1，根据串联电路特点和欧姆定律可得，此时的电路电流为： I=$\frac{U_定}{R_0}$=$\frac{U-U_0-U_1}{R_0}$； ③小灯泡正常发光时的电阻为： RL=$\frac{U_0}{I}$=$\frac{U_0}{\frac{U-U_0-U_1}{R_0}}$=$\frac{{U}_{0}}{U-{U}_{0}-{U}_{1}}$R0。 故答案为： （1） ； （2）B； （3）10.4；不能； （4）①U-U0；③$\frac{{U}_{0}}{U-{U}_{0}-{U}_{1}}$R0。</x:v>
      </x:c>
      <x:c r="N865" s="63" t="str">
        <x:v>https://k12static.xdf.cn/k12/image/externalized/590d1aa4-f485-4f78-8e84-1f9af23ab768.png</x:v>
      </x:c>
      <x:c r="O865" s="63" t="str">
        <x:v>https://k12static.xdf.cn/k12/image/externalized/f3f3fa38-2d1d-4634-898f-7b919c368847.png</x:v>
      </x:c>
      <x:c r="P865" s="63" t="str">
        <x:v>3-5步</x:v>
      </x:c>
      <x:c r="Q865" s="63" t="str">
        <x:v>实验探究</x:v>
      </x:c>
      <x:c r="R865" s="63" t="str">
        <x:v>单状态</x:v>
      </x:c>
      <x:c r="S865" s="63" t="str">
        <x:v>单一约束</x:v>
      </x:c>
      <x:c r="T865" s="63" t="str">
        <x:v>方案设计或误差评价</x:v>
      </x:c>
      <x:c r="U865" s="63" t="str">
        <x:v>直接读数</x:v>
      </x:c>
      <x:c r="V865" s="63" t="str">
        <x:v>多层因果推理</x:v>
      </x:c>
    </x:row>
    <x:row r="866">
      <x:c r="A866" s="64" t="str">
        <x:v>​2842598223506108416</x:v>
      </x:c>
      <x:c r="B866" s="65" t="str">
        <x:v>中等题</x:v>
      </x:c>
      <x:c r="C866" s="65" t="str">
        <x:v>中等题</x:v>
      </x:c>
      <x:c r="D866" s="65" t="str">
        <x:v>中等题</x:v>
      </x:c>
      <x:c r="E866" s="65" t="str">
        <x:v>逐题复核后保留GPT裁定</x:v>
      </x:c>
      <x:c r="F866" s="65" t="str">
        <x:v>高</x:v>
      </x:c>
      <x:c r="G866" s="65" t="str">
        <x:v>中等题</x:v>
      </x:c>
      <x:c r="H866" s="65" t="str">
        <x:v>中等题</x:v>
      </x:c>
      <x:c r="I866" s="65" t="str">
        <x:v>存在约3—4步常规连续分析、共享过程或完整标准实验任务，关系仍显性。 题目证据：保留原标。最长有效链为1-2步、题型为概念判断、推理为多层因果推理，与中等题边界一致。 复核证据：教师标签与独立盲评一致；三次模型运行使用相近提示词，仅作为辅助证据，不足以推翻两者一致结论。。</x:v>
      </x:c>
      <x:c r="J866" s="65" t="str">
        <x:v>三次运行错题并集逐题复核</x:v>
      </x:c>
      <x:c r="K866" s="63" t="str">
        <x:v>如图所示，下列情况受力分析正确的是（不计空气阻力）（ ）</x:v>
      </x:c>
      <x:c r="L866" s="63" t="str">
        <x:v>A. 甲图为物体沿粗糙斜面匀速下滑 B. 乙图为被弹簧弹起的小球向上运动 C. 丙图为物块在水平力F的作用下，恰好沿竖直墙面匀速下滑 D. 丁图为木块竖立在小车上，随小车一起以相同的速度向右做匀速直线运动</x:v>
      </x:c>
      <x:c r="M866" s="63" t="str">
        <x:v>解：如图中所示，对物体所处的运动状态，逐一分析其受力情况知： A．物体沿粗糙斜面匀速下滑，对斜面的压力作用在斜面上，不应该画在物体上，故A错误； B．小球离开弹簧后不再受到弹力，只受重力，故B错误； C、物块在水平力F的作用下，恰好沿竖直墙面匀速下滑，受力平衡，水平方向压力和支持力平衡，竖直方向重力与摩擦力平衡，故C正确； D、木块竖立在小车上，随小车一起以相同的速度向右做匀速直线运动，没有相对运动或相对运动趋势，因而不受摩擦力，也没有推力F，故水平方向不受力，故D错误。 故选：C。</x:v>
      </x:c>
      <x:c r="N866" s="63" t="str">
        <x:v>https://k12static.xdf.cn/k12/image/externalized/384b1d8a-c9c8-40c3-b0bb-39b10c1927b2.png</x:v>
      </x:c>
      <x:c r="O866" s="63" t="str">
        <x:v>https://k12static.xdf.cn/k12/image/externalized/96f334d7-a8cb-4ccb-8464-09ee741bd1be.png</x:v>
      </x:c>
      <x:c r="P866" s="63" t="str">
        <x:v>1-2步</x:v>
      </x:c>
      <x:c r="Q866" s="63" t="str">
        <x:v>概念判断</x:v>
      </x:c>
      <x:c r="R866" s="63" t="str">
        <x:v>单状态</x:v>
      </x:c>
      <x:c r="S866" s="63" t="str">
        <x:v>无约束</x:v>
      </x:c>
      <x:c r="T866" s="63" t="str">
        <x:v>无</x:v>
      </x:c>
      <x:c r="U866" s="63" t="str">
        <x:v>无</x:v>
      </x:c>
      <x:c r="V866" s="63" t="str">
        <x:v>多层因果推理</x:v>
      </x:c>
    </x:row>
    <x:row r="867">
      <x:c r="A867" s="64" t="str">
        <x:v>​2843099243587051520</x:v>
      </x:c>
      <x:c r="B867" s="65" t="str">
        <x:v>拔高题</x:v>
      </x:c>
      <x:c r="C867" s="65" t="str">
        <x:v>拔高题</x:v>
      </x:c>
      <x:c r="D867" s="65" t="str">
        <x:v>拔高题</x:v>
      </x:c>
      <x:c r="E867" s="65" t="str">
        <x:v>保留原GPT裁定</x:v>
      </x:c>
      <x:c r="F867" s="65" t="str">
        <x:v>高</x:v>
      </x:c>
      <x:c r="G867" s="65" t="str">
        <x:v>拔高题</x:v>
      </x:c>
      <x:c r="H867" s="65" t="str">
        <x:v>拔高题</x:v>
      </x:c>
      <x:c r="I867" s="65" t="str">
        <x:v>题干、解析与结构证据支持拔高题：step=3-5步，题型=力学综合，状态=多状态，约束=单一约束，推理=多层因果推理。教师、盲评和多次模型证据中未形成足以推翻原裁定的同向结构证据。</x:v>
      </x:c>
      <x:c r="J867" s="65" t="str">
        <x:v>未进入三次错题并集；逐题结构一致性复核</x:v>
      </x:c>
      <x:c r="K867" s="63" t="str">
        <x:v>如图甲所示，利用拉力F将木块从一个弯折的管道左端拉进，右端拉出。已知竖直管口对木块的挤压作用完全相同，并测得拉动全过程中拉力和木块移动速度随时间变化的图像如图乙所示。则下列说法正确的是（ ）</x:v>
      </x:c>
      <x:c r="L867" s="63" t="str">
        <x:v>A. 木块的重力为2N B. 竖直管口对木块的摩擦力为12N C. 水平管口对木块的摩擦力为3N D. 三个过程中物体都处于平衡状态</x:v>
      </x:c>
      <x:c r="M867" s="63" t="str">
        <x:v>解：AB、由甲、乙两图得出： 木块上升时，向下的重力、向下的摩擦力与拉力平衡，所以有：G+f=12N ①； 木块下降时，向下的重力、向下的拉力与摩擦力平衡，所以有：G+8N=f ②； 联立得：G=2N；f=10N，故A正确，B错误； CD、水平拉动时，木块所受的摩擦力等于拉力，为5N，木块处于平衡状态，故C错误，D正确。 故选：AD。</x:v>
      </x:c>
      <x:c r="N867" s="63" t="str">
        <x:v>https://k12static.xdf.cn/k12/image/externalized/65aff6ba-1a15-404a-95e7-7ca5780fac3b.png</x:v>
      </x:c>
      <x:c r="O867" s="63" t="str">
        <x:v>https://k12static.xdf.cn/k12/image/externalized/e6bf6453-6bf2-436a-bbd6-2fcdffb6811e.png</x:v>
      </x:c>
      <x:c r="P867" s="63" t="str">
        <x:v>3-5步</x:v>
      </x:c>
      <x:c r="Q867" s="63" t="str">
        <x:v>力学综合</x:v>
      </x:c>
      <x:c r="R867" s="63" t="str">
        <x:v>多状态</x:v>
      </x:c>
      <x:c r="S867" s="63" t="str">
        <x:v>单一约束</x:v>
      </x:c>
      <x:c r="T867" s="63" t="str">
        <x:v>无</x:v>
      </x:c>
      <x:c r="U867" s="63" t="str">
        <x:v>直接读数</x:v>
      </x:c>
      <x:c r="V867" s="63" t="str">
        <x:v>多层因果推理</x:v>
      </x:c>
    </x:row>
    <x:row r="868">
      <x:c r="A868" s="64" t="str">
        <x:v>​2851465867814342656</x:v>
      </x:c>
      <x:c r="B868" s="65" t="str">
        <x:v>拔高题</x:v>
      </x:c>
      <x:c r="C868" s="65" t="str">
        <x:v>拔高题</x:v>
      </x:c>
      <x:c r="D868" s="65" t="str">
        <x:v>拔高题</x:v>
      </x:c>
      <x:c r="E868" s="65" t="str">
        <x:v>保留原GPT裁定</x:v>
      </x:c>
      <x:c r="F868" s="65" t="str">
        <x:v>高</x:v>
      </x:c>
      <x:c r="G868" s="65" t="str">
        <x:v>拔高题</x:v>
      </x:c>
      <x:c r="H868" s="65" t="str">
        <x:v>拔高题</x:v>
      </x:c>
      <x:c r="I868" s="65" t="str">
        <x:v>题干、解析与结构证据支持拔高题：step=3-5步，题型=力学综合，状态=双状态，约束=单一约束，推理=多层因果推理。教师、盲评和多次模型证据中未形成足以推翻原裁定的同向结构证据。</x:v>
      </x:c>
      <x:c r="J868" s="65" t="str">
        <x:v>未进入三次错题并集；逐题结构一致性复核</x:v>
      </x:c>
      <x:c r="K868" s="63" t="str">
        <x:v>如图所示，重为G1的金属块静止在水平地面上时，对地面的压强为5.4×105Pa；现将金属块用细绳挂在轻质杠杆的A端，B端悬挂重为G2的物体，如图所示，当杠杆在水平位置平衡时，金属块对地面的压强为1.8×105Pa,已知B端所挂物体的质量为4kg,OA：OB=3：5。要使金属块离开地面，则（g取10N/kg）（ ）</x:v>
      </x:c>
      <x:c r="L868" s="63" t="str">
        <x:v>A. 轻质杠杆B端所挂物体的质量至少为6kg B. 金属块对地面的压强只需减少3.6×105Pa C. 只需移动支点的位置，使支点左右两侧的力臂之比为5：1 D. 只需移动支点的位置，使支点左右两侧的力臂之比为2：5</x:v>
      </x:c>
      <x:c r="M868" s="63" t="str">
        <x:v>解：设金属块与地面的接触面积为S， 当金属块静止在水平地面上时，对地面的压强： p=$\frac{F}{S}$=$\frac{{G}_{1}}{S}$=5.4×105Pa；------------① 当B端所挂物体G2时， 根据杠杆平衡条件知，FA×OA=G2×OB， 解得FA=$\frac{{G}_{2}×OB}{OA}$=$\frac{5}{3}$G2=$\frac{5}{3}$mg=$\frac{5}{3}$×4kg×10N/kg=$\frac{200}{3}$N， 对地面的压力： F′=G1-FA=G1-$\frac{200}{3}$N， 对地面的压强： p′=$\frac{F′}{S}$=$\frac{{G}_{1}-\frac{200}{3}N}{S}$=1.8×105Pa；--------------② 联立①②解得： G1=100N； A、要使金属块离开地面，A端拉力FA′=G1=100N，因为FA′×OA=G2′×OB，所以G2′=$\frac{{F}_{A}′×OA}{OB}$=$\frac{100N×3}{5}$=60N，所以B端所挂物体的质量至少为6kg,故A正确； B、金属块静止在水平地面上时对地面的压强为5.4×105Pa,要使金属块离开地面，金属块对地面的压强的减小值应为5.4×105Pa,故B错； C、D、要使金属块离开地面，A端拉力FA′=G1=100N，B端所挂物体的质量为4kg,G2=m2g=4kg×10N/kg=40N，要使杠杆平衡， FA′×OA′=G2×OB′， 即OA′：OB′=G2：FA′=40N：100N=2：5，故C错、D正确。 故选：AD。</x:v>
      </x:c>
      <x:c r="N868" s="63" t="str">
        <x:v>https://k12static.xdf.cn/k12/image/externalized/a77569ef-9a79-47d4-91b4-34033c12610f.png</x:v>
      </x:c>
      <x:c r="O868" s="63" t="str">
        <x:v>https://k12static.xdf.cn/k12/image/externalized/6911bbd4-33fa-4761-bbb8-263bf78571db.png</x:v>
      </x:c>
      <x:c r="P868" s="63" t="str">
        <x:v>3-5步</x:v>
      </x:c>
      <x:c r="Q868" s="63" t="str">
        <x:v>力学综合</x:v>
      </x:c>
      <x:c r="R868" s="63" t="str">
        <x:v>双状态</x:v>
      </x:c>
      <x:c r="S868" s="63" t="str">
        <x:v>单一约束</x:v>
      </x:c>
      <x:c r="T868" s="63" t="str">
        <x:v>无</x:v>
      </x:c>
      <x:c r="U868" s="63" t="str">
        <x:v>无</x:v>
      </x:c>
      <x:c r="V868" s="63" t="str">
        <x:v>多层因果推理</x:v>
      </x:c>
    </x:row>
    <x:row r="869">
      <x:c r="A869" s="64" t="str">
        <x:v>​2851621507063611392</x:v>
      </x:c>
      <x:c r="B869" s="65" t="str">
        <x:v>送分题</x:v>
      </x:c>
      <x:c r="C869" s="65" t="str">
        <x:v>送分题</x:v>
      </x:c>
      <x:c r="D869" s="65" t="str">
        <x:v>送分题</x:v>
      </x:c>
      <x:c r="E869" s="65" t="str">
        <x:v>保留原GPT裁定</x:v>
      </x:c>
      <x:c r="F869" s="65" t="str">
        <x:v>高</x:v>
      </x:c>
      <x:c r="G869" s="65" t="str">
        <x:v>送分题</x:v>
      </x:c>
      <x:c r="H869" s="65" t="str">
        <x:v>送分题</x:v>
      </x:c>
      <x:c r="I869" s="65" t="str">
        <x:v>题干、解析与结构证据支持送分题：step=1-2步，题型=概念判断，状态=单状态，约束=无约束，推理=直接套用。教师、盲评和多次模型证据中未形成足以推翻原裁定的同向结构证据。</x:v>
      </x:c>
      <x:c r="J869" s="65" t="str">
        <x:v>未进入三次错题并集；逐题结构一致性复核</x:v>
      </x:c>
      <x:c r="K869" s="63" t="str">
        <x:v>想要让水沸腾需要满足哪些条件？（ ）</x:v>
      </x:c>
      <x:c r="L869" s="63" t="str">
        <x:v>A. 需要氧气 B. 达到沸点 C. 达到着火点 D. 持续吸热</x:v>
      </x:c>
      <x:c r="M869" s="63" t="str">
        <x:v>要使液体沸腾，必须同时满足两个条件：第一，温度要达到液体的沸点；第二，还要不断地加热。 不同液体的沸点不同，水的沸点在1标准大气压下是100℃；当水达到沸点之后，如果不能继续吸热，那它也不能沸腾。</x:v>
      </x:c>
      <x:c r="N869" s="63" t="str">
        <x:v>https://k12static.xdf.cn/k12/image/externalized/e613da17-bd82-4274-aee8-2c2aadb7fd37.png</x:v>
      </x:c>
      <x:c r="O869" s="63" t="str">
        <x:v>https://k12static.xdf.cn/k12/image/externalized/99a42b70-799a-4ac7-923d-4080715702a5.png</x:v>
      </x:c>
      <x:c r="P869" s="63" t="str">
        <x:v>1-2步</x:v>
      </x:c>
      <x:c r="Q869" s="63" t="str">
        <x:v>概念判断</x:v>
      </x:c>
      <x:c r="R869" s="63" t="str">
        <x:v>单状态</x:v>
      </x:c>
      <x:c r="S869" s="63" t="str">
        <x:v>无约束</x:v>
      </x:c>
      <x:c r="T869" s="63" t="str">
        <x:v>无</x:v>
      </x:c>
      <x:c r="U869" s="63" t="str">
        <x:v>无</x:v>
      </x:c>
      <x:c r="V869" s="63" t="str">
        <x:v>直接套用</x:v>
      </x:c>
    </x:row>
    <x:row r="870">
      <x:c r="A870" s="64" t="str">
        <x:v>​2852631385741746176</x:v>
      </x:c>
      <x:c r="B870" s="65" t="str">
        <x:v>中等题</x:v>
      </x:c>
      <x:c r="C870" s="65" t="str">
        <x:v>中等题</x:v>
      </x:c>
      <x:c r="D870" s="65" t="str">
        <x:v>中等题</x:v>
      </x:c>
      <x:c r="E870" s="65" t="str">
        <x:v>保留原GPT裁定</x:v>
      </x:c>
      <x:c r="F870" s="65" t="str">
        <x:v>高</x:v>
      </x:c>
      <x:c r="G870" s="65" t="str">
        <x:v>中等题</x:v>
      </x:c>
      <x:c r="H870" s="65" t="str">
        <x:v>中等题</x:v>
      </x:c>
      <x:c r="I870" s="65" t="str">
        <x:v>题干、解析与结构证据支持中等题：step=3-5步，题型=图像表格分析，状态=单状态，约束=单一约束，推理=多层因果推理。教师、盲评和多次模型证据中未形成足以推翻原裁定的同向结构证据。</x:v>
      </x:c>
      <x:c r="J870" s="65" t="str">
        <x:v>未进入三次错题并集；逐题结构一致性复核</x:v>
      </x:c>
      <x:c r="K870" s="63" t="str">
        <x:v>向两个相同的容积为100mL的容器中分别装入甲、乙两种液体。液体与容器的总质量m与液体的体积V之间关系如图所示。由图象可知（ ）</x:v>
      </x:c>
      <x:c r="L870" s="63" t="str">
        <x:v>A. 甲液体的密度为0.5g/cm3 B. 甲、乙液体的密度之比为2：5 C. 该容器最多能装25g甲液体 D. 该容器装满乙液体的质量为100g</x:v>
      </x:c>
      <x:c r="M870" s="63" t="str">
        <x:v>解：A、由图像可知，当液体体积为0cm3时，液体与烧杯的总质量是20g,则烧杯质量m杯=20g, 由图像可知，当甲液体的体积V=80cm3时，甲液体与烧杯总质量为40g,则甲液体的质量m甲=40g-20g=20g, 则甲液体的密度：ρ甲=$\frac{{m}_{甲}}{V}=\frac{20g}{80c{m}^{3}}$=0.25g/cm3，故A错误； B、由图像可知，当乙液体的体积V=80cm3时，乙液体与烧杯总质量为100g,则乙液体的质量m乙=100g-20g=80g, 则乙液体的密度：ρ乙=$\frac{{m}_{乙}}{V}=\frac{80g}{80c{m}^{3}}$=1g/cm3，甲、乙两种液体的密度之比ρ甲：ρ乙=0.25g/cm3：1g/cm3=1：4，故B错误； C、已知容器的最大容积是100mL，即可装甲、乙液体的最大体积为：V′=100cm3， 该容器最多能装甲液体的质量为：m′甲=ρ甲V′=0.25g/cm3×100cm3=25g,故C正确； D、该容器装满乙液体的质量为：m′乙=ρ乙V′=1g/cm3×100cm3=100g,则此时液体和容器的总质量为m总=m′乙+m杯=100g+20g=120g,故D错误。 故选：C。</x:v>
      </x:c>
      <x:c r="N870" s="63" t="str">
        <x:v>https://k12static.xdf.cn/k12/image/externalized/591931b0-338b-4f5c-a453-90bb120a2fbc.png</x:v>
      </x:c>
      <x:c r="O870" s="63" t="str">
        <x:v>https://k12static.xdf.cn/k12/image/externalized/5e3e53be-6ea3-4cb2-875b-413aa2cac95b.png</x:v>
      </x:c>
      <x:c r="P870" s="63" t="str">
        <x:v>3-5步</x:v>
      </x:c>
      <x:c r="Q870" s="63" t="str">
        <x:v>图像表格分析</x:v>
      </x:c>
      <x:c r="R870" s="63" t="str">
        <x:v>单状态</x:v>
      </x:c>
      <x:c r="S870" s="63" t="str">
        <x:v>单一约束</x:v>
      </x:c>
      <x:c r="T870" s="63" t="str">
        <x:v>无</x:v>
      </x:c>
      <x:c r="U870" s="63" t="str">
        <x:v>直接读数</x:v>
      </x:c>
      <x:c r="V870" s="63" t="str">
        <x:v>多层因果推理</x:v>
      </x:c>
    </x:row>
    <x:row r="871">
      <x:c r="A871" s="64" t="str">
        <x:v>​2852664033346949120</x:v>
      </x:c>
      <x:c r="B871" s="65" t="str">
        <x:v>送分题</x:v>
      </x:c>
      <x:c r="C871" s="65" t="str">
        <x:v>送分题</x:v>
      </x:c>
      <x:c r="D871" s="65" t="str">
        <x:v>送分题</x:v>
      </x:c>
      <x:c r="E871" s="65" t="str">
        <x:v>保留原GPT裁定</x:v>
      </x:c>
      <x:c r="F871" s="65" t="str">
        <x:v>高</x:v>
      </x:c>
      <x:c r="G871" s="65" t="str">
        <x:v>送分题</x:v>
      </x:c>
      <x:c r="H871" s="65" t="str">
        <x:v>送分题</x:v>
      </x:c>
      <x:c r="I871" s="65" t="str">
        <x:v>题干、解析与结构证据支持送分题：step=1-2步，题型=概念判断，状态=单状态，约束=无约束，推理=直接套用。教师、盲评和多次模型证据中未形成足以推翻原裁定的同向结构证据。</x:v>
      </x:c>
      <x:c r="J871" s="65" t="str">
        <x:v>未进入三次错题并集；逐题结构一致性复核</x:v>
      </x:c>
      <x:c r="K871" s="63" t="str">
        <x:v>“估测”是物理学中常用的一种方法，下面是一些估测的物理量，其中合理的是（ ）</x:v>
      </x:c>
      <x:c r="L871" s="63" t="str">
        <x:v>A. 成年人的正常体温约为37℃ B. 微波炉的额定功率约为900W C. 卧室空调工作1h约耗1度电 D. 对人体的安全电压不高于36V</x:v>
      </x:c>
      <x:c r="M871" s="63" t="str">
        <x:v>解：A、成年人的正常体温约为37℃，故A正确； B、微波炉有不同规格，额定功率一般为900W左右，故B正确； C、卧室空调的额定功率约为1kW，工作1h耗电量为W=Pt=1kW×1h=1kW•h=1度，故C正确； D、对人体的安全电压不高于36V，故D正确。 故答案为：ABCD。</x:v>
      </x:c>
      <x:c r="N871" s="63" t="str">
        <x:v>https://k12static.xdf.cn/k12/image/externalized/e78a7636-29f8-4495-b559-5fd2e2bc1b54.png</x:v>
      </x:c>
      <x:c r="O871" s="63" t="str">
        <x:v>https://k12static.xdf.cn/k12/image/externalized/81be3883-7f2b-4ba8-942c-fa7e254510b0.png</x:v>
      </x:c>
      <x:c r="P871" s="63" t="str">
        <x:v>1-2步</x:v>
      </x:c>
      <x:c r="Q871" s="63" t="str">
        <x:v>概念判断</x:v>
      </x:c>
      <x:c r="R871" s="63" t="str">
        <x:v>单状态</x:v>
      </x:c>
      <x:c r="S871" s="63" t="str">
        <x:v>无约束</x:v>
      </x:c>
      <x:c r="T871" s="63" t="str">
        <x:v>无</x:v>
      </x:c>
      <x:c r="U871" s="63" t="str">
        <x:v>无</x:v>
      </x:c>
      <x:c r="V871" s="63" t="str">
        <x:v>直接套用</x:v>
      </x:c>
    </x:row>
    <x:row r="872">
      <x:c r="A872" s="64" t="str">
        <x:v>​2852802132670771200</x:v>
      </x:c>
      <x:c r="B872" s="65" t="str">
        <x:v>基础题</x:v>
      </x:c>
      <x:c r="C872" s="65" t="str">
        <x:v>基础题</x:v>
      </x:c>
      <x:c r="D872" s="65" t="str">
        <x:v>基础题</x:v>
      </x:c>
      <x:c r="E872" s="65" t="str">
        <x:v>保留原GPT裁定</x:v>
      </x:c>
      <x:c r="F872" s="65" t="str">
        <x:v>高</x:v>
      </x:c>
      <x:c r="G872" s="65" t="str">
        <x:v>基础题</x:v>
      </x:c>
      <x:c r="H872" s="65" t="str">
        <x:v>基础题</x:v>
      </x:c>
      <x:c r="I872" s="65" t="str">
        <x:v>题干、解析与结构证据支持基础题：step=1-2步，题型=概念判断，状态=单状态，约束=无约束，推理=简单因果推理。教师、盲评和多次模型证据中未形成足以推翻原裁定的同向结构证据。</x:v>
      </x:c>
      <x:c r="J872" s="65" t="str">
        <x:v>未进入三次错题并集；逐题结构一致性复核</x:v>
      </x:c>
      <x:c r="K872" s="63" t="str">
        <x:v>中华茶文化源远流长，其中泡茶蕴含着许多物理知识，如图所示为小洛冲泡的一杯茶水，下列对泡茶过程中的情景分析错误的是（ ）</x:v>
      </x:c>
      <x:c r="L872" s="63" t="str">
        <x:v>A. 茶杯外壁的两颗水珠融合在一起，说明分子间存在引力 B. 茶叶罐中的茶叶间有缝隙，说明分子间有间隙 C. 泡茶时茶香四溢，说明分子在不停地做无规则运动 D. 用高温的水能更快泡出茶色，说明分子热运动与温度有关</x:v>
      </x:c>
      <x:c r="M872" s="63" t="str">
        <x:v>解：A、茶杯外壁附着的水珠不掉落，是因为分子间存在相互作用的引力，故A正确； B、茶叶罐中的茶叶间有缝隙，这不是分子间的间隙，故B错误； C、泡茶时茶香四溢，这是扩散现象，说明分子在不停地做无规则运动，故C正确； D、用开水能更快泡出茶色，是因为温度越高，分子无规则运动越剧烈，故D正确。 故选：B。</x:v>
      </x:c>
      <x:c r="N872" s="63" t="str">
        <x:v>https://k12static.xdf.cn/k12/image/externalized/8c80164a-dfe3-4124-9bfc-4575d91f3cd2.png</x:v>
      </x:c>
      <x:c r="O872" s="63" t="str">
        <x:v>https://k12static.xdf.cn/k12/image/externalized/a3769c6b-024b-4824-8043-9647f79200d0.png</x:v>
      </x:c>
      <x:c r="P872" s="63" t="str">
        <x:v>1-2步</x:v>
      </x:c>
      <x:c r="Q872" s="63" t="str">
        <x:v>概念判断</x:v>
      </x:c>
      <x:c r="R872" s="63" t="str">
        <x:v>单状态</x:v>
      </x:c>
      <x:c r="S872" s="63" t="str">
        <x:v>无约束</x:v>
      </x:c>
      <x:c r="T872" s="63" t="str">
        <x:v>无</x:v>
      </x:c>
      <x:c r="U872" s="63" t="str">
        <x:v>无</x:v>
      </x:c>
      <x:c r="V872" s="63" t="str">
        <x:v>简单因果推理</x:v>
      </x:c>
    </x:row>
    <x:row r="873">
      <x:c r="A873" s="64" t="str">
        <x:v>​2859939484863082496</x:v>
      </x:c>
      <x:c r="B873" s="65" t="str">
        <x:v>基础题</x:v>
      </x:c>
      <x:c r="C873" s="65" t="str">
        <x:v>基础题</x:v>
      </x:c>
      <x:c r="D873" s="65" t="str">
        <x:v>基础题</x:v>
      </x:c>
      <x:c r="E873" s="65" t="str">
        <x:v>保留原GPT裁定</x:v>
      </x:c>
      <x:c r="F873" s="65" t="str">
        <x:v>高</x:v>
      </x:c>
      <x:c r="G873" s="65" t="str">
        <x:v>基础题</x:v>
      </x:c>
      <x:c r="H873" s="65" t="str">
        <x:v>基础题</x:v>
      </x:c>
      <x:c r="I873" s="65" t="str">
        <x:v>题干、解析与结构证据支持基础题：step=1-2步，题型=概念判断，状态=单状态，约束=无约束，推理=简单因果推理。教师、盲评和多次模型证据中未形成足以推翻原裁定的同向结构证据。</x:v>
      </x:c>
      <x:c r="J873" s="65" t="str">
        <x:v>未进入三次错题并集；逐题结构一致性复核</x:v>
      </x:c>
      <x:c r="K873" s="63" t="str">
        <x:v>冬日即将来临，气温逐渐降低，测量气温时温度计内水银柱慢慢降低，此过程中水银的（ ）</x:v>
      </x:c>
      <x:c r="L873" s="63" t="str">
        <x:v>A. 质量变小 B. 密度变大 C. 温度不变 D. 体积不变</x:v>
      </x:c>
      <x:c r="M873" s="63" t="str">
        <x:v>解： A．质量是物体的一种基本属性，与物体的状态、形状、温度、所处的空间位置的变化无关，故水银柱慢慢降低时，质量不变，故A错误； BD．装在温度计的水银质量不变，但随着温度降低，温度计内水银柱慢慢降低，体积减小，根据$ρ=\frac{m}{V}$可知，它的密度变大，故B正确、D错误； C．冬日即将来临，气温逐渐降低，温度计内水银柱慢慢降低，此时温度计中的水银温度降低，体积变小，故C错误。 故选：B。</x:v>
      </x:c>
      <x:c r="N873" s="63" t="str">
        <x:v>https://k12static.xdf.cn/k12/image/externalized/a3ff0196-3416-49d8-936b-c434d27eb83d.png</x:v>
      </x:c>
      <x:c r="O873" s="63" t="str">
        <x:v>https://k12static.xdf.cn/k12/image/externalized/84735cb6-ee15-478d-95f5-f372e2c5cd2c.png</x:v>
      </x:c>
      <x:c r="P873" s="63" t="str">
        <x:v>1-2步</x:v>
      </x:c>
      <x:c r="Q873" s="63" t="str">
        <x:v>概念判断</x:v>
      </x:c>
      <x:c r="R873" s="63" t="str">
        <x:v>单状态</x:v>
      </x:c>
      <x:c r="S873" s="63" t="str">
        <x:v>无约束</x:v>
      </x:c>
      <x:c r="T873" s="63" t="str">
        <x:v>无</x:v>
      </x:c>
      <x:c r="U873" s="63" t="str">
        <x:v>无</x:v>
      </x:c>
      <x:c r="V873" s="63" t="str">
        <x:v>简单因果推理</x:v>
      </x:c>
    </x:row>
    <x:row r="874">
      <x:c r="A874" s="64" t="str">
        <x:v>​2862764913663160320</x:v>
      </x:c>
      <x:c r="B874" s="65" t="str">
        <x:v>基础题</x:v>
      </x:c>
      <x:c r="C874" s="65" t="str">
        <x:v>基础题</x:v>
      </x:c>
      <x:c r="D874" s="65" t="str">
        <x:v>基础题</x:v>
      </x:c>
      <x:c r="E874" s="65" t="str">
        <x:v>逐题复核后保留GPT裁定</x:v>
      </x:c>
      <x:c r="F874" s="65" t="str">
        <x:v>高</x:v>
      </x:c>
      <x:c r="G874" s="65" t="str">
        <x:v>基础题</x:v>
      </x:c>
      <x:c r="H874" s="65" t="str">
        <x:v>基础题</x:v>
      </x:c>
      <x:c r="I874" s="65" t="str">
        <x:v>最高难任务为1—2步显性应用、规范操作或简单因果，没有连续模型转换。 题目证据：最长连续链为单个选项1步有效推理，五维锚定属于基础题。所有选项分别考查磁现象基础概念，每个选项只需直接调用教材结论判断正误，无复杂过程分析或综合应用。</x:v>
      </x:c>
      <x:c r="J874" s="65" t="str">
        <x:v>三次运行错题并集逐题复核</x:v>
      </x:c>
      <x:c r="K874" s="63" t="str">
        <x:v>最早的磁化技术出现在我国宋代。据《武经总要》记载，古人先将鱼形铁烧红，令铁鱼头尾指向南北，然后将其放入水中冷却，依靠地磁场获得磁性，再将其放入水中漂浮制成指南鱼，静止时便能为人们指明方向。如图，若指南鱼被磁化后，鱼头为该磁体的N极，则下列说法中正确的是（ ）</x:v>
      </x:c>
      <x:c r="L874" s="63" t="str">
        <x:v>A. 被磁化后，指南鱼周围产生磁感线 B. 被磁化后，指南鱼就不再会被其他磁体吸引 C. 指南鱼在水中静止时，鱼头指向地理南方 D. 指南鱼在水中静止时，鱼头指向地磁场南极</x:v>
      </x:c>
      <x:c r="M874" s="63" t="str">
        <x:v>解：A．磁感线是不存在的，被磁化后，指南鱼周围不会产生磁感线，故A错误； B．被磁化后，指南鱼仍会被其他磁体吸引，故B错误； C．指南鱼在水中静止时，鱼头指向地理南方，故C正确； D．指南鱼在水中静止时，鱼头指向地磁场北极，故D错误。 故选：C。</x:v>
      </x:c>
      <x:c r="N874" s="63" t="str">
        <x:v>https://k12static.xdf.cn/k12/image/externalized/c0df069c-5339-4500-ab00-677ab9b15fff.png</x:v>
      </x:c>
      <x:c r="O874" s="63" t="str">
        <x:v>https://k12static.xdf.cn/k12/image/externalized/ca2112e6-b730-4578-9c5e-f709acf91ed9.png</x:v>
      </x:c>
      <x:c r="P874" s="63" t="str">
        <x:v>1-2步</x:v>
      </x:c>
      <x:c r="Q874" s="63" t="str">
        <x:v>概念判断</x:v>
      </x:c>
      <x:c r="R874" s="63" t="str">
        <x:v>单状态</x:v>
      </x:c>
      <x:c r="S874" s="63" t="str">
        <x:v>无约束</x:v>
      </x:c>
      <x:c r="T874" s="63" t="str">
        <x:v>无</x:v>
      </x:c>
      <x:c r="U874" s="63" t="str">
        <x:v>无</x:v>
      </x:c>
      <x:c r="V874" s="63" t="str">
        <x:v>简单因果推理</x:v>
      </x:c>
    </x:row>
    <x:row r="875">
      <x:c r="A875" s="64" t="str">
        <x:v>​2863124294878400512</x:v>
      </x:c>
      <x:c r="B875" s="65" t="str">
        <x:v>基础题</x:v>
      </x:c>
      <x:c r="C875" s="65" t="str">
        <x:v>基础题</x:v>
      </x:c>
      <x:c r="D875" s="65" t="str">
        <x:v>基础题</x:v>
      </x:c>
      <x:c r="E875" s="65" t="str">
        <x:v>保留原GPT裁定</x:v>
      </x:c>
      <x:c r="F875" s="65" t="str">
        <x:v>高</x:v>
      </x:c>
      <x:c r="G875" s="65" t="str">
        <x:v>基础题</x:v>
      </x:c>
      <x:c r="H875" s="65" t="str">
        <x:v>基础题</x:v>
      </x:c>
      <x:c r="I875" s="65" t="str">
        <x:v>题干、解析与结构证据支持基础题：step=1-2步，题型=概念判断，状态=单状态，约束=无约束，推理=简单因果推理。教师、盲评和多次模型证据中未形成足以推翻原裁定的同向结构证据。</x:v>
      </x:c>
      <x:c r="J875" s="65" t="str">
        <x:v>未进入三次错题并集；逐题结构一致性复核</x:v>
      </x:c>
      <x:c r="K875" s="63" t="str">
        <x:v>如图所示，当人驾驶平衡车在水平路面上匀速直线运动时，下列说法正确的是（ ）</x:v>
      </x:c>
      <x:c r="L875" s="63" t="str">
        <x:v>A. 平衡车对人的支持力是由于车的形变产生的 B. 平衡车受到的重力和地面对车的支持力是一对平衡力 C. 平衡车突然停止时，人会向前倾，是因为人受到惯性 D. 若平衡车在运动过程中所受的力全部消失，平衡车会慢慢停下来</x:v>
      </x:c>
      <x:c r="M875" s="63" t="str">
        <x:v>解：A、人对平衡车有压力，平衡车对人有支持力，所以平衡车对人的支持力是由于车的形变产生的，故A正确； B、平衡车受到的重力和地面对车的支持力，这两个力大小不同，所以不是一对平衡力，故B错误； C、平衡车突然停止时，人会向前倾，是因为人具有惯性，惯性不是力，不能说受到惯性，故C错误； D、若平衡车在运动过程中所受的力全部消失，由牛顿第一定律可知，平衡车会保持原来的运动状态，即做匀速直线运动，故D错误。 故选：A。</x:v>
      </x:c>
      <x:c r="N875" s="63" t="str">
        <x:v>https://k12static.xdf.cn/k12/image/externalized/781a1b9f-e4ac-4580-a2de-08b027720719.png</x:v>
      </x:c>
      <x:c r="O875" s="63" t="str">
        <x:v>https://k12static.xdf.cn/k12/image/externalized/d2f9920f-5b7e-4322-a620-56fc1c6577cd.png</x:v>
      </x:c>
      <x:c r="P875" s="63" t="str">
        <x:v>1-2步</x:v>
      </x:c>
      <x:c r="Q875" s="63" t="str">
        <x:v>概念判断</x:v>
      </x:c>
      <x:c r="R875" s="63" t="str">
        <x:v>单状态</x:v>
      </x:c>
      <x:c r="S875" s="63" t="str">
        <x:v>无约束</x:v>
      </x:c>
      <x:c r="T875" s="63" t="str">
        <x:v>无</x:v>
      </x:c>
      <x:c r="U875" s="63" t="str">
        <x:v>无</x:v>
      </x:c>
      <x:c r="V875" s="63" t="str">
        <x:v>简单因果推理</x:v>
      </x:c>
    </x:row>
    <x:row r="876">
      <x:c r="A876" s="64" t="str">
        <x:v>​2864465845850775552</x:v>
      </x:c>
      <x:c r="B876" s="65" t="str">
        <x:v>送分题</x:v>
      </x:c>
      <x:c r="C876" s="65" t="str">
        <x:v>送分题</x:v>
      </x:c>
      <x:c r="D876" s="65" t="str">
        <x:v>送分题</x:v>
      </x:c>
      <x:c r="E876" s="65" t="str">
        <x:v>保留原GPT裁定</x:v>
      </x:c>
      <x:c r="F876" s="65" t="str">
        <x:v>高</x:v>
      </x:c>
      <x:c r="G876" s="65" t="str">
        <x:v>送分题</x:v>
      </x:c>
      <x:c r="H876" s="65" t="str">
        <x:v>送分题</x:v>
      </x:c>
      <x:c r="I876" s="65" t="str">
        <x:v>题干、解析与结构证据支持送分题：step=1-2步，题型=概念判断，状态=单状态，约束=无约束，推理=直接套用。教师、盲评和多次模型证据中未形成足以推翻原裁定的同向结构证据。</x:v>
      </x:c>
      <x:c r="J876" s="65" t="str">
        <x:v>未进入三次错题并集；逐题结构一致性复核</x:v>
      </x:c>
      <x:c r="K876" s="63" t="str">
        <x:v>声音是由物体的 而发生的，发声物体的振动停止，发声也 ，风声、雨声、读书声，声声入耳所说的声音的发声体分别是 、 和 ，它们是通过 传到人耳的。</x:v>
      </x:c>
      <x:c r="L876" s="63" t="str"/>
      <x:c r="M876" s="63" t="str">
        <x:v>解： 声音是由物体的振动而发生的，发声物体的振动停止，发声也停止； 风声、雨声和读书声分别是由空气、雨滴和声带振动而产生的声音，因此表明气体、液体和固体都能够发出声音； 风声、雨声、读书声是通过空气传到人耳的。</x:v>
      </x:c>
      <x:c r="N876" s="63" t="str">
        <x:v>https://k12static.xdf.cn/k12/image/externalized/6327d3c7-eabb-4b4a-9a86-6b2231e56a49.png</x:v>
      </x:c>
      <x:c r="O876" s="63" t="str">
        <x:v>https://k12static.xdf.cn/k12/image/externalized/70449514-ca89-478c-9c04-d9cd7980c4a1.png</x:v>
      </x:c>
      <x:c r="P876" s="63" t="str">
        <x:v>1-2步</x:v>
      </x:c>
      <x:c r="Q876" s="63" t="str">
        <x:v>概念判断</x:v>
      </x:c>
      <x:c r="R876" s="63" t="str">
        <x:v>单状态</x:v>
      </x:c>
      <x:c r="S876" s="63" t="str">
        <x:v>无约束</x:v>
      </x:c>
      <x:c r="T876" s="63" t="str">
        <x:v>无</x:v>
      </x:c>
      <x:c r="U876" s="63" t="str">
        <x:v>无</x:v>
      </x:c>
      <x:c r="V876" s="63" t="str">
        <x:v>直接套用</x:v>
      </x:c>
    </x:row>
    <x:row r="877">
      <x:c r="A877" s="64" t="str">
        <x:v>​2873310594612965376</x:v>
      </x:c>
      <x:c r="B877" s="65" t="str">
        <x:v>拔高题</x:v>
      </x:c>
      <x:c r="C877" s="65" t="str">
        <x:v>拔高题</x:v>
      </x:c>
      <x:c r="D877" s="65" t="str">
        <x:v>拔高题</x:v>
      </x:c>
      <x:c r="E877" s="65" t="str">
        <x:v>逐题复核后保留GPT裁定</x:v>
      </x:c>
      <x:c r="F877" s="65" t="str">
        <x:v>高</x:v>
      </x:c>
      <x:c r="G877" s="65" t="str">
        <x:v>拔高题</x:v>
      </x:c>
      <x:c r="H877" s="65" t="str">
        <x:v>拔高题</x:v>
      </x:c>
      <x:c r="I877" s="65" t="str">
        <x:v>最高难任务在教材概念与常规物理关系中包含图线反推、状态转换、误差评价、几何/等效转换、方程联立或参数反求等决定性卡点，整体约5—6个有效决策；尚未形成压轴所需的完整复杂约束网络。</x:v>
      </x:c>
      <x:c r="J877" s="65" t="str">
        <x:v>三次运行错题并集逐题复核</x:v>
      </x:c>
      <x:c r="K877" s="63" t="str">
        <x:v>有质量相等的两个球，它们的体积比是V1:V2=1:5，材料的密度之比ρ1:ρ2=4:1，其中有一个是空心的，已知空心球的实心部分体积是V，则空心球的空心部分体积是</x:v>
      </x:c>
      <x:c r="L877" s="63" t="str">
        <x:v>A. V B. 2V C. $\dfrac{1}{5}V$ D. $\dfrac{1}{4}V$</x:v>
      </x:c>
      <x:c r="M877" s="63" t="str">
        <x:v>因两球质量相等，即m₁=m₂，若两球是实心球$\rho _ 1 V _ { 1 \text{实} } = \rho _ 2 V _ 2 $，即$\frac { V _ { \text{1} \text{实} } } { V _ { 2 \text{实} } } = \frac { \rho _ 2 } { \rho _ 1 } = \frac 1 4 $，但已知两球的实际体积之比$\frac { V _ { 1 } } { V _ { 2 } } = \frac { 1 } { 5 } $，则V1是实心球，V₂是空心球，又已知实心球体积是 V，即V1=V，所以V₂=5V₁，V₂实心部分体积$V _ { 2 \text{实} } = \frac { m } { \rho } = \frac { m } { \rho _ { 2 } } = \frac { m } { \frac { 1 } { 4 } \rho _ { 1 } } = 4 V _ { 1 } $，空心部分体积：$V _ { 2 } = V _ { 2 } - V _ { 2 } = 5 V _ { 1 } - 4 V _ { 1 } = V _ { 1 } = V $</x:v>
      </x:c>
      <x:c r="N877" s="63" t="str">
        <x:v>https://k12static.xdf.cn/k12/image/externalized/1c4adb92-3a5a-456e-8e9d-50e19f707454.png</x:v>
      </x:c>
      <x:c r="O877" s="63" t="str">
        <x:v>https://k12static.xdf.cn/k12/image/externalized/33c54dd2-5d4a-410f-aac9-145b509b8765.png</x:v>
      </x:c>
      <x:c r="P877" s="63" t="str">
        <x:v>3-5步</x:v>
      </x:c>
      <x:c r="Q877" s="63" t="str">
        <x:v>力学综合</x:v>
      </x:c>
      <x:c r="R877" s="63" t="str">
        <x:v>单状态</x:v>
      </x:c>
      <x:c r="S877" s="63" t="str">
        <x:v>单一约束</x:v>
      </x:c>
      <x:c r="T877" s="63" t="str">
        <x:v>无</x:v>
      </x:c>
      <x:c r="U877" s="63" t="str">
        <x:v>无</x:v>
      </x:c>
      <x:c r="V877" s="63" t="str">
        <x:v>多层因果推理</x:v>
      </x:c>
    </x:row>
    <x:row r="878">
      <x:c r="A878" s="64" t="str">
        <x:v>​2874635992174813184</x:v>
      </x:c>
      <x:c r="B878" s="65" t="str">
        <x:v>拔高题</x:v>
      </x:c>
      <x:c r="C878" s="65" t="str">
        <x:v>拔高题</x:v>
      </x:c>
      <x:c r="D878" s="65" t="str">
        <x:v>拔高题</x:v>
      </x:c>
      <x:c r="E878" s="65" t="str">
        <x:v>逐题复核后保留GPT裁定</x:v>
      </x:c>
      <x:c r="F878" s="65" t="str">
        <x:v>高</x:v>
      </x:c>
      <x:c r="G878" s="65" t="str">
        <x:v>拔高题</x:v>
      </x:c>
      <x:c r="H878" s="65" t="str">
        <x:v>拔高题</x:v>
      </x:c>
      <x:c r="I878" s="65" t="str">
        <x:v>存在决定性反推/等效/误差/几何转换，或同一装置中的5—6步高密度综合链。 题目证据：自动调整：gpt56_medium_to_hard_phase_buoyancy_guard；证据：相变前后状态转换；浮力/排开体积建模；液面或压强结果联动。最长连续链有3个有效物理决策：1.分别建立熔化前和熔化后两种状态的浮力与总重力关系；2.比较两种状态下总浮力大小，由阿基米德原理推出排开体积变化，得到液面变化；3.由液面变化结合液体压强公式和压力公式得到最终结论。五维中过程/对象为双状态，思维层次为常规分析，知识量和情境符合中等要求，属于常规浮力压强分析，没有决定性转换。</x:v>
      </x:c>
      <x:c r="J878" s="65" t="str">
        <x:v>三次运行错题并集逐题复核</x:v>
      </x:c>
      <x:c r="K878" s="63" t="str">
        <x:v>如图所示，在烧杯中盛有水，水上面漂浮了一个冰块，冰块中有一枚小铁钉。过一会当冰块融化后，铁钉会沉入水底。则在整个过程中水对容器底部的压力和压强将如何变化（ ）</x:v>
      </x:c>
      <x:c r="L878" s="63" t="str">
        <x:v>A. 压力增大、压强增大 B. 压力不变、压强增大 C. 压力不变、压强减小 D. 压力减小、压强减小</x:v>
      </x:c>
      <x:c r="M878" s="63" t="str">
        <x:v>解：冰熔化前漂浮，根据浮沉条件知， 浮力F浮=G总=G铁+G冰， 冰熔化后，铁钉沉底了，而整体受到的浮力相当于 F′浮=F浮铁+F水=F浮铁+G水， 冰熔化为水后前后重力不变，因为铁块下沉，所以G铁＞F浮铁，所以F浮＞F′浮。 由阿基米德原理F浮=ρ水gV排可知，前后排开水的体积V排＞V′排，所以液面将下降， 根据p=ρgh可知，水对容器底部的压强会减小，根据$p=\frac{F}{S}$可知，水对容器底的压力减小，故D符合题意，ABC不符合题意。 故选：D。</x:v>
      </x:c>
      <x:c r="N878" s="63" t="str">
        <x:v>https://k12static.xdf.cn/k12/image/externalized/96b0486c-f5a1-4b08-9320-7807219164f7.png</x:v>
      </x:c>
      <x:c r="O878" s="63" t="str">
        <x:v>https://k12static.xdf.cn/k12/image/externalized/f8a0fddd-48ec-4c4b-b918-dd46805130fe.png</x:v>
      </x:c>
      <x:c r="P878" s="63" t="str">
        <x:v>3-5步</x:v>
      </x:c>
      <x:c r="Q878" s="63" t="str">
        <x:v>力学综合</x:v>
      </x:c>
      <x:c r="R878" s="63" t="str">
        <x:v>双状态</x:v>
      </x:c>
      <x:c r="S878" s="63" t="str">
        <x:v>单一约束</x:v>
      </x:c>
      <x:c r="T878" s="63" t="str">
        <x:v>无</x:v>
      </x:c>
      <x:c r="U878" s="63" t="str">
        <x:v>无</x:v>
      </x:c>
      <x:c r="V878" s="63" t="str">
        <x:v>多层因果推理</x:v>
      </x:c>
    </x:row>
    <x:row r="879">
      <x:c r="A879" s="64" t="str">
        <x:v>​2878701374173437952</x:v>
      </x:c>
      <x:c r="B879" s="65" t="str">
        <x:v>中等题</x:v>
      </x:c>
      <x:c r="C879" s="65" t="str">
        <x:v>中等题</x:v>
      </x:c>
      <x:c r="D879" s="65" t="str">
        <x:v>中等题</x:v>
      </x:c>
      <x:c r="E879" s="65" t="str">
        <x:v>逐题复核后保留GPT裁定</x:v>
      </x:c>
      <x:c r="F879" s="65" t="str">
        <x:v>高</x:v>
      </x:c>
      <x:c r="G879" s="65" t="str">
        <x:v>中等题</x:v>
      </x:c>
      <x:c r="H879" s="65" t="str">
        <x:v>中等题</x:v>
      </x:c>
      <x:c r="I879" s="65" t="str">
        <x:v>存在约3—4步常规连续分析、共享过程或完整标准实验任务，关系仍显性。 题目证据：保留原标。最长有效链为1-2步、题型为概念判断、推理为简单因果推理，与中等题边界一致。 复核证据：教师标签与独立盲评一致；三次模型运行使用相近提示词，仅作为辅助证据，不足以推翻两者一致结论。。</x:v>
      </x:c>
      <x:c r="J879" s="65" t="str">
        <x:v>三次运行错题并集逐题复核</x:v>
      </x:c>
      <x:c r="K879" s="63" t="str">
        <x:v>自助餐厅食品传送带上的餐盘向左运动（忽略空气阻力），如图所示，则下列情形中，餐盘在水平方向的受力情况是（ ）</x:v>
      </x:c>
      <x:c r="L879" s="63" t="str">
        <x:v>A. 传送带和餐盘一起向左匀速运动，餐盘受到的牵引力等于摩擦力 B. 传送带向左逐渐加快时，餐盘只受到向左的摩擦力 C. 传送带向左逐渐减慢时，餐盘受到向左的牵引力小于向右的摩擦力 D. 传送带匀速运动中突然停止后，餐盘将不受任何力；一直以速度v运动下去</x:v>
      </x:c>
      <x:c r="M879" s="63" t="str">
        <x:v>解： A、传送带和餐盘一起向左匀速运动，餐盘与传送带之间没有发生相对运动、也没有相对运动的趋势，所以餐盘不受摩擦力，也不受牵引力，故A错误； B、传送带向左逐渐加快时，餐盘相对于传送带向右滑动，所以餐盘在水平方向上只受到向左的摩擦力，故B正确； C、传送带向左逐渐减慢时，餐盘相对于传送带有向左滑动，餐盘此时受到向右的摩擦力，不受向左的牵引力，故C错误； D、传送带匀速运动中突然停止后，餐盘由于惯性继续向左运动，会受到向右的摩擦力，最终停止，不会以速度v运动下去，故D错误。 故选：B。</x:v>
      </x:c>
      <x:c r="N879" s="63" t="str">
        <x:v>https://k12static.xdf.cn/k12/image/externalized/66ccf961-afce-4c44-933e-dddb79310ba9.png</x:v>
      </x:c>
      <x:c r="O879" s="63" t="str">
        <x:v>https://k12static.xdf.cn/k12/image/externalized/2527f1b8-3585-4e0e-a040-d1bdacf9c653.png</x:v>
      </x:c>
      <x:c r="P879" s="63" t="str">
        <x:v>1-2步</x:v>
      </x:c>
      <x:c r="Q879" s="63" t="str">
        <x:v>概念判断</x:v>
      </x:c>
      <x:c r="R879" s="63" t="str">
        <x:v>单状态</x:v>
      </x:c>
      <x:c r="S879" s="63" t="str">
        <x:v>无约束</x:v>
      </x:c>
      <x:c r="T879" s="63" t="str">
        <x:v>无</x:v>
      </x:c>
      <x:c r="U879" s="63" t="str">
        <x:v>无</x:v>
      </x:c>
      <x:c r="V879" s="63" t="str">
        <x:v>简单因果推理</x:v>
      </x:c>
    </x:row>
    <x:row r="880">
      <x:c r="A880" s="64" t="str">
        <x:v>​2880427005768904704</x:v>
      </x:c>
      <x:c r="B880" s="65" t="str">
        <x:v>基础题</x:v>
      </x:c>
      <x:c r="C880" s="65" t="str">
        <x:v>基础题</x:v>
      </x:c>
      <x:c r="D880" s="65" t="str">
        <x:v>基础题</x:v>
      </x:c>
      <x:c r="E880" s="65" t="str">
        <x:v>保留原GPT裁定</x:v>
      </x:c>
      <x:c r="F880" s="65" t="str">
        <x:v>高</x:v>
      </x:c>
      <x:c r="G880" s="65" t="str">
        <x:v>基础题</x:v>
      </x:c>
      <x:c r="H880" s="65" t="str">
        <x:v>基础题</x:v>
      </x:c>
      <x:c r="I880" s="65" t="str">
        <x:v>题干、解析与结构证据支持基础题：step=1-2步，题型=概念判断，状态=单状态，约束=无约束，推理=简单因果推理。教师、盲评和多次模型证据中未形成足以推翻原裁定的同向结构证据。</x:v>
      </x:c>
      <x:c r="J880" s="65" t="str">
        <x:v>未进入三次错题并集；逐题结构一致性复核</x:v>
      </x:c>
      <x:c r="K880" s="63" t="str">
        <x:v>关于浮沉条件的应用，下列说法正确的是（ ）</x:v>
      </x:c>
      <x:c r="L880" s="63" t="str">
        <x:v>A. 轮船从长江驶入大海的过程中，浮力变大 B. 热气球利用了内部气体密度大于空气密度实现升空 C. 潜水艇由漂浮下潜至浸没的过程中，浮力逐渐增大 D. 盐水选种时，空壳的种子漂浮在水面上是因为它的浮力大于重力</x:v>
      </x:c>
      <x:c r="M880" s="63" t="str">
        <x:v>解：A．轮船从长江驶入大海的过程中，始终漂浮，浮力等于自身的重力，重力不变，浮力不变，故A错误； B．热气球是利用在空气中的浮力来工作的，当气球内气体的密度小于空气的密度时，才可以在空气中上浮，故B错误； C．潜水艇由漂浮下潜至浸没的过程中，排开的水的体积变大，根据阿基米德原理可知，浮力逐渐增大，故C正确； D．盐水选种时，空壳的种子漂浮在水面上，此时浮力等于重力，故D错误。 故选：C。</x:v>
      </x:c>
      <x:c r="N880" s="63" t="str">
        <x:v>https://k12static.xdf.cn/k12/image/externalized/3abf0790-46a2-4c64-8b3d-40758f9038ae.png</x:v>
      </x:c>
      <x:c r="O880" s="63" t="str">
        <x:v>https://k12static.xdf.cn/k12/image/externalized/7f812b1b-4831-46d6-a387-008c6d522833.png</x:v>
      </x:c>
      <x:c r="P880" s="63" t="str">
        <x:v>1-2步</x:v>
      </x:c>
      <x:c r="Q880" s="63" t="str">
        <x:v>概念判断</x:v>
      </x:c>
      <x:c r="R880" s="63" t="str">
        <x:v>单状态</x:v>
      </x:c>
      <x:c r="S880" s="63" t="str">
        <x:v>无约束</x:v>
      </x:c>
      <x:c r="T880" s="63" t="str">
        <x:v>无</x:v>
      </x:c>
      <x:c r="U880" s="63" t="str">
        <x:v>无</x:v>
      </x:c>
      <x:c r="V880" s="63" t="str">
        <x:v>简单因果推理</x:v>
      </x:c>
    </x:row>
    <x:row r="881">
      <x:c r="A881" s="64" t="str">
        <x:v>​2880503378557022208</x:v>
      </x:c>
      <x:c r="B881" s="65" t="str">
        <x:v>基础题</x:v>
      </x:c>
      <x:c r="C881" s="65" t="str">
        <x:v>基础题</x:v>
      </x:c>
      <x:c r="D881" s="65" t="str">
        <x:v>基础题</x:v>
      </x:c>
      <x:c r="E881" s="65" t="str">
        <x:v>保留原GPT裁定</x:v>
      </x:c>
      <x:c r="F881" s="65" t="str">
        <x:v>高</x:v>
      </x:c>
      <x:c r="G881" s="65" t="str">
        <x:v>基础题</x:v>
      </x:c>
      <x:c r="H881" s="65" t="str">
        <x:v>基础题</x:v>
      </x:c>
      <x:c r="I881" s="65" t="str">
        <x:v>题干、解析与结构证据支持基础题：step=1-2步，题型=概念判断，状态=单状态，约束=无约束，推理=简单因果推理。教师、盲评和多次模型证据中未形成足以推翻原裁定的同向结构证据。</x:v>
      </x:c>
      <x:c r="J881" s="65" t="str">
        <x:v>未进入三次错题并集；逐题结构一致性复核</x:v>
      </x:c>
      <x:c r="K881" s="63" t="str">
        <x:v>如图所示，某同学利用弹簧测力计和若干质量已知的钩码，探究重力的大小跟质量的关系，下列说法正确的是（ ）</x:v>
      </x:c>
      <x:c r="L881" s="63" t="str">
        <x:v>A. 实验需要多次改变钩码的个数，分别测出其所受重力是为了减小实验误差 B. 实验得出的结论是：物体的质量跟物体受到的重力成正比 C. 重力的施力物体是地球，重力的方向总是垂直于地面向下 D. 地球附近的所有物体都受到重力的作用</x:v>
      </x:c>
      <x:c r="M881" s="63" t="str">
        <x:v>解： A、在探究重力的大小与质量的关系实验中，改变钩码数量，分别测出它们所受重力，是为了得到普遍规律，故A错误； B、分析本实验的数据，可以得出物体所受的重力跟它的质量成正比，故B错误； C、重力的施力物体是地球，重力的方向是竖直向下的，故C错误； D、地球附近的所有物体都受到重力的作用，故D正确。 故选：D。</x:v>
      </x:c>
      <x:c r="N881" s="63" t="str">
        <x:v>https://k12static.xdf.cn/k12/image/externalized/13e102ed-4898-4060-befd-69c976c6f60a.png</x:v>
      </x:c>
      <x:c r="O881" s="63" t="str">
        <x:v>https://k12static.xdf.cn/k12/image/externalized/5f1d0245-f86f-434d-8676-604137308952.png</x:v>
      </x:c>
      <x:c r="P881" s="63" t="str">
        <x:v>1-2步</x:v>
      </x:c>
      <x:c r="Q881" s="63" t="str">
        <x:v>概念判断</x:v>
      </x:c>
      <x:c r="R881" s="63" t="str">
        <x:v>单状态</x:v>
      </x:c>
      <x:c r="S881" s="63" t="str">
        <x:v>无约束</x:v>
      </x:c>
      <x:c r="T881" s="63" t="str">
        <x:v>控制变量或故障分析</x:v>
      </x:c>
      <x:c r="U881" s="63" t="str">
        <x:v>无</x:v>
      </x:c>
      <x:c r="V881" s="63" t="str">
        <x:v>简单因果推理</x:v>
      </x:c>
    </x:row>
    <x:row r="882">
      <x:c r="A882" s="64" t="str">
        <x:v>​2881733489521119232</x:v>
      </x:c>
      <x:c r="B882" s="65" t="str">
        <x:v>拔高题</x:v>
      </x:c>
      <x:c r="C882" s="65" t="str">
        <x:v>拔高题</x:v>
      </x:c>
      <x:c r="D882" s="65" t="str">
        <x:v>拔高题</x:v>
      </x:c>
      <x:c r="E882" s="65" t="str">
        <x:v>保留原GPT裁定</x:v>
      </x:c>
      <x:c r="F882" s="65" t="str">
        <x:v>高</x:v>
      </x:c>
      <x:c r="G882" s="65" t="str">
        <x:v>拔高题</x:v>
      </x:c>
      <x:c r="H882" s="65" t="str">
        <x:v>拔高题</x:v>
      </x:c>
      <x:c r="I882" s="65" t="str">
        <x:v>题干、解析与结构证据支持拔高题：step=3-5步，题型=力学综合，状态=单状态，约束=多约束，推理=多层因果推理。教师、盲评和多次模型证据中未形成足以推翻原裁定的同向结构证据。</x:v>
      </x:c>
      <x:c r="J882" s="65" t="str">
        <x:v>未进入三次错题并集；逐题结构一致性复核</x:v>
      </x:c>
      <x:c r="K882" s="63" t="str">
        <x:v>如图所示，两个足够高的薄壁轻质圆柱形容器A、B（底面积SA＞SB）置于水平地面上，容器中分别盛有体积相等的液体甲和乙，它们对各自容器底部的压强相等。下列选项中，一定能使甲液体对容器底部的压强大于乙液体对容器底部压强的操作方法是（ ） ①分别倒入相同深度的液体甲和乙 ②分别倒入相同质量的液体甲和乙 ③分别倒入相同体积的液体甲和乙 ④分别抽出相同高度的液体甲和乙</x:v>
      </x:c>
      <x:c r="L882" s="63" t="str">
        <x:v>A. ① B. ②③ C. ①④ D. ①②③</x:v>
      </x:c>
      <x:c r="M882" s="63" t="str">
        <x:v>解：液体对容器底部的压强相等，且A容器内液体甲的高度小于B容器内液体乙的高度，根据公式p=ρgh可知：ρ甲＞ρ乙，已知容器中原来分别盛有液体甲和乙的体积相等，即：V甲=V乙，根据V=Sh和p=ρgh可得：${S}_{A}\frac{{p}_{甲}}{{ρ}_{甲}g}={S}_{B}\frac{{p}_{乙}}{{ρ}_{乙}g}$； 由于p甲=p乙，则$\frac{{S}_{A}}{{ρ}_{甲}}=\frac{{S}_{B}}{{ρ}_{乙}}$； ①分别倒入相同深度的液体甲和乙； 则甲液体对容器底部的压强：p甲′=p甲+ρ甲gΔh； 乙液体对容器底部压强：p乙′=p乙+ρ乙gΔh； 由于p甲=p乙，ρ甲＞ρ乙，则p甲′＞p乙′； ②分别倒入相同质量的液体甲和乙，则甲液体对容器底部的压强为：${p}_{甲}′={p}_{甲}+\frac{\Delta mg}{{S}_{A}}$； 乙液体对容器底部压强：${p}_{乙}′={p}_{乙}+\frac{\Delta mg}{{S}_{B}}$； 由于p甲=p乙，SA＞SB，则p甲′＜p乙′； ③分别倒入相同体积的液体甲和乙时，则甲液体对容器底部的压强：${p}_{甲}′={p}_{甲}+\frac{{ρ}_{甲}\Delta Vg}{{S}_{A}}$； 乙液体对容器底部压强：${p}_{乙}′={p}_{乙}+\frac{{ρ}_{乙}\Delta Vg}{{S}_{B}}$； 由于p甲=p乙，$\frac{{S}_{A}}{{ρ}_{甲}}=\frac{{S}_{B}}{{ρ}_{乙}}$，则p甲′=p乙′； ④分别抽出相同体积的液体甲和乙、则甲液体对容器底部的压强为：${p}_{甲}′={p}_{甲}-\frac{{ρ}_{甲}\Delta Vg}{{S}_{A}}$； 乙液体对容器底部压强为：${p}_{乙}′={p}_{乙}-\frac{{ρ}_{乙}\Delta Vg}{{S}_{B}}$； 由于p甲=p乙，$\frac{{S}_{A}}{{ρ}_{甲}}=\frac{{S}_{B}}{{ρ}_{乙}}$，则p甲′=p乙′； 综上所述，A正确。 故选：A。</x:v>
      </x:c>
      <x:c r="N882" s="63" t="str">
        <x:v>https://k12static.xdf.cn/k12/image/externalized/3deee244-7033-4097-9de7-b9d251986bc8.png</x:v>
      </x:c>
      <x:c r="O882" s="63" t="str">
        <x:v>https://k12static.xdf.cn/k12/image/externalized/c68c385d-4fef-4d84-a4c4-3d13474a10ae.png</x:v>
      </x:c>
      <x:c r="P882" s="63" t="str">
        <x:v>3-5步</x:v>
      </x:c>
      <x:c r="Q882" s="63" t="str">
        <x:v>力学综合</x:v>
      </x:c>
      <x:c r="R882" s="63" t="str">
        <x:v>单状态</x:v>
      </x:c>
      <x:c r="S882" s="63" t="str">
        <x:v>多约束</x:v>
      </x:c>
      <x:c r="T882" s="63" t="str">
        <x:v>无</x:v>
      </x:c>
      <x:c r="U882" s="63" t="str">
        <x:v>无</x:v>
      </x:c>
      <x:c r="V882" s="63" t="str">
        <x:v>多层因果推理</x:v>
      </x:c>
    </x:row>
    <x:row r="883">
      <x:c r="A883" s="64" t="str">
        <x:v>​2883197621105864704</x:v>
      </x:c>
      <x:c r="B883" s="65" t="str">
        <x:v>基础题</x:v>
      </x:c>
      <x:c r="C883" s="65" t="str">
        <x:v>基础题</x:v>
      </x:c>
      <x:c r="D883" s="65" t="str">
        <x:v>基础题</x:v>
      </x:c>
      <x:c r="E883" s="65" t="str">
        <x:v>保留原GPT裁定</x:v>
      </x:c>
      <x:c r="F883" s="65" t="str">
        <x:v>高</x:v>
      </x:c>
      <x:c r="G883" s="65" t="str">
        <x:v>基础题</x:v>
      </x:c>
      <x:c r="H883" s="65" t="str">
        <x:v>基础题</x:v>
      </x:c>
      <x:c r="I883" s="65" t="str">
        <x:v>题干、解析与结构证据支持基础题：step=1-2步，题型=概念判断，状态=单状态，约束=无约束，推理=简单因果推理。教师、盲评和多次模型证据中未形成足以推翻原裁定的同向结构证据。</x:v>
      </x:c>
      <x:c r="J883" s="65" t="str">
        <x:v>未进入三次错题并集；逐题结构一致性复核</x:v>
      </x:c>
      <x:c r="K883" s="63" t="str">
        <x:v>以下说法不正确的是（ ）</x:v>
      </x:c>
      <x:c r="L883" s="63" t="str">
        <x:v>A. 吸尘器应用了大气压强的知识 B. 挂水时要把药水瓶挂高是应用液体压强的知识 C. 空气湿度越大，大气压强越低 D. 压力的方向总是竖直的</x:v>
      </x:c>
      <x:c r="M883" s="63" t="str">
        <x:v>解：A、吸盘内空气减少，外部大气压把吸盘紧紧压住，所以可以用吸盘挂钩挂衣物，故A正确； B、液体压强随深度的增加而增大，所以在输液时，可以将液瓶挂高来增大压强，故B正确； C、空气湿度越大，水蒸气越多，而水蒸气密度比空气小，故气压越低，故C正确； D、压力的方向总是垂直于物体受力面的，故D错误。 故选：D。</x:v>
      </x:c>
      <x:c r="N883" s="63" t="str">
        <x:v>https://k12static.xdf.cn/k12/image/externalized/b85d62e9-848b-4c5a-819c-5d2dcf87b0f1.png</x:v>
      </x:c>
      <x:c r="O883" s="63" t="str">
        <x:v>https://k12static.xdf.cn/k12/image/externalized/d7d1aff8-1ecc-48d9-8733-bef0e6773b73.png</x:v>
      </x:c>
      <x:c r="P883" s="63" t="str">
        <x:v>1-2步</x:v>
      </x:c>
      <x:c r="Q883" s="63" t="str">
        <x:v>概念判断</x:v>
      </x:c>
      <x:c r="R883" s="63" t="str">
        <x:v>单状态</x:v>
      </x:c>
      <x:c r="S883" s="63" t="str">
        <x:v>无约束</x:v>
      </x:c>
      <x:c r="T883" s="63" t="str">
        <x:v>无</x:v>
      </x:c>
      <x:c r="U883" s="63" t="str">
        <x:v>无</x:v>
      </x:c>
      <x:c r="V883" s="63" t="str">
        <x:v>简单因果推理</x:v>
      </x:c>
    </x:row>
    <x:row r="884">
      <x:c r="A884" s="64" t="str">
        <x:v>​2890001363711086592</x:v>
      </x:c>
      <x:c r="B884" s="65" t="str">
        <x:v>中等题</x:v>
      </x:c>
      <x:c r="C884" s="65" t="str">
        <x:v>中等题</x:v>
      </x:c>
      <x:c r="D884" s="65" t="str">
        <x:v>中等题</x:v>
      </x:c>
      <x:c r="E884" s="65" t="str">
        <x:v>逐题复核后保留GPT裁定</x:v>
      </x:c>
      <x:c r="F884" s="65" t="str">
        <x:v>高</x:v>
      </x:c>
      <x:c r="G884" s="65" t="str">
        <x:v>中等题</x:v>
      </x:c>
      <x:c r="H884" s="65" t="str">
        <x:v>中等题</x:v>
      </x:c>
      <x:c r="I884" s="65" t="str">
        <x:v>存在约3—4步常规连续分析、共享过程或完整标准实验任务，关系仍显性。 题目证据：保留原标。最长有效链为1-2步、题型为概念判断、推理为简单因果推理，与中等题边界一致。 复核证据：教师标签与独立盲评一致；三次模型运行使用相近提示词，仅作为辅助证据，不足以推翻两者一致结论。。</x:v>
      </x:c>
      <x:c r="J884" s="65" t="str">
        <x:v>三次运行错题并集逐题复核</x:v>
      </x:c>
      <x:c r="K884" s="63" t="str">
        <x:v>下列说法正确的是（ ）</x:v>
      </x:c>
      <x:c r="L884" s="63" t="str">
        <x:v>A. 沿着直线匀速上山的缆车，所受合力方向向上 B. 人站在电梯里，人受到的支持力可能大于重力 C. 在水平路面上向东运动的汽车，受到的力可能向西 D. 铁质暖气片吸引磁铁的力等于磁铁吸引暖气片的力</x:v>
      </x:c>
      <x:c r="M884" s="63" t="str">
        <x:v>解：A、沿着直线匀速上山的缆车，所受合力为零，该选项说法不正确； B、人站在加速上升的电梯里，人受到的支持力大于重力，该选项说法正确； C、在水平路面上向东运动的汽车，受到向东的牵引力和向西的摩擦力，该选项说法正确； D、暖气片吸引磁铁的力和磁铁吸引暖气片的力，是一对相互作用力，二者大小相等，该选项说法正确。 故选：BCD。</x:v>
      </x:c>
      <x:c r="N884" s="63" t="str">
        <x:v>https://k12static.xdf.cn/k12/image/externalized/139224a7-e35f-47d5-960b-18c85d6b2d3d.png</x:v>
      </x:c>
      <x:c r="O884" s="63" t="str">
        <x:v>https://k12static.xdf.cn/k12/image/externalized/792087d1-2452-4a0a-9a27-823f3b543a95.png</x:v>
      </x:c>
      <x:c r="P884" s="63" t="str">
        <x:v>1-2步</x:v>
      </x:c>
      <x:c r="Q884" s="63" t="str">
        <x:v>概念判断</x:v>
      </x:c>
      <x:c r="R884" s="63" t="str">
        <x:v>单状态</x:v>
      </x:c>
      <x:c r="S884" s="63" t="str">
        <x:v>无约束</x:v>
      </x:c>
      <x:c r="T884" s="63" t="str">
        <x:v>无</x:v>
      </x:c>
      <x:c r="U884" s="63" t="str">
        <x:v>无</x:v>
      </x:c>
      <x:c r="V884" s="63" t="str">
        <x:v>简单因果推理</x:v>
      </x:c>
    </x:row>
    <x:row r="885">
      <x:c r="A885" s="64" t="str">
        <x:v>​2890632469977587712</x:v>
      </x:c>
      <x:c r="B885" s="65" t="str">
        <x:v>中等题</x:v>
      </x:c>
      <x:c r="C885" s="65" t="str">
        <x:v>中等题</x:v>
      </x:c>
      <x:c r="D885" s="65" t="str">
        <x:v>中等题</x:v>
      </x:c>
      <x:c r="E885" s="65" t="str">
        <x:v>逐题复核后保留GPT裁定</x:v>
      </x:c>
      <x:c r="F885" s="65" t="str">
        <x:v>高</x:v>
      </x:c>
      <x:c r="G885" s="65" t="str">
        <x:v>中等题</x:v>
      </x:c>
      <x:c r="H885" s="65" t="str">
        <x:v>中等题</x:v>
      </x:c>
      <x:c r="I885" s="65" t="str">
        <x:v>需要围绕教材概念与常规物理关系完成常规的3—4个有效决策，或完成一套完整标准实验/共享过程分析。关系仍显性、方法常规，没有决定性隐含转换、复杂边界筛选或多状态强耦合。</x:v>
      </x:c>
      <x:c r="J885" s="65" t="str">
        <x:v>三次运行错题并集逐题复核</x:v>
      </x:c>
      <x:c r="K885" s="63" t="str">
        <x:v>2024年巴黎奥运会期间，我国运动健儿用汗水和努力，让五星红旗一次次升起，这也是他们祝福祖国最好的礼物。运动会中蕴含着丰富的物理知识，如图所示，下列说法正确的是（ ）</x:v>
      </x:c>
      <x:c r="L885" s="63" t="str">
        <x:v>A. 图甲中苏炳添冲过终点不能立刻停止，是受到惯性的作用 B. 图乙中戴倩倩将标枪掷出后，标枪到达最高点时受到非平衡力的作用 C. 图丙中马龙用球拍将乒乓球弹回，说明力能改变物体的运动状态 D. 图丁中李发彬举着杠铃静止时，他受到的重力与地面对他的支持力是一对平衡力</x:v>
      </x:c>
      <x:c r="M885" s="63" t="str">
        <x:v>解：A、运动员冲过终点不能立刻停止，是因为具有惯性，但不能说是受到惯性的作用，故A错误； B、将标枪掷出后，标枪到达最高点时受到的重力与空气阻力不平衡，所以受到非平衡力的作用，故B正确； C、用球拍将乒乓球弹回，说明力能改变物体的运动状态，故C正确； D、举着杠铃静止时，运动员受到的重力与地面对他的支持力大小不相同，不是一对平衡力，故D错误。 故选：BC。</x:v>
      </x:c>
      <x:c r="N885" s="63" t="str">
        <x:v>https://k12static.xdf.cn/k12/image/externalized/c2a03375-1aeb-4ebd-aa21-6467faf9a989.png</x:v>
      </x:c>
      <x:c r="O885" s="63" t="str">
        <x:v>https://k12static.xdf.cn/k12/image/externalized/a9dc5230-ea86-4313-bf22-444a9b1c81cd.png</x:v>
      </x:c>
      <x:c r="P885" s="63" t="str">
        <x:v>1-2步</x:v>
      </x:c>
      <x:c r="Q885" s="63" t="str">
        <x:v>概念判断</x:v>
      </x:c>
      <x:c r="R885" s="63" t="str">
        <x:v>单状态</x:v>
      </x:c>
      <x:c r="S885" s="63" t="str">
        <x:v>无约束</x:v>
      </x:c>
      <x:c r="T885" s="63" t="str">
        <x:v>无</x:v>
      </x:c>
      <x:c r="U885" s="63" t="str">
        <x:v>无</x:v>
      </x:c>
      <x:c r="V885" s="63" t="str">
        <x:v>简单因果推理</x:v>
      </x:c>
    </x:row>
    <x:row r="886">
      <x:c r="A886" s="64" t="str">
        <x:v>​2891991290604695552</x:v>
      </x:c>
      <x:c r="B886" s="65" t="str">
        <x:v>基础题</x:v>
      </x:c>
      <x:c r="C886" s="65" t="str">
        <x:v>基础题</x:v>
      </x:c>
      <x:c r="D886" s="65" t="str">
        <x:v>基础题</x:v>
      </x:c>
      <x:c r="E886" s="65" t="str">
        <x:v>保留原GPT裁定</x:v>
      </x:c>
      <x:c r="F886" s="65" t="str">
        <x:v>高</x:v>
      </x:c>
      <x:c r="G886" s="65" t="str">
        <x:v>基础题</x:v>
      </x:c>
      <x:c r="H886" s="65" t="str">
        <x:v>基础题</x:v>
      </x:c>
      <x:c r="I886" s="65" t="str">
        <x:v>题干、解析与结构证据支持基础题：step=1-2步，题型=概念判断，状态=单状态，约束=无约束，推理=简单因果推理。教师、盲评和多次模型证据中未形成足以推翻原裁定的同向结构证据。</x:v>
      </x:c>
      <x:c r="J886" s="65" t="str">
        <x:v>未进入三次错题并集；逐题结构一致性复核</x:v>
      </x:c>
      <x:c r="K886" s="63" t="str">
        <x:v>5月8日，嫦娥六号探测器成功实施近月制动，探测器将在月球表面上空要沿如图所示的直线匀速飞行，为着陆做准备。则在这一过程中探测器上的主发动机应向哪个方向喷气（ ）</x:v>
      </x:c>
      <x:c r="L886" s="63" t="str">
        <x:v>A. 竖直向下喷气 B. 沿直线向下喷气 C. 与直线成一角度斜向上喷气 D. 与直线成一角度斜向下喷气</x:v>
      </x:c>
      <x:c r="M886" s="63" t="str">
        <x:v>解：嫦娥六号探测器匀速运动，受力平衡，合力为零，已知受到的重力竖直向下，则受到的气体的反冲力竖直向上，因此，探测器上的火箭竖直向下喷气，故A正确，BCD错误。 故选：A。</x:v>
      </x:c>
      <x:c r="N886" s="63" t="str">
        <x:v>https://k12static.xdf.cn/k12/image/externalized/cebfbb63-acf8-4346-8004-48d9bf3ff251.png</x:v>
      </x:c>
      <x:c r="O886" s="63" t="str">
        <x:v>https://k12static.xdf.cn/k12/image/externalized/bec660c1-72a8-4247-804e-e7d2488b9e57.png</x:v>
      </x:c>
      <x:c r="P886" s="63" t="str">
        <x:v>1-2步</x:v>
      </x:c>
      <x:c r="Q886" s="63" t="str">
        <x:v>概念判断</x:v>
      </x:c>
      <x:c r="R886" s="63" t="str">
        <x:v>单状态</x:v>
      </x:c>
      <x:c r="S886" s="63" t="str">
        <x:v>无约束</x:v>
      </x:c>
      <x:c r="T886" s="63" t="str">
        <x:v>无</x:v>
      </x:c>
      <x:c r="U886" s="63" t="str">
        <x:v>无</x:v>
      </x:c>
      <x:c r="V886" s="63" t="str">
        <x:v>简单因果推理</x:v>
      </x:c>
    </x:row>
    <x:row r="887">
      <x:c r="A887" s="64" t="str">
        <x:v>​2894963033144061952</x:v>
      </x:c>
      <x:c r="B887" s="65" t="str">
        <x:v>中等题</x:v>
      </x:c>
      <x:c r="C887" s="65" t="str">
        <x:v>中等题</x:v>
      </x:c>
      <x:c r="D887" s="65" t="str">
        <x:v>中等题</x:v>
      </x:c>
      <x:c r="E887" s="65" t="str">
        <x:v>逐题复核后保留GPT裁定</x:v>
      </x:c>
      <x:c r="F887" s="65" t="str">
        <x:v>高</x:v>
      </x:c>
      <x:c r="G887" s="65" t="str">
        <x:v>中等题</x:v>
      </x:c>
      <x:c r="H887" s="65" t="str">
        <x:v>中等题</x:v>
      </x:c>
      <x:c r="I887" s="65" t="str">
        <x:v>存在约3—4步常规连续分析、共享过程或完整标准实验任务，关系仍显性。 题目证据：最长连续链实际有3个有效物理决策：分析水平调零对竖直测重的自重影响、分析乙图中示数的组成、分析丙图中示数的组成，五维锚定落在基础到中等区间，最终需要结合两个不同挂法对弹簧测力计示数的不同影响进行推理，辨析示数误差来源。</x:v>
      </x:c>
      <x:c r="J887" s="65" t="str">
        <x:v>三次运行错题并集逐题复核</x:v>
      </x:c>
      <x:c r="K887" s="63" t="str">
        <x:v>如图甲所示，某同学将一弹簧测力计沿水平方向放置进行了校零。然后用其测量一物体的重力大小时，弹簧测力计的示数是1.8N（图乙），将物体挂在拉环上，当物体静止时，弹簧测力计的示数是2.4N（图丙），则该物体受到的重力大小（ ）</x:v>
      </x:c>
      <x:c r="L887" s="63" t="str">
        <x:v>A. 可能等于1.8N B. 一定小于1.8N C. 一定介于1.8N～2.4N之间 D. 一定大于2.4N</x:v>
      </x:c>
      <x:c r="M887" s="63" t="str">
        <x:v>解：弹簧测力计使用时要沿力的方向进行调零，由于该测力计是在水平方向进行的调零，在测量物体重力时，测力计示数为1.8N，由图乙可知，弹簧测力计的示数不仅包含物体的重力，也包含弹簧的自重，所以物体的重力必小于1.8N，将物体挂在拉环上时，由图丙可知，此时弹簧测力计的示数为物体的重力、弹簧的自重和外壳的自重之和，故B正确。 故选：B。</x:v>
      </x:c>
      <x:c r="N887" s="63" t="str">
        <x:v>https://k12static.xdf.cn/k12/image/externalized/fdc76a36-0259-45b8-a6e5-a8e285d444b0.png</x:v>
      </x:c>
      <x:c r="O887" s="63" t="str">
        <x:v>https://k12static.xdf.cn/k12/image/externalized/bbddedbb-118c-44ea-8ba9-67284e6cccfe.png</x:v>
      </x:c>
      <x:c r="P887" s="63" t="str">
        <x:v>1-2步</x:v>
      </x:c>
      <x:c r="Q887" s="63" t="str">
        <x:v>概念判断</x:v>
      </x:c>
      <x:c r="R887" s="63" t="str">
        <x:v>双状态</x:v>
      </x:c>
      <x:c r="S887" s="63" t="str">
        <x:v>单一约束</x:v>
      </x:c>
      <x:c r="T887" s="63" t="str">
        <x:v>无</x:v>
      </x:c>
      <x:c r="U887" s="63" t="str">
        <x:v>无</x:v>
      </x:c>
      <x:c r="V887" s="63" t="str">
        <x:v>简单因果推理</x:v>
      </x:c>
    </x:row>
    <x:row r="888">
      <x:c r="A888" s="64" t="str">
        <x:v>​2895494490713792512</x:v>
      </x:c>
      <x:c r="B888" s="65" t="str">
        <x:v>中等题</x:v>
      </x:c>
      <x:c r="C888" s="65" t="str">
        <x:v>中等题</x:v>
      </x:c>
      <x:c r="D888" s="65" t="str">
        <x:v>中等题</x:v>
      </x:c>
      <x:c r="E888" s="65" t="str">
        <x:v>保留原GPT裁定</x:v>
      </x:c>
      <x:c r="F888" s="65" t="str">
        <x:v>高</x:v>
      </x:c>
      <x:c r="G888" s="65" t="str">
        <x:v>中等题</x:v>
      </x:c>
      <x:c r="H888" s="65" t="str">
        <x:v>中等题</x:v>
      </x:c>
      <x:c r="I888" s="65" t="str">
        <x:v>题干、解析与结构证据支持中等题：step=3-5步，题型=实验探究，状态=多状态，约束=单一约束，推理=多层因果推理。教师、盲评和多次模型证据中未形成足以推翻原裁定的同向结构证据。</x:v>
      </x:c>
      <x:c r="J888" s="65" t="str">
        <x:v>未进入三次错题并集；逐题结构一致性复核</x:v>
      </x:c>
      <x:c r="K888" s="63" t="str">
        <x:v>小明做了如图所示的三次测量，已知水的密度为1.0×103kg/m3，则关于实验下列说法正确的是（ ）</x:v>
      </x:c>
      <x:c r="L888" s="63" t="str">
        <x:v>A. 图甲中，物体的下表面刚好接触水面，所受浮力为3N B. 图乙中，物体完全浸没在水中，所受浮力为2N C. 图丙中，盐水的密度是1.8×103kg/m3 D. 计算可得，此物体的体积是1.0×10-4m3</x:v>
      </x:c>
      <x:c r="M888" s="63" t="str">
        <x:v>解：A．图甲中，物体的下表面刚好接触水面，物体没有浸入水中，所受浮力为零，故A错误； B．图乙中，物体完全浸没在水中，所受浮力为F浮=G-F1=3N-2N=1N，故B错误； CD．利用阿基米德原理F浮=ρ水V排g求得物体的体积 $V={V}_{排}=\frac{{F}_{浮}}{{ρ}_{\;水}g}=\frac{1N}{1.0×1{0}^{3}kg/{m}^{3}×10N/kg}=1×1{0}^{-4}{m}^{3}$， 物体在盐水中受到的浮力F浮盐=G-F2=3N-1.8N=1.2N， 结合阿基米德原理可知盐水的密度 ${ρ}_{盐}=\frac{{F}_{浮盐}}{gV}=\frac{1.2N}{10N/kg×1×1{0}^{-4}{m}^{3}}=1.2×1{0}^{3}kg/{m}^{3}$， 故D正确，C错误。 故选：D。</x:v>
      </x:c>
      <x:c r="N888" s="63" t="str">
        <x:v>https://k12static.xdf.cn/k12/image/externalized/006e5bf9-f24b-4f12-b73e-54f257e282bf.png</x:v>
      </x:c>
      <x:c r="O888" s="63" t="str">
        <x:v>https://k12static.xdf.cn/k12/image/externalized/dc90b83b-47d2-40ce-8e37-0c17f1cc80cf.png</x:v>
      </x:c>
      <x:c r="P888" s="63" t="str">
        <x:v>3-5步</x:v>
      </x:c>
      <x:c r="Q888" s="63" t="str">
        <x:v>实验探究</x:v>
      </x:c>
      <x:c r="R888" s="63" t="str">
        <x:v>多状态</x:v>
      </x:c>
      <x:c r="S888" s="63" t="str">
        <x:v>单一约束</x:v>
      </x:c>
      <x:c r="T888" s="63" t="str">
        <x:v>控制变量或故障分析</x:v>
      </x:c>
      <x:c r="U888" s="63" t="str">
        <x:v>无</x:v>
      </x:c>
      <x:c r="V888" s="63" t="str">
        <x:v>多层因果推理</x:v>
      </x:c>
    </x:row>
    <x:row r="889">
      <x:c r="A889" s="64" t="str">
        <x:v>​2896407737920417792</x:v>
      </x:c>
      <x:c r="B889" s="65" t="str">
        <x:v>基础题</x:v>
      </x:c>
      <x:c r="C889" s="65" t="str">
        <x:v>基础题</x:v>
      </x:c>
      <x:c r="D889" s="65" t="str">
        <x:v>基础题</x:v>
      </x:c>
      <x:c r="E889" s="65" t="str">
        <x:v>保留原GPT裁定</x:v>
      </x:c>
      <x:c r="F889" s="65" t="str">
        <x:v>高</x:v>
      </x:c>
      <x:c r="G889" s="65" t="str">
        <x:v>基础题</x:v>
      </x:c>
      <x:c r="H889" s="65" t="str">
        <x:v>基础题</x:v>
      </x:c>
      <x:c r="I889" s="65" t="str">
        <x:v>题干、解析与结构证据支持基础题：step=1-2步，题型=概念判断，状态=单状态，约束=无约束，推理=简单因果推理。教师、盲评和多次模型证据中未形成足以推翻原裁定的同向结构证据。</x:v>
      </x:c>
      <x:c r="J889" s="65" t="str">
        <x:v>未进入三次错题并集；逐题结构一致性复核</x:v>
      </x:c>
      <x:c r="K889" s="63" t="str">
        <x:v>如图所示是某同学设计的“温度自动报警器”的电路图，能实现报警时红灯亮，铃响。图中金属丝下端与95℃刻度线对齐。下列说法中正确的是（ ）</x:v>
      </x:c>
      <x:c r="L889" s="63" t="str">
        <x:v>A. 图中电磁铁工作原理是电磁感应 B. 控制电路的电源的正负极对调后不会影响自动报警器工作 C. 当温度达到85℃时就会发出报警信号 D. 如果要降低报警温度，需要将金属丝往上提</x:v>
      </x:c>
      <x:c r="M889" s="63" t="str">
        <x:v>解：A、图中的A是电磁铁，电磁铁的工作原理是电流的磁效应。故A错误； B、报警器中的控制电路的电源的正负极对调后会影响电磁铁的极性，不会影响自动报警器工作，故B正确。 C、水银温度计和电磁铁串联接在电路中，当温度升高到95℃时，水银和金属丝接通，由于水银和金属丝都是导体，所以控制电路接通，电磁铁有磁性，电磁铁吸引衔铁，动触头和电铃的电路接通，电铃响，故C错误； D、若报警温度将降低，报警的温度会低于95摄氏度，将上端的金属丝向下移，故D错误。 故选：B。</x:v>
      </x:c>
      <x:c r="N889" s="63" t="str">
        <x:v>https://k12static.xdf.cn/k12/image/externalized/50e2496a-63c5-4c05-9209-416cc9c38343.png</x:v>
      </x:c>
      <x:c r="O889" s="63" t="str">
        <x:v>https://k12static.xdf.cn/k12/image/externalized/b9a47c0a-7566-4045-80ce-e82da1ee878f.png</x:v>
      </x:c>
      <x:c r="P889" s="63" t="str">
        <x:v>1-2步</x:v>
      </x:c>
      <x:c r="Q889" s="63" t="str">
        <x:v>概念判断</x:v>
      </x:c>
      <x:c r="R889" s="63" t="str">
        <x:v>单状态</x:v>
      </x:c>
      <x:c r="S889" s="63" t="str">
        <x:v>无约束</x:v>
      </x:c>
      <x:c r="T889" s="63" t="str">
        <x:v>无</x:v>
      </x:c>
      <x:c r="U889" s="63" t="str">
        <x:v>无</x:v>
      </x:c>
      <x:c r="V889" s="63" t="str">
        <x:v>简单因果推理</x:v>
      </x:c>
    </x:row>
    <x:row r="890">
      <x:c r="A890" s="64" t="str">
        <x:v>​2896413726458028032</x:v>
      </x:c>
      <x:c r="B890" s="65" t="str">
        <x:v>中等题</x:v>
      </x:c>
      <x:c r="C890" s="65" t="str">
        <x:v>中等题</x:v>
      </x:c>
      <x:c r="D890" s="65" t="str">
        <x:v>中等题</x:v>
      </x:c>
      <x:c r="E890" s="65" t="str">
        <x:v>保留原GPT裁定</x:v>
      </x:c>
      <x:c r="F890" s="65" t="str">
        <x:v>高</x:v>
      </x:c>
      <x:c r="G890" s="65" t="str">
        <x:v>中等题</x:v>
      </x:c>
      <x:c r="H890" s="65" t="str">
        <x:v>中等题</x:v>
      </x:c>
      <x:c r="I890" s="65" t="str">
        <x:v>题干、解析与结构证据支持中等题：step=3-5步，题型=实验探究，状态=单状态，约束=无约束，推理=多层因果推理。教师、盲评和多次模型证据中未形成足以推翻原裁定的同向结构证据。</x:v>
      </x:c>
      <x:c r="J890" s="65" t="str">
        <x:v>未进入三次错题并集；逐题结构一致性复核</x:v>
      </x:c>
      <x:c r="K890" s="63" t="str">
        <x:v>学习小组想探究“通电导体在磁场中受力的大小与导体在磁场中长度的关系”。 【实验目的】探究通电导体在磁场中受力大小与导体在磁场中长度的关系 【实验器材】边长不同的矩形线圈2个、足够宽的U形磁铁、弹簧测力计、电源、导线、开关。 【实验步骤】（1）如图，用弹簧测力计测量矩形线圈a的重力G1，再将a放入磁场中。通电后，弹簧测力计示数变为F1．发现F1小于G1，则磁场对线圈a作用力的方向是 ________ 。 （2）换用矩形线圈b,重复步骤（1）中的实验，每次实验时AB边在磁场中的 ________ 相同。记录线圈b受到的重力G2和拉力值F2．应比较 ________ 和 ________ 的关系，得出结论。 （3）某次实验时，发现弹簧测力计的示数比该矩形线圈的重力大，你觉得可能的原因是； ________</x:v>
      </x:c>
      <x:c r="L890" s="63" t="str"/>
      <x:c r="M890" s="63" t="str">
        <x:v>解： （1）用弹簧测力计测量矩形线圈a的重力G1，再将a放入磁场中，通电后，弹簧测力计示数变为F1．发现F1小于G1，则可判断磁场对线圈a有一竖直向上的力F，此时的磁场力F=G1-F1； （2）探究通电导体在磁场中受力大小与导体在磁场中长度的关系，则保证线圈在磁场中的位置不变，改变线圈的长度，换用矩形线圈b,记录线圈b受到的重力G2和拉力值F2，此时的磁场力F′=G2-F2； 比较G1-F1与G2-F2的大小关系，得出结论。 （3）通电导线在磁场中受力的方向与磁场方向和电流方向有关系。 当电流方向和磁场方向有一个改变时，通电导线的受力方向将会发生改变，使得弹簧测力计的示数等于线圈重力与磁场力之和，故示数比该矩形线圈的重力大； 故答案为： （1）竖直向上；（2）位置；G1-F1；G2-F2；（3）磁场方向发生改变或电流方向发生改变。</x:v>
      </x:c>
      <x:c r="N890" s="63" t="str">
        <x:v>https://k12static.xdf.cn/k12/image/externalized/72bb844b-2e97-4a92-b56f-6f3bedce54a8.png</x:v>
      </x:c>
      <x:c r="O890" s="63" t="str">
        <x:v>https://k12static.xdf.cn/k12/image/externalized/8870dcd1-9957-4fbf-8175-bff7aaf44565.png</x:v>
      </x:c>
      <x:c r="P890" s="63" t="str">
        <x:v>3-5步</x:v>
      </x:c>
      <x:c r="Q890" s="63" t="str">
        <x:v>实验探究</x:v>
      </x:c>
      <x:c r="R890" s="63" t="str">
        <x:v>单状态</x:v>
      </x:c>
      <x:c r="S890" s="63" t="str">
        <x:v>无约束</x:v>
      </x:c>
      <x:c r="T890" s="63" t="str">
        <x:v>控制变量或故障分析</x:v>
      </x:c>
      <x:c r="U890" s="63" t="str">
        <x:v>无</x:v>
      </x:c>
      <x:c r="V890" s="63" t="str">
        <x:v>多层因果推理</x:v>
      </x:c>
    </x:row>
    <x:row r="891">
      <x:c r="A891" s="64" t="str">
        <x:v>​2896689358287679488</x:v>
      </x:c>
      <x:c r="B891" s="65" t="str">
        <x:v>基础题</x:v>
      </x:c>
      <x:c r="C891" s="65" t="str">
        <x:v>基础题</x:v>
      </x:c>
      <x:c r="D891" s="65" t="str">
        <x:v>基础题</x:v>
      </x:c>
      <x:c r="E891" s="65" t="str">
        <x:v>保留原GPT裁定</x:v>
      </x:c>
      <x:c r="F891" s="65" t="str">
        <x:v>高</x:v>
      </x:c>
      <x:c r="G891" s="65" t="str">
        <x:v>基础题</x:v>
      </x:c>
      <x:c r="H891" s="65" t="str">
        <x:v>基础题</x:v>
      </x:c>
      <x:c r="I891" s="65" t="str">
        <x:v>题干、解析与结构证据支持基础题：step=1-2步，题型=概念判断，状态=单状态，约束=无约束，推理=简单因果推理。教师、盲评和多次模型证据中未形成足以推翻原裁定的同向结构证据。</x:v>
      </x:c>
      <x:c r="J891" s="65" t="str">
        <x:v>未进入三次错题并集；逐题结构一致性复核</x:v>
      </x:c>
      <x:c r="K891" s="63" t="str">
        <x:v>请在图中画出沿斜面向上运动的物体受到的摩擦力f和它对斜面的压力的示意图；</x:v>
      </x:c>
      <x:c r="L891" s="63" t="str"/>
      <x:c r="M891" s="63" t="str">
        <x:v>解：物体在斜面上沿斜面向上运动，所以受沿斜面向下的摩擦力，作用点在物体下端与斜面接触处，为了与压力的作用点区分，可以画在物体的重心上。 物体对斜面的压力的作用点在物体与斜面接触面的中点处，过此点与斜面垂直向下的力，即为压力，如图所示：</x:v>
      </x:c>
      <x:c r="N891" s="63" t="str">
        <x:v>https://k12static.xdf.cn/k12/image/externalized/b7439282-756e-41e0-b42b-6ece25120c49.png</x:v>
      </x:c>
      <x:c r="O891" s="63" t="str">
        <x:v>https://k12static.xdf.cn/k12/image/externalized/ca0421c6-707d-48b9-9978-f2dfa0b77110.png</x:v>
      </x:c>
      <x:c r="P891" s="63" t="str">
        <x:v>1-2步</x:v>
      </x:c>
      <x:c r="Q891" s="63" t="str">
        <x:v>概念判断</x:v>
      </x:c>
      <x:c r="R891" s="63" t="str">
        <x:v>单状态</x:v>
      </x:c>
      <x:c r="S891" s="63" t="str">
        <x:v>无约束</x:v>
      </x:c>
      <x:c r="T891" s="63" t="str">
        <x:v>无</x:v>
      </x:c>
      <x:c r="U891" s="63" t="str">
        <x:v>无</x:v>
      </x:c>
      <x:c r="V891" s="63" t="str">
        <x:v>简单因果推理</x:v>
      </x:c>
    </x:row>
    <x:row r="892">
      <x:c r="A892" s="64" t="str">
        <x:v>​2901879286474051584</x:v>
      </x:c>
      <x:c r="B892" s="65" t="str">
        <x:v>基础题</x:v>
      </x:c>
      <x:c r="C892" s="65" t="str">
        <x:v>基础题</x:v>
      </x:c>
      <x:c r="D892" s="65" t="str">
        <x:v>基础题</x:v>
      </x:c>
      <x:c r="E892" s="65" t="str">
        <x:v>保留原GPT裁定</x:v>
      </x:c>
      <x:c r="F892" s="65" t="str">
        <x:v>高</x:v>
      </x:c>
      <x:c r="G892" s="65" t="str">
        <x:v>基础题</x:v>
      </x:c>
      <x:c r="H892" s="65" t="str">
        <x:v>基础题</x:v>
      </x:c>
      <x:c r="I892" s="65" t="str">
        <x:v>题干、解析与结构证据支持基础题：step=1-2步，题型=概念判断，状态=单状态，约束=无约束，推理=简单因果推理。教师、盲评和多次模型证据中未形成足以推翻原裁定的同向结构证据。</x:v>
      </x:c>
      <x:c r="J892" s="65" t="str">
        <x:v>未进入三次错题并集；逐题结构一致性复核</x:v>
      </x:c>
      <x:c r="K892" s="63" t="str">
        <x:v>如图所示是一顾客乘商场的自动扶梯匀速上楼时的情景，在这一过程中，关于人的受力分析正确的是（ ）</x:v>
      </x:c>
      <x:c r="L892" s="63" t="str">
        <x:v>A. 人受到重力、电梯的支持力和水平向左的摩擦力 B. 人受到重力、电梯的支持力 C. 人受到重力、电梯的支持力和人对电梯的压力 D. 人受到重力、电梯的支持力和水平向右的摩擦力</x:v>
      </x:c>
      <x:c r="M892" s="63" t="str">
        <x:v>解：据题意可知，人在电梯上处于匀速直线运动状态，所以是平衡状态，故此时受到平衡力的作用，所以在水平方向上，人是不受力的；而在竖直方向上，受到重力和支持力的作用，故此时人所受的力只有重力和支持力。 故选：B。</x:v>
      </x:c>
      <x:c r="N892" s="63" t="str">
        <x:v>https://k12static.xdf.cn/k12/image/externalized/a6501c72-aafa-4766-a106-da430fdb3ce5.png</x:v>
      </x:c>
      <x:c r="O892" s="63" t="str">
        <x:v>https://k12static.xdf.cn/k12/image/externalized/fe172392-95f4-41f8-bc04-8ae700d12fa8.png</x:v>
      </x:c>
      <x:c r="P892" s="63" t="str">
        <x:v>1-2步</x:v>
      </x:c>
      <x:c r="Q892" s="63" t="str">
        <x:v>概念判断</x:v>
      </x:c>
      <x:c r="R892" s="63" t="str">
        <x:v>单状态</x:v>
      </x:c>
      <x:c r="S892" s="63" t="str">
        <x:v>无约束</x:v>
      </x:c>
      <x:c r="T892" s="63" t="str">
        <x:v>无</x:v>
      </x:c>
      <x:c r="U892" s="63" t="str">
        <x:v>无</x:v>
      </x:c>
      <x:c r="V892" s="63" t="str">
        <x:v>简单因果推理</x:v>
      </x:c>
    </x:row>
    <x:row r="893">
      <x:c r="A893" s="64" t="str">
        <x:v>​2903437937884901376</x:v>
      </x:c>
      <x:c r="B893" s="65" t="str">
        <x:v>中等题</x:v>
      </x:c>
      <x:c r="C893" s="65" t="str">
        <x:v>中等题</x:v>
      </x:c>
      <x:c r="D893" s="65" t="str">
        <x:v>中等题</x:v>
      </x:c>
      <x:c r="E893" s="65" t="str">
        <x:v>保留原GPT裁定</x:v>
      </x:c>
      <x:c r="F893" s="65" t="str">
        <x:v>高</x:v>
      </x:c>
      <x:c r="G893" s="65" t="str">
        <x:v>中等题</x:v>
      </x:c>
      <x:c r="H893" s="65" t="str">
        <x:v>中等题</x:v>
      </x:c>
      <x:c r="I893" s="65" t="str">
        <x:v>题干、解析与结构证据支持中等题：step=3-5步，题型=概念判断，状态=单状态，约束=单一约束，推理=多层因果推理。教师、盲评和多次模型证据中未形成足以推翻原裁定的同向结构证据。</x:v>
      </x:c>
      <x:c r="J893" s="65" t="str">
        <x:v>未进入三次错题并集；逐题结构一致性复核</x:v>
      </x:c>
      <x:c r="K893" s="63" t="str">
        <x:v>如图甲所示的条凳，人若坐在凳的一端，极易使其另一端上翘而摔倒。现将其简化为如图乙所示的示意图，B、C点分别与凳脚的E、F点在同一竖直线上。当人对水平凳面施加竖直向下的压力时，下列分析不正确的是（ ）</x:v>
      </x:c>
      <x:c r="L893" s="63" t="str">
        <x:v>A. 压力作用于A点，可将条凳视为绕E点转动的杠杆 B. 只要压力作用于凳面的中间，则条凳一定不会上翘 C. 只要在A、D点同时施加压力，则条凳一定不会上翘 D. 在B或C点施加一个压力，则条凳一定不会上翘</x:v>
      </x:c>
      <x:c r="M893" s="63" t="str">
        <x:v>解： A、若压力作用于A点，则会使得条凳有逆时针旋转的力，此时支点为E，故A选项正确； B、压力若作用在凳面的中间，则此时条凳无论以E还是以F为支点，均不会有翻转的可能，故B选项正确； C、若A、D同时施加压力但大小不相等，还是有可能会上翘，故C选项错误； D、根据题意可知，人对水平凳面施加的压力竖直向下； 在B点施加竖直向下的压力时，此时E为支点，且B、E两点在同一竖直线上，即此时压力的作用线经过支点，其力臂为0，对条凳的平衡无影响，所以此时条凳一定不会上翘； 在C点施加竖直向下的压力时，此时F为支点，且C、F两点在同一竖直线上，即此时压力的作用线经过支点，其力臂为0，对条凳的平衡无影响，所以此时条凳一定不会上翘，故D选项正确。 故选：C。</x:v>
      </x:c>
      <x:c r="N893" s="63" t="str">
        <x:v>https://k12static.xdf.cn/k12/image/externalized/99fdbce5-57af-42a7-bdf6-43f7e9ff0c7a.png</x:v>
      </x:c>
      <x:c r="O893" s="63" t="str">
        <x:v>https://k12static.xdf.cn/k12/image/externalized/c2f05cec-44ad-4f43-9fcc-074e73be3726.png</x:v>
      </x:c>
      <x:c r="P893" s="63" t="str">
        <x:v>3-5步</x:v>
      </x:c>
      <x:c r="Q893" s="63" t="str">
        <x:v>概念判断</x:v>
      </x:c>
      <x:c r="R893" s="63" t="str">
        <x:v>单状态</x:v>
      </x:c>
      <x:c r="S893" s="63" t="str">
        <x:v>单一约束</x:v>
      </x:c>
      <x:c r="T893" s="63" t="str">
        <x:v>无</x:v>
      </x:c>
      <x:c r="U893" s="63" t="str">
        <x:v>无</x:v>
      </x:c>
      <x:c r="V893" s="63" t="str">
        <x:v>多层因果推理</x:v>
      </x:c>
    </x:row>
    <x:row r="894">
      <x:c r="A894" s="64" t="str">
        <x:v>​2916794068771348480</x:v>
      </x:c>
      <x:c r="B894" s="65" t="str">
        <x:v>基础题</x:v>
      </x:c>
      <x:c r="C894" s="65" t="str">
        <x:v>基础题</x:v>
      </x:c>
      <x:c r="D894" s="65" t="str">
        <x:v>基础题</x:v>
      </x:c>
      <x:c r="E894" s="65" t="str">
        <x:v>保留原GPT裁定</x:v>
      </x:c>
      <x:c r="F894" s="65" t="str">
        <x:v>高</x:v>
      </x:c>
      <x:c r="G894" s="65" t="str">
        <x:v>基础题</x:v>
      </x:c>
      <x:c r="H894" s="65" t="str">
        <x:v>基础题</x:v>
      </x:c>
      <x:c r="I894" s="65" t="str">
        <x:v>题干、解析与结构证据支持基础题：step=1-2步，题型=概念判断，状态=单状态，约束=无约束，推理=简单因果推理。教师、盲评和多次模型证据中未形成足以推翻原裁定的同向结构证据。</x:v>
      </x:c>
      <x:c r="J894" s="65" t="str">
        <x:v>未进入三次错题并集；逐题结构一致性复核</x:v>
      </x:c>
      <x:c r="K894" s="63" t="str">
        <x:v>如图所示的现象中，能用流体压强与流速的关系解释的是（ ）</x:v>
      </x:c>
      <x:c r="L894" s="63" t="str">
        <x:v>A. 自制气压计测气压 B. 盆景自动供水装置 C. 口吹硬币跳越木块 D. 引火仪内棉花燃烧</x:v>
      </x:c>
      <x:c r="M894" s="63" t="str">
        <x:v>解：A．气压计中的水要装入大半瓶，水上方有空气，当瓶子内外气压不同时，带色的水在瓶内外气压的作用下，上升或下降，由此可以反映外界大气压的变化，故A错误； B．随着水的蒸发，盆景内水减少，当瓶口刚露出水面时，会有少量空气进入瓶中，瓶内气压增大，瓶子的水会下降流出一部分，使瓶外水位重新升高，回到原来的高度，即盆景内的水位保持不变；此后在大气压的作用下瓶中的水不再流出，故B错误； C．在硬币上方沿着与桌面平行方向用力吹一口气，硬币上方气流速度大于下方的气流速度，硬币上方压强小于下方压强，产生向上的升力，因此硬币就“跳”过了木块，故C正确； D．下压活塞时，活塞压缩气体做功，机械能转化为内能，气体的内能增大，温度升高，因此该过程是通过做功的方式改变物体内能的，故D错误。 故选：C。</x:v>
      </x:c>
      <x:c r="N894" s="63" t="str">
        <x:v>https://k12static.xdf.cn/k12/image/externalized/9cc7d9ce-49d8-4c67-904f-90ea85c37d27.png</x:v>
      </x:c>
      <x:c r="O894" s="63" t="str">
        <x:v>https://k12static.xdf.cn/k12/image/externalized/5e240423-c534-42dc-a154-bcbce2458bd1.png</x:v>
      </x:c>
      <x:c r="P894" s="63" t="str">
        <x:v>1-2步</x:v>
      </x:c>
      <x:c r="Q894" s="63" t="str">
        <x:v>概念判断</x:v>
      </x:c>
      <x:c r="R894" s="63" t="str">
        <x:v>单状态</x:v>
      </x:c>
      <x:c r="S894" s="63" t="str">
        <x:v>无约束</x:v>
      </x:c>
      <x:c r="T894" s="63" t="str">
        <x:v>无</x:v>
      </x:c>
      <x:c r="U894" s="63" t="str">
        <x:v>无</x:v>
      </x:c>
      <x:c r="V894" s="63" t="str">
        <x:v>简单因果推理</x:v>
      </x:c>
    </x:row>
    <x:row r="895">
      <x:c r="A895" s="64" t="str">
        <x:v>​2925014335379001344</x:v>
      </x:c>
      <x:c r="B895" s="65" t="str">
        <x:v>中等题</x:v>
      </x:c>
      <x:c r="C895" s="65" t="str">
        <x:v>中等题</x:v>
      </x:c>
      <x:c r="D895" s="65" t="str">
        <x:v>中等题</x:v>
      </x:c>
      <x:c r="E895" s="65" t="str">
        <x:v>逐题复核后保留GPT裁定</x:v>
      </x:c>
      <x:c r="F895" s="65" t="str">
        <x:v>高</x:v>
      </x:c>
      <x:c r="G895" s="65" t="str">
        <x:v>中等题</x:v>
      </x:c>
      <x:c r="H895" s="65" t="str">
        <x:v>中等题</x:v>
      </x:c>
      <x:c r="I895" s="65" t="str">
        <x:v>需要围绕标准实验流程、读数与数据归纳完成常规的3—4个有效决策，或完成一套完整标准实验/共享过程分析。关系仍显性、方法常规，没有决定性隐含转换、复杂边界筛选或多状态强耦合。</x:v>
      </x:c>
      <x:c r="J895" s="65" t="str">
        <x:v>三次运行错题并集逐题复核</x:v>
      </x:c>
      <x:c r="K895" s="63" t="str">
        <x:v>我国牵头建设的国际月球科研站预计在2035年基本建成。若月球表面是真空状态，月球科研站内温度、气压等环境条件与地球上实验室的环境条件相同，只有物体受到的重力是在地球上所受重力的$\frac{1}{6}$。则以下现象会发生的是（ ）</x:v>
      </x:c>
      <x:c r="L895" s="63" t="str">
        <x:v>A. 在科研站内，用托盘天平测得物体的质量等于该物体在地球上测得的质量 B. 在科研站内，用敲击后的音叉去弹水花，不仅听到声音还看到水花被弹起 C. 在科研站内，用弹簧测力计仍能得到物体所受的重力与质量成正比的结论 D. 在科研站外漫步时，看到的太阳与地球上看到的类似，仍然是太阳的虚像</x:v>
      </x:c>
      <x:c r="M895" s="63" t="str">
        <x:v>解：A、质量是物体的属性，与位置无关，用托盘天平测量物体的质量时，测得的质量等于物体在地球上测得的质量，故A正确； B、月球科研站内温度、气压等环境条件与地球上实验室的环境条件相同，用敲击后的音叉去弹水花，不仅听到声音还看到水花被弹起，故B正确； C、月球上重力与质量成正比，故C正确； D、由于月球没有大气层，太阳的光线直接照射到月球表面，因此直接看到强烈的太阳光，与在地球上看到的经大气层折射形成的虚像不同，故D错误。 故选：ABC。</x:v>
      </x:c>
      <x:c r="N895" s="63" t="str">
        <x:v>https://k12static.xdf.cn/k12/image/externalized/5a993912-4cef-4f5c-aff7-7717e30c132a.png</x:v>
      </x:c>
      <x:c r="O895" s="63" t="str">
        <x:v>https://k12static.xdf.cn/k12/image/externalized/2d7a9882-72b9-4185-b176-ee453f9f4768.png</x:v>
      </x:c>
      <x:c r="P895" s="63" t="str">
        <x:v>1-2步</x:v>
      </x:c>
      <x:c r="Q895" s="63" t="str">
        <x:v>概念判断</x:v>
      </x:c>
      <x:c r="R895" s="63" t="str">
        <x:v>单状态</x:v>
      </x:c>
      <x:c r="S895" s="63" t="str">
        <x:v>无约束</x:v>
      </x:c>
      <x:c r="T895" s="63" t="str">
        <x:v>无</x:v>
      </x:c>
      <x:c r="U895" s="63" t="str">
        <x:v>无</x:v>
      </x:c>
      <x:c r="V895" s="63" t="str">
        <x:v>简单因果推理</x:v>
      </x:c>
    </x:row>
    <x:row r="896">
      <x:c r="A896" s="64" t="str">
        <x:v>​2927344896115585024</x:v>
      </x:c>
      <x:c r="B896" s="65" t="str">
        <x:v>基础题</x:v>
      </x:c>
      <x:c r="C896" s="65" t="str">
        <x:v>基础题</x:v>
      </x:c>
      <x:c r="D896" s="65" t="str">
        <x:v>基础题</x:v>
      </x:c>
      <x:c r="E896" s="65" t="str">
        <x:v>保留原GPT裁定</x:v>
      </x:c>
      <x:c r="F896" s="65" t="str">
        <x:v>高</x:v>
      </x:c>
      <x:c r="G896" s="65" t="str">
        <x:v>基础题</x:v>
      </x:c>
      <x:c r="H896" s="65" t="str">
        <x:v>基础题</x:v>
      </x:c>
      <x:c r="I896" s="65" t="str">
        <x:v>题干、解析与结构证据支持基础题：step=1-2步，题型=力学综合，状态=单状态，约束=无约束，推理=简单因果推理。教师、盲评和多次模型证据中未形成足以推翻原裁定的同向结构证据。</x:v>
      </x:c>
      <x:c r="J896" s="65" t="str">
        <x:v>未进入三次错题并集；逐题结构一致性复核</x:v>
      </x:c>
      <x:c r="K896" s="63" t="str">
        <x:v>如图所示，在某次冰壶运动中，运动员用30N的水平力将冰壶从A点推至B点后放手，用时2秒，随后离手后的冰壶沿水平方向继续滑行至O点停止，用时8秒。如图乙所示，A点到O点的距离是30m,A点到B点的距离是4m。求： （1）冰壶从A点到O点的平均速度； （2）投掷过程中运动员对冰壶做的功率。</x:v>
      </x:c>
      <x:c r="L896" s="63" t="str"/>
      <x:c r="M896" s="63" t="str">
        <x:v>解：（1）由题意可得，冰壶从A点到O点所用的时间为t=2s+8s=10s, 由$v=\frac{s}{t}$可得，冰壶从A点到O点的平均速度为v=$\frac{s}{t}=\frac{30m}{10s}$=3m/s； （2）由题意可得，AB段的距离为冰壶受到推力移动的距离，则这次投掷过程中运动员对冰壶做的功为W=Fs=30N×4m=120J， 这次投掷过程中运动员对冰壶做功的功率为 $P=\frac{W}{{t}_{AB}}=\frac{120J}{2s}=60W$。 答：（1）冰壶从A点到O点的平均速度是3m/s； （2）投掷过程中运动员对冰壶做的功率是60W。</x:v>
      </x:c>
      <x:c r="N896" s="63" t="str">
        <x:v>https://k12static.xdf.cn/k12/image/externalized/dc5a450d-2a54-4d4a-81a8-726706596449.png</x:v>
      </x:c>
      <x:c r="O896" s="63" t="str">
        <x:v>https://k12static.xdf.cn/k12/image/externalized/8959eee3-30cc-4978-8e60-c015a3b4946f.png</x:v>
      </x:c>
      <x:c r="P896" s="63" t="str">
        <x:v>1-2步</x:v>
      </x:c>
      <x:c r="Q896" s="63" t="str">
        <x:v>力学综合</x:v>
      </x:c>
      <x:c r="R896" s="63" t="str">
        <x:v>单状态</x:v>
      </x:c>
      <x:c r="S896" s="63" t="str">
        <x:v>无约束</x:v>
      </x:c>
      <x:c r="T896" s="63" t="str">
        <x:v>无</x:v>
      </x:c>
      <x:c r="U896" s="63" t="str">
        <x:v>无</x:v>
      </x:c>
      <x:c r="V896" s="63" t="str">
        <x:v>简单因果推理</x:v>
      </x:c>
    </x:row>
    <x:row r="897">
      <x:c r="A897" s="64" t="str">
        <x:v>​2936792371109400576</x:v>
      </x:c>
      <x:c r="B897" s="65" t="str">
        <x:v>中等题</x:v>
      </x:c>
      <x:c r="C897" s="65" t="str">
        <x:v>中等题</x:v>
      </x:c>
      <x:c r="D897" s="65" t="str">
        <x:v>中等题</x:v>
      </x:c>
      <x:c r="E897" s="65" t="str">
        <x:v>保留原GPT裁定</x:v>
      </x:c>
      <x:c r="F897" s="65" t="str">
        <x:v>高</x:v>
      </x:c>
      <x:c r="G897" s="65" t="str">
        <x:v>中等题</x:v>
      </x:c>
      <x:c r="H897" s="65" t="str">
        <x:v>中等题</x:v>
      </x:c>
      <x:c r="I897" s="65" t="str">
        <x:v>题干、解析与结构证据支持中等题：step=3-5步，题型=热学综合，状态=单状态，约束=无约束，推理=多层因果推理。教师、盲评和多次模型证据中未形成足以推翻原裁定的同向结构证据。</x:v>
      </x:c>
      <x:c r="J897" s="65" t="str">
        <x:v>未进入三次错题并集；逐题结构一致性复核</x:v>
      </x:c>
      <x:c r="K897" s="63" t="str">
        <x:v>某小轿车在一段平直的公路上匀速行驶，已知这段路程小轿车牵引力所做的有用功为$3.6\times 10^{6}\mathrm{J}$，消耗$0.3\mathrm{kg}$的燃油，其中，小轿车冷却液的比热容$c=4.0\times 10^{3}\mathrm{J}/\left(\mathrm{kg}\cdot \text{℃}\right)$，燃油的热值$q=4.0\times 10^{7}\mathrm{J}/\mathrm{kg}$，假设燃油完全燃烧，求：</x:v>
      </x:c>
      <x:c r="L897" s="63" t="str"/>
      <x:c r="M897" s="63" t="str"/>
      <x:c r="N897" s="63" t="str">
        <x:v>https://k12static.xdf.cn/k12/image/externalized/08ea0987-7b8d-4e2a-9d82-5a22e6b5a029.png</x:v>
      </x:c>
      <x:c r="O897" s="63" t="str">
        <x:v>https://k12static.xdf.cn/k12/image/externalized/b2391188-99ad-4975-bedd-f47983570887.png</x:v>
      </x:c>
      <x:c r="P897" s="63" t="str">
        <x:v>3-5步</x:v>
      </x:c>
      <x:c r="Q897" s="63" t="str">
        <x:v>热学综合</x:v>
      </x:c>
      <x:c r="R897" s="63" t="str">
        <x:v>单状态</x:v>
      </x:c>
      <x:c r="S897" s="63" t="str">
        <x:v>无约束</x:v>
      </x:c>
      <x:c r="T897" s="63" t="str">
        <x:v>无</x:v>
      </x:c>
      <x:c r="U897" s="63" t="str">
        <x:v>无</x:v>
      </x:c>
      <x:c r="V897" s="63" t="str">
        <x:v>多层因果推理</x:v>
      </x:c>
    </x:row>
    <x:row r="898">
      <x:c r="A898" s="64" t="str">
        <x:v>​2941420832465129472</x:v>
      </x:c>
      <x:c r="B898" s="65" t="str">
        <x:v>送分题</x:v>
      </x:c>
      <x:c r="C898" s="65" t="str">
        <x:v>送分题</x:v>
      </x:c>
      <x:c r="D898" s="65" t="str">
        <x:v>送分题</x:v>
      </x:c>
      <x:c r="E898" s="65" t="str">
        <x:v>保留原GPT裁定</x:v>
      </x:c>
      <x:c r="F898" s="65" t="str">
        <x:v>高</x:v>
      </x:c>
      <x:c r="G898" s="65" t="str">
        <x:v>送分题</x:v>
      </x:c>
      <x:c r="H898" s="65" t="str">
        <x:v>送分题</x:v>
      </x:c>
      <x:c r="I898" s="65" t="str">
        <x:v>题干、解析与结构证据支持送分题：step=1-2步，题型=概念判断，状态=单状态，约束=无约束，推理=直接套用。教师、盲评和多次模型证据中未形成足以推翻原裁定的同向结构证据。</x:v>
      </x:c>
      <x:c r="J898" s="65" t="str">
        <x:v>未进入三次错题并集；逐题结构一致性复核</x:v>
      </x:c>
      <x:c r="K898" s="63" t="str">
        <x:v>近年来全球变暖最主要的原因是（ ）</x:v>
      </x:c>
      <x:c r="L898" s="63" t="str">
        <x:v>A. 被大气吸收的太阳辐射增加 B. 被大气吸收的地表辐射增加 C. 被大气反射到太空的太阳辐射增加 D. 被地表反射到太空的太阳辐射增加</x:v>
      </x:c>
      <x:c r="M898" s="63" t="str">
        <x:v>解：近几年全球变暖的原因是温室效应加剧造成的，主要是由于现代化工业社会燃烧过多煤炭、石油和天然气，这些燃料燃烧后放出大量的二氧化碳气体进入大气造成的。二氧化碳气体具有吸热和隔热的功能。它在大气中增多的结果是形成一种无形的“玻璃罩”，使太阳辐射到地球上的热量无法向外层空间发散，其结果是地球表面变热起来。 故选：B。</x:v>
      </x:c>
      <x:c r="N898" s="63" t="str">
        <x:v>https://k12static.xdf.cn/k12/image/externalized/2a7b3de2-ee01-4ae4-83bd-9fc141754a6e.png</x:v>
      </x:c>
      <x:c r="O898" s="63" t="str">
        <x:v>https://k12static.xdf.cn/k12/image/externalized/a4d6be20-4255-4abe-91f9-dc17dd0d4ec8.png</x:v>
      </x:c>
      <x:c r="P898" s="63" t="str">
        <x:v>1-2步</x:v>
      </x:c>
      <x:c r="Q898" s="63" t="str">
        <x:v>概念判断</x:v>
      </x:c>
      <x:c r="R898" s="63" t="str">
        <x:v>单状态</x:v>
      </x:c>
      <x:c r="S898" s="63" t="str">
        <x:v>无约束</x:v>
      </x:c>
      <x:c r="T898" s="63" t="str">
        <x:v>无</x:v>
      </x:c>
      <x:c r="U898" s="63" t="str">
        <x:v>无</x:v>
      </x:c>
      <x:c r="V898" s="63" t="str">
        <x:v>直接套用</x:v>
      </x:c>
    </x:row>
    <x:row r="899">
      <x:c r="A899" s="64" t="str">
        <x:v>​2952929958552244224</x:v>
      </x:c>
      <x:c r="B899" s="65" t="str">
        <x:v>中等题</x:v>
      </x:c>
      <x:c r="C899" s="65" t="str">
        <x:v>中等题</x:v>
      </x:c>
      <x:c r="D899" s="65" t="str">
        <x:v>中等题</x:v>
      </x:c>
      <x:c r="E899" s="65" t="str">
        <x:v>保留原GPT裁定</x:v>
      </x:c>
      <x:c r="F899" s="65" t="str">
        <x:v>高</x:v>
      </x:c>
      <x:c r="G899" s="65" t="str">
        <x:v>中等题</x:v>
      </x:c>
      <x:c r="H899" s="65" t="str">
        <x:v>中等题</x:v>
      </x:c>
      <x:c r="I899" s="65" t="str">
        <x:v>题干、解析与结构证据支持中等题：step=3-5步，题型=实验探究，状态=双状态，约束=单一约束，推理=多层因果推理。教师、盲评和多次模型证据中未形成足以推翻原裁定的同向结构证据。</x:v>
      </x:c>
      <x:c r="J899" s="65" t="str">
        <x:v>未进入三次错题并集；逐题结构一致性复核</x:v>
      </x:c>
      <x:c r="K899" s="63" t="str">
        <x:v>在探究“浮力的大小与什么因素有关”的实验中，张亮同学的实验步骤如图所示（水的密度为1.0×103kg/m3，g取10N/kg）。 （1）金属块在步骤B中受到的浮力为 ________ N。 （2）通过步骤B和C可以探究浮力的大小与 ________ 的关系，通过步骤C和D可以发现浮力的大小与物体浸没的深度 ________ （选填“有关”或“无关”）。 （3）若步骤B中挂钩下的细线突然断了，金属块在下沉过程中，所受浮力将 ________ （选填“不变”“变大”“先不变后变大”或“先变大后不变”）。 （4）张亮根据此实验数据还测出了该金属块的密度为 ________ kg/m3。</x:v>
      </x:c>
      <x:c r="L899" s="63" t="str"/>
      <x:c r="M899" s="63" t="str">
        <x:v>解：（1）金属块在步骤B中受到的浮力为：F浮=G-F=8N-7N=1N； （2）通过步骤B和C可以探究浮力的大小与排开液体的体积的关系，通过步骤C和D可以发现浮力的大小与物体浸没的深度无关。 （3）若步骤B中挂钩下的细线突然断了，金属块在下沉过程中，所受浮力将先变大后不变。 （4）金属块的质量为：$m=\frac{G}{g}=\frac{8N}{10N/kg}=0.8kg$； 金属块完全浸没在水中时受到的浮力为：F浮'=G-F'=8N-6N=2N； 根据阿基米德原理，金属块的体积为：$V=\frac{{F}_{浮}'}{{ρ}_{水}g}=\frac{2N}{1.0×1{0}^{3}kg/{m}^{3}×10N/kg}=2×1{0}^{-4}{m}^{3}$； 金属块的密度为：$ρ=\frac{m}{V}=\frac{0.8kg}{2×1{0}^{-4}{m}^{3}}=4×1{0}^{3}kg/{m}^{3}$。 故答案为：（1）1；（2）排开液体的体积；无关；（3）先变大后不变；（4）4×103。</x:v>
      </x:c>
      <x:c r="N899" s="63" t="str">
        <x:v>https://k12static.xdf.cn/k12/image/externalized/62d0cb1d-eedf-4911-aa4e-34e97209b421.png</x:v>
      </x:c>
      <x:c r="O899" s="63" t="str">
        <x:v>https://k12static.xdf.cn/k12/image/externalized/8f94bd80-5a02-4f1c-8993-3cd94fb755b0.png</x:v>
      </x:c>
      <x:c r="P899" s="63" t="str">
        <x:v>3-5步</x:v>
      </x:c>
      <x:c r="Q899" s="63" t="str">
        <x:v>实验探究</x:v>
      </x:c>
      <x:c r="R899" s="63" t="str">
        <x:v>双状态</x:v>
      </x:c>
      <x:c r="S899" s="63" t="str">
        <x:v>单一约束</x:v>
      </x:c>
      <x:c r="T899" s="63" t="str">
        <x:v>控制变量或故障分析</x:v>
      </x:c>
      <x:c r="U899" s="63" t="str">
        <x:v>无</x:v>
      </x:c>
      <x:c r="V899" s="63" t="str">
        <x:v>多层因果推理</x:v>
      </x:c>
    </x:row>
    <x:row r="900">
      <x:c r="A900" s="64" t="str">
        <x:v>​2956361046495891456</x:v>
      </x:c>
      <x:c r="B900" s="65" t="str">
        <x:v>基础题</x:v>
      </x:c>
      <x:c r="C900" s="65" t="str">
        <x:v>基础题</x:v>
      </x:c>
      <x:c r="D900" s="65" t="str">
        <x:v>基础题</x:v>
      </x:c>
      <x:c r="E900" s="65" t="str">
        <x:v>保留原GPT裁定</x:v>
      </x:c>
      <x:c r="F900" s="65" t="str">
        <x:v>高</x:v>
      </x:c>
      <x:c r="G900" s="65" t="str">
        <x:v>基础题</x:v>
      </x:c>
      <x:c r="H900" s="65" t="str">
        <x:v>基础题</x:v>
      </x:c>
      <x:c r="I900" s="65" t="str">
        <x:v>题干、解析与结构证据支持基础题：step=1-2步，题型=光学声学综合，状态=单状态，约束=无约束，推理=简单因果推理。教师、盲评和多次模型证据中未形成足以推翻原裁定的同向结构证据。</x:v>
      </x:c>
      <x:c r="J900" s="65" t="str">
        <x:v>未进入三次错题并集；逐题结构一致性复核</x:v>
      </x:c>
      <x:c r="K900" s="63" t="str">
        <x:v>画出物体AB通过凸透镜成的像的光路图。</x:v>
      </x:c>
      <x:c r="L900" s="63" t="str"/>
      <x:c r="M900" s="63" t="str">
        <x:v>物体A点射出的光线，过光心，传播方向不变，平行于主光轴的其折射光线过焦点，因为物距小于一倍焦距，所成的是虚像，所以两条折射光线的反向延长线的交点为A点的像A′的位置，过A′作AB的平行线，与主光轴的交点，即为B的像B′，作图如下：</x:v>
      </x:c>
      <x:c r="N900" s="63" t="str">
        <x:v>https://k12static.xdf.cn/k12/image/externalized/3dd0c0e0-f3ca-407b-a661-133c461c13ef.png</x:v>
      </x:c>
      <x:c r="O900" s="63" t="str">
        <x:v>https://k12static.xdf.cn/k12/image/externalized/5d81d28c-faf5-4fd3-b8c9-6106d2bd7825.png</x:v>
      </x:c>
      <x:c r="P900" s="63" t="str">
        <x:v>1-2步</x:v>
      </x:c>
      <x:c r="Q900" s="63" t="str">
        <x:v>光学声学综合</x:v>
      </x:c>
      <x:c r="R900" s="63" t="str">
        <x:v>单状态</x:v>
      </x:c>
      <x:c r="S900" s="63" t="str">
        <x:v>无约束</x:v>
      </x:c>
      <x:c r="T900" s="63" t="str">
        <x:v>无</x:v>
      </x:c>
      <x:c r="U900" s="63" t="str">
        <x:v>无</x:v>
      </x:c>
      <x:c r="V900" s="63" t="str">
        <x:v>简单因果推理</x:v>
      </x:c>
    </x:row>
    <x:row r="901">
      <x:c r="A901" s="64" t="str">
        <x:v>​2963063364994211840</x:v>
      </x:c>
      <x:c r="B901" s="65" t="str">
        <x:v>中等题</x:v>
      </x:c>
      <x:c r="C901" s="65" t="str">
        <x:v>中等题</x:v>
      </x:c>
      <x:c r="D901" s="65" t="str">
        <x:v>中等题</x:v>
      </x:c>
      <x:c r="E901" s="65" t="str">
        <x:v>保留原GPT裁定</x:v>
      </x:c>
      <x:c r="F901" s="65" t="str">
        <x:v>高</x:v>
      </x:c>
      <x:c r="G901" s="65" t="str">
        <x:v>中等题</x:v>
      </x:c>
      <x:c r="H901" s="65" t="str">
        <x:v>中等题</x:v>
      </x:c>
      <x:c r="I901" s="65" t="str">
        <x:v>题干、解析与结构证据支持中等题：step=1-2步，题型=实验探究，状态=单状态，约束=无约束，推理=简单因果推理。教师、盲评和多次模型证据中未形成足以推翻原裁定的同向结构证据。</x:v>
      </x:c>
      <x:c r="J901" s="65" t="str">
        <x:v>未进入三次错题并集；逐题结构一致性复核</x:v>
      </x:c>
      <x:c r="K901" s="63" t="str">
        <x:v>如图所示是“探究磁生电”的实验装置。​ （1）实验中通过观察 ________ 来判断电路中感应电流大小。 （2）闭合开关，导体棒AB做 ________ 运动时，电路中会产生感应电流；如果将磁体的磁极对调并使导体棒AB的运动方向相反，感应电流的方向 ________ （选填“会”或“不会”）改变。 （3）电磁感应现象在生活中一个应用是 ________ （选填“发电机”、“电铃”或“动圈式扬声器”）。若想进一步研究电动机工作原理，只需将图中的 ________ 换成 ________ 即可。</x:v>
      </x:c>
      <x:c r="L901" s="63" t="str"/>
      <x:c r="M901" s="63" t="str">
        <x:v>解：（1）实验中通过观察灵敏电流计指针偏转角度来判断电路中感应电流大小。 （2）闭合开关，导体棒AB做切割磁感线运动时，电路中会产生感应电流；如果将磁体的磁极对调并使导体棒AB的运动方向相反，感应电流的方向不会改变。 （3）电磁感应现象在生活中一个应用是发电机。若想进一步研究电动机工作原理，只需将图中的灵敏电流计换成电源即可。 故答案为：（1）灵敏电流计指针偏转角度；（2）切割磁感线；不会；（3）发电机；灵敏电流计；电源。</x:v>
      </x:c>
      <x:c r="N901" s="63" t="str">
        <x:v>https://k12static.xdf.cn/k12/image/externalized/aa91bf14-f1f1-48ad-ba4a-39e62ab6b1fd.png</x:v>
      </x:c>
      <x:c r="O901" s="63" t="str">
        <x:v>https://k12static.xdf.cn/k12/image/externalized/8dab6cdd-fbbf-45ad-a90c-0bfe50cf5e24.png</x:v>
      </x:c>
      <x:c r="P901" s="63" t="str">
        <x:v>1-2步</x:v>
      </x:c>
      <x:c r="Q901" s="63" t="str">
        <x:v>实验探究</x:v>
      </x:c>
      <x:c r="R901" s="63" t="str">
        <x:v>单状态</x:v>
      </x:c>
      <x:c r="S901" s="63" t="str">
        <x:v>无约束</x:v>
      </x:c>
      <x:c r="T901" s="63" t="str">
        <x:v>基础操作或读数</x:v>
      </x:c>
      <x:c r="U901" s="63" t="str">
        <x:v>无</x:v>
      </x:c>
      <x:c r="V901" s="63" t="str">
        <x:v>简单因果推理</x:v>
      </x:c>
    </x:row>
    <x:row r="902">
      <x:c r="A902" s="64" t="str">
        <x:v>​2967464829236084736</x:v>
      </x:c>
      <x:c r="B902" s="65" t="str">
        <x:v>送分题</x:v>
      </x:c>
      <x:c r="C902" s="65" t="str">
        <x:v>送分题</x:v>
      </x:c>
      <x:c r="D902" s="65" t="str">
        <x:v>送分题</x:v>
      </x:c>
      <x:c r="E902" s="65" t="str">
        <x:v>保留原GPT裁定</x:v>
      </x:c>
      <x:c r="F902" s="65" t="str">
        <x:v>高</x:v>
      </x:c>
      <x:c r="G902" s="65" t="str">
        <x:v>送分题</x:v>
      </x:c>
      <x:c r="H902" s="65" t="str">
        <x:v>送分题</x:v>
      </x:c>
      <x:c r="I902" s="65" t="str">
        <x:v>题干、解析与结构证据支持送分题：step=1-2步，题型=概念判断，状态=单状态，约束=无约束，推理=直接套用。教师、盲评和多次模型证据中未形成足以推翻原裁定的同向结构证据。</x:v>
      </x:c>
      <x:c r="J902" s="65" t="str">
        <x:v>未进入三次错题并集；逐题结构一致性复核</x:v>
      </x:c>
      <x:c r="K902" s="63" t="str">
        <x:v>用滑轮组提起重物时，动滑轮上有几段绳子承受物重，若不计动滑轮重和摩擦，则提起物体的力就是物重的（ ）</x:v>
      </x:c>
      <x:c r="L902" s="63" t="str">
        <x:v>A. 二倍 B. 几倍 C. 二分之一 D. 几分之一</x:v>
      </x:c>
      <x:c r="M902" s="63" t="str">
        <x:v>解：使用滑轮组时，不计动滑轮重和摩擦，滑轮组用几段绳子吊着物体，提起物体用的力就是物体重的几分之一，故ABC错误，D正确。 故选：D。</x:v>
      </x:c>
      <x:c r="N902" s="63" t="str">
        <x:v>https://k12static.xdf.cn/k12/image/externalized/8fa116f9-558c-4c5b-b816-0c5654342fd1.png</x:v>
      </x:c>
      <x:c r="O902" s="63" t="str">
        <x:v>https://k12static.xdf.cn/k12/image/externalized/83810d00-8821-4958-8042-e132d4d9ac69.png</x:v>
      </x:c>
      <x:c r="P902" s="63" t="str">
        <x:v>1-2步</x:v>
      </x:c>
      <x:c r="Q902" s="63" t="str">
        <x:v>概念判断</x:v>
      </x:c>
      <x:c r="R902" s="63" t="str">
        <x:v>单状态</x:v>
      </x:c>
      <x:c r="S902" s="63" t="str">
        <x:v>无约束</x:v>
      </x:c>
      <x:c r="T902" s="63" t="str">
        <x:v>无</x:v>
      </x:c>
      <x:c r="U902" s="63" t="str">
        <x:v>无</x:v>
      </x:c>
      <x:c r="V902" s="63" t="str">
        <x:v>直接套用</x:v>
      </x:c>
    </x:row>
    <x:row r="903">
      <x:c r="A903" s="64" t="str">
        <x:v>​2971807842655637504</x:v>
      </x:c>
      <x:c r="B903" s="65" t="str">
        <x:v>送分题</x:v>
      </x:c>
      <x:c r="C903" s="65" t="str">
        <x:v>送分题</x:v>
      </x:c>
      <x:c r="D903" s="65" t="str">
        <x:v>送分题</x:v>
      </x:c>
      <x:c r="E903" s="65" t="str">
        <x:v>保留原GPT裁定</x:v>
      </x:c>
      <x:c r="F903" s="65" t="str">
        <x:v>高</x:v>
      </x:c>
      <x:c r="G903" s="65" t="str">
        <x:v>送分题</x:v>
      </x:c>
      <x:c r="H903" s="65" t="str">
        <x:v>送分题</x:v>
      </x:c>
      <x:c r="I903" s="65" t="str">
        <x:v>题干、解析与结构证据支持送分题：step=1-2步，题型=概念判断，状态=单状态，约束=无约束，推理=直接套用。教师、盲评和多次模型证据中未形成足以推翻原裁定的同向结构证据。</x:v>
      </x:c>
      <x:c r="J903" s="65" t="str">
        <x:v>未进入三次错题并集；逐题结构一致性复核</x:v>
      </x:c>
      <x:c r="K903" s="63" t="str">
        <x:v>将一壶水加热至沸腾，在水持续沸腾过程中，下列说法正确的是（ ）</x:v>
      </x:c>
      <x:c r="L903" s="63" t="str">
        <x:v>A. 水的质量增加 B. 水的质量不变 C. 水的温度不变 D. 水的温度升高</x:v>
      </x:c>
      <x:c r="M903" s="63" t="str">
        <x:v>解：AB．水在持续沸腾过程中，会汽化成水蒸气散失到空气中，所以水的质量会减少，而不是增加，故AB错误，不符合题意； CD．水持续沸腾过程中水的温度不变，因为水沸腾的特点是持续吸热但温度保持不变，故C正确，符合题意，D错误，不符合题意。 故选：C。</x:v>
      </x:c>
      <x:c r="N903" s="63" t="str">
        <x:v>https://k12static.xdf.cn/k12/image/externalized/4bafc379-a52e-4700-a4e0-17ad5718e971.png</x:v>
      </x:c>
      <x:c r="O903" s="63" t="str">
        <x:v>https://k12static.xdf.cn/k12/image/externalized/3c17db75-bdfb-4300-9d0f-1a001fc43c32.png</x:v>
      </x:c>
      <x:c r="P903" s="63" t="str">
        <x:v>1-2步</x:v>
      </x:c>
      <x:c r="Q903" s="63" t="str">
        <x:v>概念判断</x:v>
      </x:c>
      <x:c r="R903" s="63" t="str">
        <x:v>单状态</x:v>
      </x:c>
      <x:c r="S903" s="63" t="str">
        <x:v>无约束</x:v>
      </x:c>
      <x:c r="T903" s="63" t="str">
        <x:v>无</x:v>
      </x:c>
      <x:c r="U903" s="63" t="str">
        <x:v>无</x:v>
      </x:c>
      <x:c r="V903" s="63" t="str">
        <x:v>直接套用</x:v>
      </x:c>
    </x:row>
    <x:row r="904">
      <x:c r="A904" s="64" t="str">
        <x:v>​2972149714976505856</x:v>
      </x:c>
      <x:c r="B904" s="65" t="str">
        <x:v>中等题</x:v>
      </x:c>
      <x:c r="C904" s="65" t="str">
        <x:v>中等题</x:v>
      </x:c>
      <x:c r="D904" s="65" t="str">
        <x:v>中等题</x:v>
      </x:c>
      <x:c r="E904" s="65" t="str">
        <x:v>保留原GPT裁定</x:v>
      </x:c>
      <x:c r="F904" s="65" t="str">
        <x:v>高</x:v>
      </x:c>
      <x:c r="G904" s="65" t="str">
        <x:v>中等题</x:v>
      </x:c>
      <x:c r="H904" s="65" t="str">
        <x:v>中等题</x:v>
      </x:c>
      <x:c r="I904" s="65" t="str">
        <x:v>题干、解析与结构证据支持中等题：step=3-5步，题型=电学综合，状态=双状态，约束=单一约束，推理=多层因果推理。教师、盲评和多次模型证据中未形成足以推翻原裁定的同向结构证据。</x:v>
      </x:c>
      <x:c r="J904" s="65" t="str">
        <x:v>未进入三次错题并集；逐题结构一致性复核</x:v>
      </x:c>
      <x:c r="K904" s="63" t="str">
        <x:v>小明将灯$\mathrm{L}_{1}、\mathrm{L}_{2}$串联在电路中，闭合开关后两灯均发光，电流表示数为$I_{1}$。为探究灯丝电阻是否随温度变化，他将$\mathrm{L}_{2}$灯珠的玻璃泡摘除后保持原电路连接，如图所示。再次闭合开关后，发现$\mathrm{L}_{2}$不亮，但$\mathrm{L}_{1}$比之前更亮，电流表示数为$I_{2}$，可得$I_{1}$ $I_{2}$。对$\mathrm{L}_{2}$灯丝加热，发现$\mathrm{L}_{1}$变暗，由此可知灯丝温度升高，电阻 。依据上述结论，分析$\mathrm{L}_{2}$不亮的原因是 。</x:v>
      </x:c>
      <x:c r="L904" s="63" t="str"/>
      <x:c r="M904" s="63" t="str">
        <x:v>[1]小明将灯$\mathrm{L}_{1}、\mathrm{L}_{2}$串联在电路中，闭合开关后两灯均发光，电流表示数为$I_{1}$，此时两个灯泡串联，再次闭合开关后，发现$\mathrm{L}_{2}$不亮，但$\mathrm{L}_{1}$比之前更亮，说明电路中的电流变大，故I1小于I2。[2]对$\mathrm{L}_{2}$灯丝加热，发现$\mathrm{L}_{1}$变暗，说明通过灯泡L1的电流变小，说明L2灯丝的电阻变大，故灯丝温度升高时，灯丝的电阻变大。[3]没有加热时，此时灯泡不亮，原因是温度比较低，电阻变小，导致分担的电压比较小，灯泡L2的实际功率比较小。</x:v>
      </x:c>
      <x:c r="N904" s="63" t="str">
        <x:v>https://k12static.xdf.cn/k12/image/externalized/62e87147-038f-41dd-b7ad-e2dfd20b8c1b.png</x:v>
      </x:c>
      <x:c r="O904" s="63" t="str">
        <x:v>https://k12static.xdf.cn/k12/image/externalized/c852afca-6e42-47a7-a693-01ac6401cf35.png</x:v>
      </x:c>
      <x:c r="P904" s="63" t="str">
        <x:v>3-5步</x:v>
      </x:c>
      <x:c r="Q904" s="63" t="str">
        <x:v>电学综合</x:v>
      </x:c>
      <x:c r="R904" s="63" t="str">
        <x:v>双状态</x:v>
      </x:c>
      <x:c r="S904" s="63" t="str">
        <x:v>单一约束</x:v>
      </x:c>
      <x:c r="T904" s="63" t="str">
        <x:v>控制变量或故障分析</x:v>
      </x:c>
      <x:c r="U904" s="63" t="str">
        <x:v>无</x:v>
      </x:c>
      <x:c r="V904" s="63" t="str">
        <x:v>多层因果推理</x:v>
      </x:c>
    </x:row>
    <x:row r="905">
      <x:c r="A905" s="64" t="str">
        <x:v>​2981907059980455936</x:v>
      </x:c>
      <x:c r="B905" s="65" t="str">
        <x:v>基础题</x:v>
      </x:c>
      <x:c r="C905" s="65" t="str">
        <x:v>基础题</x:v>
      </x:c>
      <x:c r="D905" s="65" t="str">
        <x:v>基础题</x:v>
      </x:c>
      <x:c r="E905" s="65" t="str">
        <x:v>保留原GPT裁定</x:v>
      </x:c>
      <x:c r="F905" s="65" t="str">
        <x:v>高</x:v>
      </x:c>
      <x:c r="G905" s="65" t="str">
        <x:v>基础题</x:v>
      </x:c>
      <x:c r="H905" s="65" t="str">
        <x:v>基础题</x:v>
      </x:c>
      <x:c r="I905" s="65" t="str">
        <x:v>题干、解析与结构证据支持基础题：step=1-2步，题型=概念判断，状态=单状态，约束=无约束，推理=简单因果推理。教师、盲评和多次模型证据中未形成足以推翻原裁定的同向结构证据。</x:v>
      </x:c>
      <x:c r="J905" s="65" t="str">
        <x:v>未进入三次错题并集；逐题结构一致性复核</x:v>
      </x:c>
      <x:c r="K905" s="63" t="str">
        <x:v>为庆祝妈妈的生日，小明购买了一个上端开口的爱心“温度计”作为礼物。当用手包裹住底端玻璃泡时，玻璃泡温度上升，内部气体受热膨胀，使管中液体迅速上升，形成一个爱心形状。下列说法中正确的是（ ）</x:v>
      </x:c>
      <x:c r="L905" s="63" t="str">
        <x:v>A. 液面上升主要是由于玻璃泡受到手的挤压 B. 工作原理是液体热胀冷缩使液面升降 C. 夏季静止在桌面上的爱心“温度计”液柱较高 D. 冬季静止在桌面上的爱心“温度计”液柱较高</x:v>
      </x:c>
      <x:c r="M905" s="63" t="str">
        <x:v>解：AB．爱心温度计的工作原理是底部玻璃泡内的气体热胀冷缩使液面升降，爱心温度计内液面上升主要是由于内部气体受热膨胀导致的，故AB错误； C．夏季气温高，内部气体受热膨胀，使管中液体上升，爱心“温度计”液柱较高，故C正确； D．冬季气温低，内部气体遇冷收缩，使管中液体下降，爱心“温度计”液柱较低，故D错误。 故选：C。</x:v>
      </x:c>
      <x:c r="N905" s="63" t="str">
        <x:v>https://k12static.xdf.cn/k12/image/externalized/caa3fcad-edc9-446e-b696-69034bee923f.png</x:v>
      </x:c>
      <x:c r="O905" s="63" t="str">
        <x:v>https://k12static.xdf.cn/k12/image/externalized/41c29bc7-9a8f-4292-9bec-5481d70a260a.png</x:v>
      </x:c>
      <x:c r="P905" s="63" t="str">
        <x:v>1-2步</x:v>
      </x:c>
      <x:c r="Q905" s="63" t="str">
        <x:v>概念判断</x:v>
      </x:c>
      <x:c r="R905" s="63" t="str">
        <x:v>单状态</x:v>
      </x:c>
      <x:c r="S905" s="63" t="str">
        <x:v>无约束</x:v>
      </x:c>
      <x:c r="T905" s="63" t="str">
        <x:v>无</x:v>
      </x:c>
      <x:c r="U905" s="63" t="str">
        <x:v>无</x:v>
      </x:c>
      <x:c r="V905" s="63" t="str">
        <x:v>简单因果推理</x:v>
      </x:c>
    </x:row>
    <x:row r="906">
      <x:c r="A906" s="64" t="str">
        <x:v>​2984618125088612352</x:v>
      </x:c>
      <x:c r="B906" s="65" t="str">
        <x:v>基础题</x:v>
      </x:c>
      <x:c r="C906" s="65" t="str">
        <x:v>基础题</x:v>
      </x:c>
      <x:c r="D906" s="65" t="str">
        <x:v>基础题</x:v>
      </x:c>
      <x:c r="E906" s="65" t="str">
        <x:v>保留原GPT裁定</x:v>
      </x:c>
      <x:c r="F906" s="65" t="str">
        <x:v>高</x:v>
      </x:c>
      <x:c r="G906" s="65" t="str">
        <x:v>基础题</x:v>
      </x:c>
      <x:c r="H906" s="65" t="str">
        <x:v>基础题</x:v>
      </x:c>
      <x:c r="I906" s="65" t="str">
        <x:v>题干、解析与结构证据支持基础题：step=1-2步，题型=概念判断，状态=单状态，约束=无约束，推理=简单因果推理。教师、盲评和多次模型证据中未形成足以推翻原裁定的同向结构证据。</x:v>
      </x:c>
      <x:c r="J906" s="65" t="str">
        <x:v>未进入三次错题并集；逐题结构一致性复核</x:v>
      </x:c>
      <x:c r="K906" s="63" t="str">
        <x:v>如图所示，装修工人正在利用动滑轮和塑料桶匀速向上搬运水泥。以下做法可以提高动滑轮机械效率的是（ ）</x:v>
      </x:c>
      <x:c r="L906" s="63" t="str">
        <x:v>A. 提高拉动绳子的速度 B. 在滑轮转轴处涂润滑油 C. 将桶换成质量更大的金属桶 D. 减小每次桶中所装水泥的质量</x:v>
      </x:c>
      <x:c r="M906" s="63" t="str">
        <x:v>解：为了提高机械效率，在其它条件不变，可增大有用功或减少额外功。 A．动滑轮机械效率的高低与拉动绳子的速度无关，故A不符合题意； B．在滑轮转轴处涂润滑油，可减少克服摩擦所做的额外功，故B符合题意； C．将桶换成质量更大的金属桶，则增大提升桶时所做的额外功，故C不符合题意； D．减小每次桶中所装水泥的质量，在其它条件不变时，减小了有用功，故D不符合题意。 故选：B。</x:v>
      </x:c>
      <x:c r="N906" s="63" t="str">
        <x:v>https://k12static.xdf.cn/k12/image/externalized/892b187f-e3ff-481d-ae00-f8b6834433e4.png</x:v>
      </x:c>
      <x:c r="O906" s="63" t="str">
        <x:v>https://k12static.xdf.cn/k12/image/externalized/3431e831-d767-4b51-a9f4-b56f192182b4.png</x:v>
      </x:c>
      <x:c r="P906" s="63" t="str">
        <x:v>1-2步</x:v>
      </x:c>
      <x:c r="Q906" s="63" t="str">
        <x:v>概念判断</x:v>
      </x:c>
      <x:c r="R906" s="63" t="str">
        <x:v>单状态</x:v>
      </x:c>
      <x:c r="S906" s="63" t="str">
        <x:v>无约束</x:v>
      </x:c>
      <x:c r="T906" s="63" t="str">
        <x:v>无</x:v>
      </x:c>
      <x:c r="U906" s="63" t="str">
        <x:v>无</x:v>
      </x:c>
      <x:c r="V906" s="63" t="str">
        <x:v>简单因果推理</x:v>
      </x:c>
    </x:row>
    <x:row r="907">
      <x:c r="A907" s="64" t="str">
        <x:v>​2987945842649083904</x:v>
      </x:c>
      <x:c r="B907" s="65" t="str">
        <x:v>中等题</x:v>
      </x:c>
      <x:c r="C907" s="65" t="str">
        <x:v>中等题</x:v>
      </x:c>
      <x:c r="D907" s="65" t="str">
        <x:v>中等题</x:v>
      </x:c>
      <x:c r="E907" s="65" t="str">
        <x:v>保留原GPT裁定</x:v>
      </x:c>
      <x:c r="F907" s="65" t="str">
        <x:v>高</x:v>
      </x:c>
      <x:c r="G907" s="65" t="str">
        <x:v>中等题</x:v>
      </x:c>
      <x:c r="H907" s="65" t="str">
        <x:v>中等题</x:v>
      </x:c>
      <x:c r="I907" s="65" t="str">
        <x:v>题干、解析与结构证据支持中等题：step=3-5步，题型=概念判断，状态=单状态，约束=无约束，推理=多层因果推理。教师、盲评和多次模型证据中未形成足以推翻原裁定的同向结构证据。</x:v>
      </x:c>
      <x:c r="J907" s="65" t="str">
        <x:v>未进入三次错题并集；逐题结构一致性复核</x:v>
      </x:c>
      <x:c r="K907" s="63" t="str">
        <x:v>在“探究影响压力作用效果因素”与“探究影响重力势能大小因素”两个实验中，均可通过如图所示器材完成实验。以下关于两个实验的四个判断中正确的是（ ）</x:v>
      </x:c>
      <x:c r="L907" s="63" t="str">
        <x:v>A. 选用大小不同的木块是为了改变相同的物理量 B. 需要观察小桌陷入沙中的深度得结论 C. 前者实验不需要将木块从一定高度自由释放 D. 后者实验中小桌不需要倒放在沙桶中</x:v>
      </x:c>
      <x:c r="M907" s="63" t="str">
        <x:v>解：A、“探究影响压力作用效果因素”时，选用大小不同的木块，是为了改变压力的大小；“探究影响重力势能大小因素”时，选用大小不同的木块，是为了改变质量的大小，所以改变的量是不同的，故A错误； B、根据转换法可知，这两个实验中都是根据小桌陷入沙中的深度来反映压力的作用效果或者重力势能的大小，故B正确； C、水平面上的物体对水平面的压力等于自身的重力，所以“探究影响压力作用效果因素”时，不需要将木块从小桌正上方一定高度自由释放，故C正确； D、“探究影响重力势能大小因素”时，不需要改变受力面积的大小，所以小桌不需要倒放，故D正确。 故选：BCD。</x:v>
      </x:c>
      <x:c r="N907" s="63" t="str">
        <x:v>https://k12static.xdf.cn/k12/image/externalized/7ba2b4ce-53bc-4541-ac48-0845b133d5b8.png</x:v>
      </x:c>
      <x:c r="O907" s="63" t="str">
        <x:v>https://k12static.xdf.cn/k12/image/externalized/d5d33fe7-d3c3-4a69-be7f-cb4b1fb6a87a.png</x:v>
      </x:c>
      <x:c r="P907" s="63" t="str">
        <x:v>3-5步</x:v>
      </x:c>
      <x:c r="Q907" s="63" t="str">
        <x:v>概念判断</x:v>
      </x:c>
      <x:c r="R907" s="63" t="str">
        <x:v>单状态</x:v>
      </x:c>
      <x:c r="S907" s="63" t="str">
        <x:v>无约束</x:v>
      </x:c>
      <x:c r="T907" s="63" t="str">
        <x:v>控制变量或故障分析</x:v>
      </x:c>
      <x:c r="U907" s="63" t="str">
        <x:v>无</x:v>
      </x:c>
      <x:c r="V907" s="63" t="str">
        <x:v>多层因果推理</x:v>
      </x:c>
    </x:row>
    <x:row r="908">
      <x:c r="A908" s="64" t="str">
        <x:v>​2993480138281721856</x:v>
      </x:c>
      <x:c r="B908" s="65" t="str">
        <x:v>基础题</x:v>
      </x:c>
      <x:c r="C908" s="65" t="str">
        <x:v>基础题</x:v>
      </x:c>
      <x:c r="D908" s="65" t="str">
        <x:v>基础题</x:v>
      </x:c>
      <x:c r="E908" s="65" t="str">
        <x:v>保留原GPT裁定</x:v>
      </x:c>
      <x:c r="F908" s="65" t="str">
        <x:v>高</x:v>
      </x:c>
      <x:c r="G908" s="65" t="str">
        <x:v>基础题</x:v>
      </x:c>
      <x:c r="H908" s="65" t="str">
        <x:v>基础题</x:v>
      </x:c>
      <x:c r="I908" s="65" t="str">
        <x:v>题干、解析与结构证据支持基础题：step=1-2步，题型=概念判断，状态=单状态，约束=无约束，推理=简单因果推理。教师、盲评和多次模型证据中未形成足以推翻原裁定的同向结构证据。</x:v>
      </x:c>
      <x:c r="J908" s="65" t="str">
        <x:v>未进入三次错题并集；逐题结构一致性复核</x:v>
      </x:c>
      <x:c r="K908" s="63" t="str">
        <x:v>微波是一种高频电磁波，对物质具有选择性加热的特性。它对玻璃、塑料和瓷器，几乎是穿越而不被吸收；对于水和食物等就会吸收微波而使自身发热；而对金属类物品，则会反射微波。微波炉利用微波加热食物，下列说法错误的是（ ）</x:v>
      </x:c>
      <x:c r="L908" s="63" t="str">
        <x:v>A. 微波炉利用热传递加热食物 B. 微波炉的玻璃炉门内侧装有金属制成的屏蔽网 C. 微波炉中微波会对人体造成伤害 D. 微波在真空中的传播速度约为3×108m/s</x:v>
      </x:c>
      <x:c r="M908" s="63" t="str">
        <x:v>解：A、微波炉利用微波加热食物，而不是通过加热器皿将热传递给食物，故A错误； BC、由于微波遇到金属物体，会像光遇到镜子一样地发生反射；而对于玻璃、塑料和瓷器，微波几乎是穿越而不被吸收，所以为了避免微波会对人体造成伤害，在炉门内侧装有金属屏蔽网，故BC正确； D、微波的传播速度等于光速，其速度为3×108m/s；故D正确。 故选：A。</x:v>
      </x:c>
      <x:c r="N908" s="63" t="str">
        <x:v>https://k12static.xdf.cn/k12/image/externalized/306c2078-b265-411c-b847-1ca1a7566ceb.png</x:v>
      </x:c>
      <x:c r="O908" s="63" t="str">
        <x:v>https://k12static.xdf.cn/k12/image/externalized/ed02aa01-edd9-424e-bac2-a06356a6b301.png</x:v>
      </x:c>
      <x:c r="P908" s="63" t="str">
        <x:v>1-2步</x:v>
      </x:c>
      <x:c r="Q908" s="63" t="str">
        <x:v>概念判断</x:v>
      </x:c>
      <x:c r="R908" s="63" t="str">
        <x:v>单状态</x:v>
      </x:c>
      <x:c r="S908" s="63" t="str">
        <x:v>无约束</x:v>
      </x:c>
      <x:c r="T908" s="63" t="str">
        <x:v>无</x:v>
      </x:c>
      <x:c r="U908" s="63" t="str">
        <x:v>无</x:v>
      </x:c>
      <x:c r="V908" s="63" t="str">
        <x:v>简单因果推理</x:v>
      </x:c>
    </x:row>
    <x:row r="909">
      <x:c r="A909" s="64" t="str">
        <x:v>​2994563766312087552</x:v>
      </x:c>
      <x:c r="B909" s="65" t="str">
        <x:v>中等题</x:v>
      </x:c>
      <x:c r="C909" s="65" t="str">
        <x:v>中等题</x:v>
      </x:c>
      <x:c r="D909" s="65" t="str">
        <x:v>中等题</x:v>
      </x:c>
      <x:c r="E909" s="65" t="str">
        <x:v>逐题复核后保留GPT裁定</x:v>
      </x:c>
      <x:c r="F909" s="65" t="str">
        <x:v>高</x:v>
      </x:c>
      <x:c r="G909" s="65" t="str">
        <x:v>中等题</x:v>
      </x:c>
      <x:c r="H909" s="65" t="str">
        <x:v>中等题</x:v>
      </x:c>
      <x:c r="I909" s="65" t="str">
        <x:v>存在约3—4步常规连续分析、共享过程或完整标准实验任务，关系仍显性。 题目证据：最高难任务实际有效推理约3步，五维锚定过程/对象为单对象但需要辨析两种隐含情境（水满/水不满），思维层次为常规逻辑辨析，知识量和数学工具均为低难度。核心任务是辨析题目给出的“排出水的重力”和阿基米德原理中“排开水的重力”的区别，需要考虑烧杯初始是否装满水两种情况，判断浮力的可能范围，不存在决定性转换或全链耦合。</x:v>
      </x:c>
      <x:c r="J909" s="65" t="str">
        <x:v>三次运行错题并集逐题复核</x:v>
      </x:c>
      <x:c r="K909" s="63" t="str">
        <x:v>把重0.5N的物体放入盛有水的烧杯中，排出的水所受的重力为0.3N，则物体受到的浮力（ ）</x:v>
      </x:c>
      <x:c r="L909" s="63" t="str">
        <x:v>A. 可能为0.4N B. 可能为0.2N C. 一定为0.5N D. 一定为0.3N</x:v>
      </x:c>
      <x:c r="M909" s="63" t="str">
        <x:v>由阿基米德原理可知，浸在液体中的物体受到的浮力等于排开液体的重力，由于排出的水的重力为0.3N，如果原来烧杯中的水是满的，则物体的浮力是0.3N；如果原来烧杯中的水是不满的，则物体排出的水要比0.3N大，故物体受到的浮力可能大于0.3N，不可能小于0.3N，故A符合题意，BCD不符合题意。故选A。</x:v>
      </x:c>
      <x:c r="N909" s="63" t="str">
        <x:v>https://k12static.xdf.cn/k12/image/externalized/e47ffbe6-d7eb-4019-986e-f47cb6d85b69.png</x:v>
      </x:c>
      <x:c r="O909" s="63" t="str">
        <x:v>https://k12static.xdf.cn/k12/image/externalized/bae33f8d-4f86-4763-8a58-80f0ca125108.png</x:v>
      </x:c>
      <x:c r="P909" s="63" t="str">
        <x:v>1-2步</x:v>
      </x:c>
      <x:c r="Q909" s="63" t="str">
        <x:v>概念判断</x:v>
      </x:c>
      <x:c r="R909" s="63" t="str">
        <x:v>单状态</x:v>
      </x:c>
      <x:c r="S909" s="63" t="str">
        <x:v>单一约束</x:v>
      </x:c>
      <x:c r="T909" s="63" t="str">
        <x:v>无</x:v>
      </x:c>
      <x:c r="U909" s="63" t="str">
        <x:v>无</x:v>
      </x:c>
      <x:c r="V909" s="63" t="str">
        <x:v>多层因果推理</x:v>
      </x:c>
    </x:row>
    <x:row r="910">
      <x:c r="A910" s="64" t="str">
        <x:v>​2996423523102642176</x:v>
      </x:c>
      <x:c r="B910" s="65" t="str">
        <x:v>中等题</x:v>
      </x:c>
      <x:c r="C910" s="65" t="str">
        <x:v>中等题</x:v>
      </x:c>
      <x:c r="D910" s="65" t="str">
        <x:v>中等题</x:v>
      </x:c>
      <x:c r="E910" s="65" t="str">
        <x:v>保留原GPT裁定</x:v>
      </x:c>
      <x:c r="F910" s="65" t="str">
        <x:v>高</x:v>
      </x:c>
      <x:c r="G910" s="65" t="str">
        <x:v>中等题</x:v>
      </x:c>
      <x:c r="H910" s="65" t="str">
        <x:v>中等题</x:v>
      </x:c>
      <x:c r="I910" s="65" t="str">
        <x:v>题干、解析与结构证据支持中等题：step=3-5步，题型=概念判断，状态=单状态，约束=单一约束，推理=多层因果推理。教师、盲评和多次模型证据中未形成足以推翻原裁定的同向结构证据。</x:v>
      </x:c>
      <x:c r="J910" s="65" t="str">
        <x:v>未进入三次错题并集；逐题结构一致性复核</x:v>
      </x:c>
      <x:c r="K910" s="63" t="str">
        <x:v>如图所示，玩具车上用细绳系着一只氢气球，静置于光滑水平地面上，当有风沿水平方向向右吹来，气球和玩具车在风力作用下向前运动，此过程中玩具车 （选填“可能”或“不可能”）被风吹离地面：一段时间后玩具车匀速前进，此时细绳 （选填“向左倾斜”、“向右倾斜”或“保持竖直”）；如果气球和小车沿竖直方向向上做匀速直线运动，突然绳子断开的瞬间，小车将向 （选填“向上运动”、“向下运动”或“静止”）。</x:v>
      </x:c>
      <x:c r="L910" s="63" t="str"/>
      <x:c r="M910" s="63" t="str">
        <x:v>解： （1）当有匀速的风沿水平方向向右吹来，气球和玩具车在风力作用下向前运动；由于风水平向右吹，玩具车在竖直方向上不受风的作用力，故玩具车在向右运动的过程中不可能被风吹离地面； （2）因水平地面光滑，所以玩具车在运动时不受摩擦力的作用；一段时间后玩具车在水平方向上匀速前进，若此时细绳是倾斜的，则细绳对玩具车有斜向上的拉力（受力不平衡），玩具车不可能做匀速运动，所以此时细绳应保持竖直； （3）如果气球和小车沿竖直方向向上做匀速直线运动，突然绳子断开的瞬间，小车因为具有惯性将向上运动。 故答案为：不可能；保持竖直；向上运动。</x:v>
      </x:c>
      <x:c r="N910" s="63" t="str">
        <x:v>https://k12static.xdf.cn/k12/image/externalized/53c56255-9651-4a9f-9f93-61ce2e2d17cf.png</x:v>
      </x:c>
      <x:c r="O910" s="63" t="str">
        <x:v>https://k12static.xdf.cn/k12/image/externalized/58b84490-25b0-43b2-a1ab-c1326732b13d.png</x:v>
      </x:c>
      <x:c r="P910" s="63" t="str">
        <x:v>3-5步</x:v>
      </x:c>
      <x:c r="Q910" s="63" t="str">
        <x:v>概念判断</x:v>
      </x:c>
      <x:c r="R910" s="63" t="str">
        <x:v>单状态</x:v>
      </x:c>
      <x:c r="S910" s="63" t="str">
        <x:v>单一约束</x:v>
      </x:c>
      <x:c r="T910" s="63" t="str">
        <x:v>无</x:v>
      </x:c>
      <x:c r="U910" s="63" t="str">
        <x:v>无</x:v>
      </x:c>
      <x:c r="V910" s="63" t="str">
        <x:v>多层因果推理</x:v>
      </x:c>
    </x:row>
    <x:row r="911">
      <x:c r="A911" s="64" t="str">
        <x:v>​3000833732359815168</x:v>
      </x:c>
      <x:c r="B911" s="65" t="str">
        <x:v>基础题</x:v>
      </x:c>
      <x:c r="C911" s="65" t="str">
        <x:v>基础题</x:v>
      </x:c>
      <x:c r="D911" s="65" t="str">
        <x:v>基础题</x:v>
      </x:c>
      <x:c r="E911" s="65" t="str">
        <x:v>逐题复核后保留GPT裁定</x:v>
      </x:c>
      <x:c r="F911" s="65" t="str">
        <x:v>高</x:v>
      </x:c>
      <x:c r="G911" s="65" t="str">
        <x:v>基础题</x:v>
      </x:c>
      <x:c r="H911" s="65" t="str">
        <x:v>基础题</x:v>
      </x:c>
      <x:c r="I911" s="65" t="str">
        <x:v>最高难任务为1—2步显性应用、规范操作或简单因果，没有连续模型转换。 题目证据：最高难选项实际有效推理约1步，五维锚定符合基础题标准：知识量为同模块2-3个关联基础知识点，过程对象为单研究对象，无计算，情境为教材经典实验原型，思维层次为简单应用。四个选项分别调用不同教材结论，没有共享题目特有中间结论或连续复杂推理。</x:v>
      </x:c>
      <x:c r="J911" s="65" t="str">
        <x:v>三次运行错题并集逐题复核</x:v>
      </x:c>
      <x:c r="K911" s="63" t="str">
        <x:v>图（甲）是卢瑟福用α粒子轰击原子而产生散射的实验，在分析实验结果的基础上，他提出了图（乙）所示的原子核式结构。下列说法正确的是（ ）</x:v>
      </x:c>
      <x:c r="L911" s="63" t="str">
        <x:v>A. 卢瑟福在研究过程中采用了控制变量法 B. α粒子可能是某种原子的原子核 C. 图（乙）所示原子核式结构是一种模型 D. 通过该实验可知原子内部大部分是空的</x:v>
      </x:c>
      <x:c r="M911" s="63" t="str">
        <x:v>解：AC、卢瑟福提出了图乙所示的原子核式结构，采用的是模型法，图乙是原子的模型，故A错误，C正确； B、由未与原子核撞击的α粒子的轨迹看，它们与原子核相互排斥，带正电，可能是某种原子的原子核，故B正确； D、α粒子的散射现象的实验结果表明，绝大多数α粒子穿过金箔后仍沿原来的方向前进，说明原子核外有一个非常大的空间，故D正确。 故选：BCD。</x:v>
      </x:c>
      <x:c r="N911" s="63" t="str">
        <x:v>https://k12static.xdf.cn/k12/image/externalized/2a018488-43ec-4588-8ef3-86ee7b9af3fa.png</x:v>
      </x:c>
      <x:c r="O911" s="63" t="str">
        <x:v>https://k12static.xdf.cn/k12/image/externalized/515a99f1-3848-4830-9335-28105aa58408.png</x:v>
      </x:c>
      <x:c r="P911" s="63" t="str">
        <x:v>1-2步</x:v>
      </x:c>
      <x:c r="Q911" s="63" t="str">
        <x:v>概念判断</x:v>
      </x:c>
      <x:c r="R911" s="63" t="str">
        <x:v>单状态</x:v>
      </x:c>
      <x:c r="S911" s="63" t="str">
        <x:v>无约束</x:v>
      </x:c>
      <x:c r="T911" s="63" t="str">
        <x:v>无</x:v>
      </x:c>
      <x:c r="U911" s="63" t="str">
        <x:v>无</x:v>
      </x:c>
      <x:c r="V911" s="63" t="str">
        <x:v>简单因果推理</x:v>
      </x:c>
    </x:row>
    <x:row r="912">
      <x:c r="A912" s="64" t="str">
        <x:v>​3002268275727421440</x:v>
      </x:c>
      <x:c r="B912" s="65" t="str">
        <x:v>中等题</x:v>
      </x:c>
      <x:c r="C912" s="65" t="str">
        <x:v>中等题</x:v>
      </x:c>
      <x:c r="D912" s="65" t="str">
        <x:v>中等题</x:v>
      </x:c>
      <x:c r="E912" s="65" t="str">
        <x:v>逐题复核后保留GPT裁定</x:v>
      </x:c>
      <x:c r="F912" s="65" t="str">
        <x:v>高</x:v>
      </x:c>
      <x:c r="G912" s="65" t="str">
        <x:v>中等题</x:v>
      </x:c>
      <x:c r="H912" s="65" t="str">
        <x:v>中等题</x:v>
      </x:c>
      <x:c r="I912" s="65" t="str">
        <x:v>存在约3—4步常规连续分析、共享过程或完整标准实验任务，关系仍显性。 题目证据：保留原标。最长有效链为1-2步、题型为概念判断、图表要求达到“多组比较归纳”、推理为多层因果推理，与中等题边界一致。 复核证据：教师标签与独立盲评一致；三次模型运行使用相近提示词，仅作为辅助证据，不足以推翻两者一致结论。。</x:v>
      </x:c>
      <x:c r="J912" s="65" t="str">
        <x:v>三次运行错题并集逐题复核</x:v>
      </x:c>
      <x:c r="K912" s="63" t="str">
        <x:v>如图所示声波的波形图，下列说法正确的是（ ）</x:v>
      </x:c>
      <x:c r="L912" s="63" t="str">
        <x:v>A. 甲、乙和丁的音调相同 B. 响度相同的有图甲、乙、丙 C. 图甲、图乙的音色不同 D. 甲的音调比丙的音调低</x:v>
      </x:c>
      <x:c r="M912" s="63" t="str">
        <x:v>解： A、由图知，相同时间内甲、乙、丁振动的次数相同（都有2个波峰和2个波谷），即它们振动的频率相同，所以音调相同的是甲、乙、丁，故A正确； B、由图知，甲、乙、丙的振幅相同，所以甲、乙、丙的响度相同，故B正确； C、由图知，甲和乙相比，波形不同，音色不同，故C正确； D、由图知，甲和丙相比，甲在相同时间内振动的次数多，则甲的频率大，甲的音调比丙的音调高，故D错误。 故选：ABC。</x:v>
      </x:c>
      <x:c r="N912" s="63" t="str">
        <x:v>https://k12static.xdf.cn/k12/image/externalized/baa3eee9-2da8-48d2-a068-8efae96154d2.png</x:v>
      </x:c>
      <x:c r="O912" s="63" t="str">
        <x:v>https://k12static.xdf.cn/k12/image/externalized/075d4fcb-5057-4002-86e9-eb548312cad9.png</x:v>
      </x:c>
      <x:c r="P912" s="63" t="str">
        <x:v>1-2步</x:v>
      </x:c>
      <x:c r="Q912" s="63" t="str">
        <x:v>概念判断</x:v>
      </x:c>
      <x:c r="R912" s="63" t="str">
        <x:v>单状态</x:v>
      </x:c>
      <x:c r="S912" s="63" t="str">
        <x:v>无约束</x:v>
      </x:c>
      <x:c r="T912" s="63" t="str">
        <x:v>无</x:v>
      </x:c>
      <x:c r="U912" s="63" t="str">
        <x:v>多组比较归纳</x:v>
      </x:c>
      <x:c r="V912" s="63" t="str">
        <x:v>多层因果推理</x:v>
      </x:c>
    </x:row>
    <x:row r="913">
      <x:c r="A913" s="64" t="str">
        <x:v>​3003434880719716352</x:v>
      </x:c>
      <x:c r="B913" s="65" t="str">
        <x:v>中等题</x:v>
      </x:c>
      <x:c r="C913" s="65" t="str">
        <x:v>中等题</x:v>
      </x:c>
      <x:c r="D913" s="65" t="str">
        <x:v>中等题</x:v>
      </x:c>
      <x:c r="E913" s="65" t="str">
        <x:v>保留原GPT裁定</x:v>
      </x:c>
      <x:c r="F913" s="65" t="str">
        <x:v>高</x:v>
      </x:c>
      <x:c r="G913" s="65" t="str">
        <x:v>中等题</x:v>
      </x:c>
      <x:c r="H913" s="65" t="str">
        <x:v>中等题</x:v>
      </x:c>
      <x:c r="I913" s="65" t="str">
        <x:v>题干、解析与结构证据支持中等题：step=3-5步，题型=概念判断，状态=双状态，约束=无约束，推理=多层因果推理。教师、盲评和多次模型证据中未形成足以推翻原裁定的同向结构证据。</x:v>
      </x:c>
      <x:c r="J913" s="65" t="str">
        <x:v>未进入三次错题并集；逐题结构一致性复核</x:v>
      </x:c>
      <x:c r="K913" s="63" t="str">
        <x:v>如图所示，在同一水平桌面上的两个相同容器，分别盛有甲、乙两种液体，将同一个梨分别放入两容器中处于静止状态。下列说法正确的是（ ）</x:v>
      </x:c>
      <x:c r="L913" s="63" t="str">
        <x:v>A. 甲液体的密度比乙液体的密度大 B. 梨两次排开液体的质量一样大 C. 梨在乙液体中受到的浮力大 D. 将乙图中漏出液面部分的梨削掉，梨将下沉</x:v>
      </x:c>
      <x:c r="M913" s="63" t="str">
        <x:v>解：A、根据图示可知，梨在甲中悬浮，根据物体浮沉条件可知，梨的密度等于甲液体的密度；梨在乙中漂浮，根据物体浮沉条件可知，梨的密度小于乙液体的密度，所以乙的密度较大，故A错误； BC、甲悬浮，所受浮力等于排开液体的重力，也等于梨的重力；乙漂浮，所受浮力等于排开液体的重力，也等于梨的重力，可知梨两次所受浮力一样大，梨两次排开液体的重力一样大，则梨两次排开液体的质量一样大，故B正确，C错误； D、将乙图中漏出液面部分的梨削掉，梨的质量减小，但密度不变，梨的密度依然小于乙液体的密度，处于漂浮状态，但由于梨的质量减小，其重力也将减小，所受浮力也将减小，排开液体的体积将减小，梨将上浮，故D错误。 故选：B。</x:v>
      </x:c>
      <x:c r="N913" s="63" t="str">
        <x:v>https://k12static.xdf.cn/k12/image/externalized/39803440-0e14-4ad6-a53f-15451c3383ca.png</x:v>
      </x:c>
      <x:c r="O913" s="63" t="str">
        <x:v>https://k12static.xdf.cn/k12/image/externalized/cd838aac-2966-404e-846f-8518e72dfacb.png</x:v>
      </x:c>
      <x:c r="P913" s="63" t="str">
        <x:v>3-5步</x:v>
      </x:c>
      <x:c r="Q913" s="63" t="str">
        <x:v>概念判断</x:v>
      </x:c>
      <x:c r="R913" s="63" t="str">
        <x:v>双状态</x:v>
      </x:c>
      <x:c r="S913" s="63" t="str">
        <x:v>无约束</x:v>
      </x:c>
      <x:c r="T913" s="63" t="str">
        <x:v>无</x:v>
      </x:c>
      <x:c r="U913" s="63" t="str">
        <x:v>无</x:v>
      </x:c>
      <x:c r="V913" s="63" t="str">
        <x:v>多层因果推理</x:v>
      </x:c>
    </x:row>
    <x:row r="914">
      <x:c r="A914" s="64" t="str">
        <x:v>​3012478728293695488</x:v>
      </x:c>
      <x:c r="B914" s="65" t="str">
        <x:v>中等题</x:v>
      </x:c>
      <x:c r="C914" s="65" t="str">
        <x:v>中等题</x:v>
      </x:c>
      <x:c r="D914" s="65" t="str">
        <x:v>中等题</x:v>
      </x:c>
      <x:c r="E914" s="65" t="str">
        <x:v>逐题复核后保留GPT裁定</x:v>
      </x:c>
      <x:c r="F914" s="65" t="str">
        <x:v>高</x:v>
      </x:c>
      <x:c r="G914" s="65" t="str">
        <x:v>中等题</x:v>
      </x:c>
      <x:c r="H914" s="65" t="str">
        <x:v>中等题</x:v>
      </x:c>
      <x:c r="I914" s="65" t="str">
        <x:v>存在约3—4步常规连续分析、共享过程或完整标准实验任务，关系仍显性。 题目证据：最高难选项实际有效推理约3步，五维锚定知识量2-3个关联知识点，过程为气体热胀冷缩和液面变化的简单因果分析，情境为教材常见原型装置，思维层次属于常规分析。整题围绕伽利略温度计原理，需要结合气体热胀冷缩规律，建立温度变化—气体体积变化—液柱高度变化的对应关系，并分析精确度影响因素，属于常规分析。</x:v>
      </x:c>
      <x:c r="J914" s="65" t="str">
        <x:v>三次运行错题并集逐题复核</x:v>
      </x:c>
      <x:c r="K914" s="63" t="str">
        <x:v>如图所示，这是意大利物理学家伽利略制造的世界上第一支温度计，它是由长颈玻璃瓶倒插在液体槽里构成的，外界温度改变时，可由玻璃管中的液面高低来标记温度，那么下列说法中正确的是（ ）</x:v>
      </x:c>
      <x:c r="L914" s="63" t="str">
        <x:v>A. B点的刻度值应该小于A点的刻度值 B. 液柱下降，表明液体缩小，此时气温下降 C. 液柱上升，表明气体缩小，此时气温上升 D. 增大烧瓶体积，可以提高伽利略温度计的测量精确度</x:v>
      </x:c>
      <x:c r="M914" s="63" t="str">
        <x:v>解：A.B点的刻度值应该大于A点的刻度值，故A错误； B.液柱下降，表明瓶内气体体积增大，此时气温上升，故B错误； C.液柱上升，表明瓶内气体体积缩小，此时气温下降，故C错误； D.增大烧瓶体积，增加了瓶内气体的体积，在温度变化相同时，气体体积越大，体积变化越大，在玻璃管中的液面高低变化越大，可以提高伽利略温度计的测量精确度，故D正确； 故选：D。</x:v>
      </x:c>
      <x:c r="N914" s="63" t="str">
        <x:v>https://k12static.xdf.cn/k12/image/externalized/79a2b7fe-a055-43d8-88a7-be6c0427f6d0.png</x:v>
      </x:c>
      <x:c r="O914" s="63" t="str">
        <x:v>https://k12static.xdf.cn/k12/image/externalized/5bb27d47-e037-4389-8c10-5f7db2a427dc.png</x:v>
      </x:c>
      <x:c r="P914" s="63" t="str">
        <x:v>1-2步</x:v>
      </x:c>
      <x:c r="Q914" s="63" t="str">
        <x:v>概念判断</x:v>
      </x:c>
      <x:c r="R914" s="63" t="str">
        <x:v>双状态</x:v>
      </x:c>
      <x:c r="S914" s="63" t="str">
        <x:v>无约束</x:v>
      </x:c>
      <x:c r="T914" s="63" t="str">
        <x:v>无</x:v>
      </x:c>
      <x:c r="U914" s="63" t="str">
        <x:v>无</x:v>
      </x:c>
      <x:c r="V914" s="63" t="str">
        <x:v>多层因果推理</x:v>
      </x:c>
    </x:row>
    <x:row r="915">
      <x:c r="A915" s="64" t="str">
        <x:v>​3013821644993507328</x:v>
      </x:c>
      <x:c r="B915" s="65" t="str">
        <x:v>中等题</x:v>
      </x:c>
      <x:c r="C915" s="65" t="str">
        <x:v>中等题</x:v>
      </x:c>
      <x:c r="D915" s="65" t="str">
        <x:v>中等题</x:v>
      </x:c>
      <x:c r="E915" s="65" t="str">
        <x:v>保留原GPT裁定</x:v>
      </x:c>
      <x:c r="F915" s="65" t="str">
        <x:v>高</x:v>
      </x:c>
      <x:c r="G915" s="65" t="str">
        <x:v>中等题</x:v>
      </x:c>
      <x:c r="H915" s="65" t="str">
        <x:v>中等题</x:v>
      </x:c>
      <x:c r="I915" s="65" t="str">
        <x:v>题干、解析与结构证据支持中等题：step=3-5步，题型=概念判断，状态=多状态，约束=单一约束，推理=多层因果推理。教师、盲评和多次模型证据中未形成足以推翻原裁定的同向结构证据。</x:v>
      </x:c>
      <x:c r="J915" s="65" t="str">
        <x:v>未进入三次错题并集；逐题结构一致性复核</x:v>
      </x:c>
      <x:c r="K915" s="63" t="str">
        <x:v>如图所示，重10N的木块被压力F压在竖直墙壁上，木块正在加速下滑（墙壁足够高）；此时压力F逐渐增大，木块开始匀速运动；继续增大压力F，最后木块静止在墙壁上。下列说法中正确的是（ ）</x:v>
      </x:c>
      <x:c r="L915" s="63" t="str">
        <x:v>A. 压力F与墙壁对木块的支持力始终相等，因为它们是相互作用力 B. 从木块加速下滑到停止前的过程中，木块受到的摩擦力大小不变 C. 木块匀速运动时受到摩擦力的大小等于它静止时受到摩擦力的大小 D. 整个过程中木块受到的重力大小始终等于摩擦力的大小</x:v>
      </x:c>
      <x:c r="M915" s="63" t="str">
        <x:v>解：A．手对木块的压力F和墙对木块的支持力是一对平衡力，不是相互作用力故A错误； BD．从木块加速下滑过程中，滑动摩擦力小于重力， 木块匀速运动时，滑动摩擦力等于重力， 停止前的减速运动过程中，滑动摩擦力大于重力，故BD错误； C．木块匀速运动和静止时，都处于平衡状态，受到的摩擦力和木块的重力是一对平衡力，故C正确。 故选：C。</x:v>
      </x:c>
      <x:c r="N915" s="63" t="str">
        <x:v>https://k12static.xdf.cn/k12/image/externalized/a06412b8-2e2b-4530-8887-485cc90dc720.png</x:v>
      </x:c>
      <x:c r="O915" s="63" t="str">
        <x:v>https://k12static.xdf.cn/k12/image/externalized/ec480169-3bf3-47ab-80dc-37a1609d96a2.png</x:v>
      </x:c>
      <x:c r="P915" s="63" t="str">
        <x:v>3-5步</x:v>
      </x:c>
      <x:c r="Q915" s="63" t="str">
        <x:v>概念判断</x:v>
      </x:c>
      <x:c r="R915" s="63" t="str">
        <x:v>多状态</x:v>
      </x:c>
      <x:c r="S915" s="63" t="str">
        <x:v>单一约束</x:v>
      </x:c>
      <x:c r="T915" s="63" t="str">
        <x:v>无</x:v>
      </x:c>
      <x:c r="U915" s="63" t="str">
        <x:v>无</x:v>
      </x:c>
      <x:c r="V915" s="63" t="str">
        <x:v>多层因果推理</x:v>
      </x:c>
    </x:row>
    <x:row r="916">
      <x:c r="A916" s="64" t="str">
        <x:v>​3022275220176130048</x:v>
      </x:c>
      <x:c r="B916" s="65" t="str">
        <x:v>基础题</x:v>
      </x:c>
      <x:c r="C916" s="65" t="str">
        <x:v>基础题</x:v>
      </x:c>
      <x:c r="D916" s="65" t="str">
        <x:v>基础题</x:v>
      </x:c>
      <x:c r="E916" s="65" t="str">
        <x:v>保留原GPT裁定</x:v>
      </x:c>
      <x:c r="F916" s="65" t="str">
        <x:v>高</x:v>
      </x:c>
      <x:c r="G916" s="65" t="str">
        <x:v>基础题</x:v>
      </x:c>
      <x:c r="H916" s="65" t="str">
        <x:v>基础题</x:v>
      </x:c>
      <x:c r="I916" s="65" t="str">
        <x:v>题干、解析与结构证据支持基础题：step=1-2步，题型=概念判断，状态=单状态，约束=无约束，推理=简单因果推理。教师、盲评和多次模型证据中未形成足以推翻原裁定的同向结构证据。</x:v>
      </x:c>
      <x:c r="J916" s="65" t="str">
        <x:v>未进入三次错题并集；逐题结构一致性复核</x:v>
      </x:c>
      <x:c r="K916" s="63" t="str">
        <x:v>下列关于物理概念的说法中，正确的是（ ）</x:v>
      </x:c>
      <x:c r="L916" s="63" t="str">
        <x:v>A. 物体受非平衡力时会处于变速直线运动或曲线运动状态 B. 做功改变物体内能的实质是能量的转移过程 C. 音调的高低与发声体的振动频率有关 D. 单位质量的某种物质，温度每升高 1℃所吸收的热量，叫做这种物质的比热容</x:v>
      </x:c>
      <x:c r="M916" s="63" t="str">
        <x:v>解： A、物体受平衡力的作用运动状态不改变，保持静止或匀速直线运动状态；物体受非平衡力作用运动状态改变，运动方向和速度都有可能改变；故A正确； B、用做功的方法来改变物体的内能，实质上是能量转化的过程，故B错误； C、物体的振动频率越高，我们听到声音的音调越高，即音调的高低与发声体的振动频率有关，故C正确； D、由比热容的定义可知，单位质量的某种物质，温度升高1℃所吸收的热量，在数值上等于这种物质的比热容，但热量不是比热容，故D错误。 故选：AC。</x:v>
      </x:c>
      <x:c r="N916" s="63" t="str">
        <x:v>https://k12static.xdf.cn/k12/image/externalized/29b63d69-94ed-4ddb-beea-dc12ac5c744a.png</x:v>
      </x:c>
      <x:c r="O916" s="63" t="str">
        <x:v>https://k12static.xdf.cn/k12/image/externalized/41ab0560-9d8a-4e7c-b5f7-e480ae7963d7.png</x:v>
      </x:c>
      <x:c r="P916" s="63" t="str">
        <x:v>1-2步</x:v>
      </x:c>
      <x:c r="Q916" s="63" t="str">
        <x:v>概念判断</x:v>
      </x:c>
      <x:c r="R916" s="63" t="str">
        <x:v>单状态</x:v>
      </x:c>
      <x:c r="S916" s="63" t="str">
        <x:v>无约束</x:v>
      </x:c>
      <x:c r="T916" s="63" t="str">
        <x:v>无</x:v>
      </x:c>
      <x:c r="U916" s="63" t="str">
        <x:v>无</x:v>
      </x:c>
      <x:c r="V916" s="63" t="str">
        <x:v>简单因果推理</x:v>
      </x:c>
    </x:row>
    <x:row r="917">
      <x:c r="A917" s="64" t="str">
        <x:v>​3023664662870523904</x:v>
      </x:c>
      <x:c r="B917" s="65" t="str">
        <x:v>基础题</x:v>
      </x:c>
      <x:c r="C917" s="65" t="str">
        <x:v>基础题</x:v>
      </x:c>
      <x:c r="D917" s="65" t="str">
        <x:v>基础题</x:v>
      </x:c>
      <x:c r="E917" s="65" t="str">
        <x:v>保留原GPT裁定</x:v>
      </x:c>
      <x:c r="F917" s="65" t="str">
        <x:v>高</x:v>
      </x:c>
      <x:c r="G917" s="65" t="str">
        <x:v>基础题</x:v>
      </x:c>
      <x:c r="H917" s="65" t="str">
        <x:v>基础题</x:v>
      </x:c>
      <x:c r="I917" s="65" t="str">
        <x:v>题干、解析与结构证据支持基础题：step=1-2步，题型=力学综合，状态=单状态，约束=无约束，推理=简单因果推理。教师、盲评和多次模型证据中未形成足以推翻原裁定的同向结构证据。</x:v>
      </x:c>
      <x:c r="J917" s="65" t="str">
        <x:v>未进入三次错题并集；逐题结构一致性复核</x:v>
      </x:c>
      <x:c r="K917" s="63" t="str">
        <x:v>如图所示为某酒店的机器人，它能完成送餐传菜、配送物品、回收餐具等一系列工作。某次送餐中，机器人沿平直的路面匀速行驶60m,到达点餐旅客所示在的客房，用时50s,机器人匀速直线运动时受到的阻力恒为12N。求：</x:v>
      </x:c>
      <x:c r="L917" s="63" t="str"/>
      <x:c r="M917" s="63" t="str"/>
      <x:c r="N917" s="63" t="str">
        <x:v>https://k12static.xdf.cn/k12/image/externalized/ef9562e8-431b-4cc4-8694-f6c54c1b3443.png</x:v>
      </x:c>
      <x:c r="O917" s="63" t="str">
        <x:v>https://k12static.xdf.cn/k12/image/externalized/1d677ed7-cf1c-41d2-a19c-8b7679381649.png</x:v>
      </x:c>
      <x:c r="P917" s="63" t="str">
        <x:v>1-2步</x:v>
      </x:c>
      <x:c r="Q917" s="63" t="str">
        <x:v>力学综合</x:v>
      </x:c>
      <x:c r="R917" s="63" t="str">
        <x:v>单状态</x:v>
      </x:c>
      <x:c r="S917" s="63" t="str">
        <x:v>无约束</x:v>
      </x:c>
      <x:c r="T917" s="63" t="str">
        <x:v>无</x:v>
      </x:c>
      <x:c r="U917" s="63" t="str">
        <x:v>无</x:v>
      </x:c>
      <x:c r="V917" s="63" t="str">
        <x:v>简单因果推理</x:v>
      </x:c>
    </x:row>
    <x:row r="918">
      <x:c r="A918" s="64" t="str">
        <x:v>​3024257899878719488</x:v>
      </x:c>
      <x:c r="B918" s="65" t="str">
        <x:v>基础题</x:v>
      </x:c>
      <x:c r="C918" s="65" t="str">
        <x:v>基础题</x:v>
      </x:c>
      <x:c r="D918" s="65" t="str">
        <x:v>基础题</x:v>
      </x:c>
      <x:c r="E918" s="65" t="str">
        <x:v>保留原GPT裁定</x:v>
      </x:c>
      <x:c r="F918" s="65" t="str">
        <x:v>高</x:v>
      </x:c>
      <x:c r="G918" s="65" t="str">
        <x:v>基础题</x:v>
      </x:c>
      <x:c r="H918" s="65" t="str">
        <x:v>基础题</x:v>
      </x:c>
      <x:c r="I918" s="65" t="str">
        <x:v>题干、解析与结构证据支持基础题：step=1-2步，题型=概念判断，状态=单状态，约束=无约束，推理=简单因果推理。教师、盲评和多次模型证据中未形成足以推翻原裁定的同向结构证据。</x:v>
      </x:c>
      <x:c r="J918" s="65" t="str">
        <x:v>未进入三次错题并集；逐题结构一致性复核</x:v>
      </x:c>
      <x:c r="K918" s="63" t="str">
        <x:v>某款太阳能背包，前面有一个太阳能电池板，里面有一个蓄电池，可以给手机、小风扇或数码相机等电子产品供电。下列关于该太阳能背包的说法中正确的是（ ）</x:v>
      </x:c>
      <x:c r="L918" s="63" t="str">
        <x:v>A. 太阳能电池板可将太阳能转化为电能 B. 蓄电池放电时，将电能转化为化学能 C. 给手机充电时，将电能转化为化学能 D. 小风扇工作时，将电能转化为机械能</x:v>
      </x:c>
      <x:c r="M918" s="63" t="str">
        <x:v>A．太阳能电池板工作时，消耗太阳能，产生电能，将太阳能转化为电能，故A正确；B．蓄电池放电时，消耗化学能，产生电能，将化学能转化为电能，故B错误；C．手机充电时，消耗电能，产生化学能，将电能转化为化学能，故C正确；D．小风扇工作时，消耗了电能，产生机械能，将电能转化为机械能，故D正确。故选ACD。</x:v>
      </x:c>
      <x:c r="N918" s="63" t="str">
        <x:v>https://k12static.xdf.cn/k12/image/externalized/467281a4-dcb8-4dac-8974-4e1e42591a22.png</x:v>
      </x:c>
      <x:c r="O918" s="63" t="str">
        <x:v>https://k12static.xdf.cn/k12/image/externalized/81ef0f37-89fb-445a-9c24-cccd0e5d5855.png</x:v>
      </x:c>
      <x:c r="P918" s="63" t="str">
        <x:v>1-2步</x:v>
      </x:c>
      <x:c r="Q918" s="63" t="str">
        <x:v>概念判断</x:v>
      </x:c>
      <x:c r="R918" s="63" t="str">
        <x:v>单状态</x:v>
      </x:c>
      <x:c r="S918" s="63" t="str">
        <x:v>无约束</x:v>
      </x:c>
      <x:c r="T918" s="63" t="str">
        <x:v>无</x:v>
      </x:c>
      <x:c r="U918" s="63" t="str">
        <x:v>无</x:v>
      </x:c>
      <x:c r="V918" s="63" t="str">
        <x:v>简单因果推理</x:v>
      </x:c>
    </x:row>
    <x:row r="919">
      <x:c r="A919" s="64" t="str">
        <x:v>​3025435386347278337</x:v>
      </x:c>
      <x:c r="B919" s="65" t="str">
        <x:v>中等题</x:v>
      </x:c>
      <x:c r="C919" s="65" t="str">
        <x:v>中等题</x:v>
      </x:c>
      <x:c r="D919" s="65" t="str">
        <x:v>中等题</x:v>
      </x:c>
      <x:c r="E919" s="65" t="str">
        <x:v>逐题复核后保留GPT裁定</x:v>
      </x:c>
      <x:c r="F919" s="65" t="str">
        <x:v>高</x:v>
      </x:c>
      <x:c r="G919" s="65" t="str">
        <x:v>中等题</x:v>
      </x:c>
      <x:c r="H919" s="65" t="str">
        <x:v>中等题</x:v>
      </x:c>
      <x:c r="I919" s="65" t="str">
        <x:v>存在约3—4步常规连续分析、共享过程或完整标准实验任务，关系仍显性。 题目证据：最高难选项实际有效推理约2步，五维锚定结果为过程/对象是冬天、夏天两种不同场景需要分别分析，思维层次属于应用和常规分析，知识量和数学工具为基础支撑，情境为熟悉生活场景。任务需要分别对两种不同季节、不同操作的液化条件进行辨析，每个选项都要求判断温度差异和液化位置的对应关系。</x:v>
      </x:c>
      <x:c r="J919" s="65" t="str">
        <x:v>三次运行错题并集逐题复核</x:v>
      </x:c>
      <x:c r="K919" s="63" t="str">
        <x:v>在冬天和夏天，许多时候小轿车的挡风玻璃会出现一层“水雾”。如图，若不及时处理将严重影响行车安全。对于这一现象，以下说法正确的是（ ）</x:v>
      </x:c>
      <x:c r="L919" s="63" t="str">
        <x:v>A. 冬天的“水雾”出现在挡风玻璃的内表面 B. 不论冬天或夏天“水雾”都是水蒸气遇冷液化形成 C. 夏天开冷风空调，目的是将挡风玻璃温度降低，以消除并防止“水雾”再次产生 D. 冬天开热风空调，目的是将挡风玻璃温度提高，以消除并防止“水雾”再次产生</x:v>
      </x:c>
      <x:c r="M919" s="63" t="str">
        <x:v>A．冬天天气很冷，汽车里面放暖气，热的水蒸气遇到冷的玻璃，水蒸气放热液化在挡风玻璃的内表面出现水雾，故A正确；B．根据物质的物态变化特点可知，不论冬天或夏天“水雾”都是温度高的水蒸气遇冷液化形成，故B正确；C．夏天开冷风空调，目的是使挡风玻璃温度降低，车外热的水蒸气遇到冷的玻璃液化成小水珠附着在玻璃上，因此不能消除并防止“水雾”的产生，故C错误；D．冬天开热风空调，目的是使挡风玻璃温度提高，达不到液化的条件，因此可以消除并防止“水雾”再次产生，故D正确。故选ABD。</x:v>
      </x:c>
      <x:c r="N919" s="63" t="str">
        <x:v>https://k12static.xdf.cn/k12/image/externalized/60556100-806c-4d3c-8274-b1a36b9f6cec.png</x:v>
      </x:c>
      <x:c r="O919" s="63" t="str">
        <x:v>https://k12static.xdf.cn/k12/image/externalized/e9bb381a-d75f-4330-ac00-56ed253a1f5e.png</x:v>
      </x:c>
      <x:c r="P919" s="63" t="str">
        <x:v>1-2步</x:v>
      </x:c>
      <x:c r="Q919" s="63" t="str">
        <x:v>概念判断</x:v>
      </x:c>
      <x:c r="R919" s="63" t="str">
        <x:v>双状态</x:v>
      </x:c>
      <x:c r="S919" s="63" t="str">
        <x:v>无约束</x:v>
      </x:c>
      <x:c r="T919" s="63" t="str">
        <x:v>无</x:v>
      </x:c>
      <x:c r="U919" s="63" t="str">
        <x:v>无</x:v>
      </x:c>
      <x:c r="V919" s="63" t="str">
        <x:v>多层因果推理</x:v>
      </x:c>
    </x:row>
    <x:row r="920">
      <x:c r="A920" s="64" t="str">
        <x:v>​3026966637751345152</x:v>
      </x:c>
      <x:c r="B920" s="65" t="str">
        <x:v>中等题</x:v>
      </x:c>
      <x:c r="C920" s="65" t="str">
        <x:v>中等题</x:v>
      </x:c>
      <x:c r="D920" s="65" t="str">
        <x:v>中等题</x:v>
      </x:c>
      <x:c r="E920" s="65" t="str">
        <x:v>保留原GPT裁定</x:v>
      </x:c>
      <x:c r="F920" s="65" t="str">
        <x:v>高</x:v>
      </x:c>
      <x:c r="G920" s="65" t="str">
        <x:v>中等题</x:v>
      </x:c>
      <x:c r="H920" s="65" t="str">
        <x:v>中等题</x:v>
      </x:c>
      <x:c r="I920" s="65" t="str">
        <x:v>题干、解析与结构证据支持中等题：step=1-2步，题型=概念判断，状态=单状态，约束=无约束，推理=多层因果推理。教师、盲评和多次模型证据中未形成足以推翻原裁定的同向结构证据。</x:v>
      </x:c>
      <x:c r="J920" s="65" t="str">
        <x:v>未进入三次错题并集；逐题结构一致性复核</x:v>
      </x:c>
      <x:c r="K920" s="63" t="str">
        <x:v>小明听电工说，连接照明灯一般用1.5平方的电线，连接大功率空调要用4平方的电线，进户线则要用10平方的电线，若电线规格选择不当，容易起火，如图所示是三种电线的外形。据此他提出以下四个问题，其中最有探究价值且易于探究的科学问题是（ ）</x:v>
      </x:c>
      <x:c r="L920" s="63" t="str">
        <x:v>A. 电流产生的热量与哪些因素有关？ B. 电流产生的热量与电阻大小有什么关系？ C. 电流产生的热量与电流大小和电阻大小有什么关系？ D. 电流产生的热量与电流大小、电阻大小和通电时间有什么关系？</x:v>
      </x:c>
      <x:c r="M920" s="63" t="str">
        <x:v>解：A、电流产生的热量与哪些因素有关，没有指明可能的有关因素，不易于探究，故A错误； B、由题意可知，三种电线的横截面积不同，控制长度和材料相同，故段子大小不同，故可探究电流产生的热量与电阻大小有什么关系，故B正确； CD、利用控制变量法分析，三根导线的电阻不同，故不能探究电热与电流和通电时间的关系。故CD错误。 故选：B。</x:v>
      </x:c>
      <x:c r="N920" s="63" t="str">
        <x:v>https://k12static.xdf.cn/k12/image/externalized/02fe03b9-9905-4fdd-a5db-02bc0dbae1da.png</x:v>
      </x:c>
      <x:c r="O920" s="63" t="str">
        <x:v>https://k12static.xdf.cn/k12/image/externalized/7873f517-ddff-44f3-a06a-dd9ea01a6815.png</x:v>
      </x:c>
      <x:c r="P920" s="63" t="str">
        <x:v>1-2步</x:v>
      </x:c>
      <x:c r="Q920" s="63" t="str">
        <x:v>概念判断</x:v>
      </x:c>
      <x:c r="R920" s="63" t="str">
        <x:v>单状态</x:v>
      </x:c>
      <x:c r="S920" s="63" t="str">
        <x:v>无约束</x:v>
      </x:c>
      <x:c r="T920" s="63" t="str">
        <x:v>无</x:v>
      </x:c>
      <x:c r="U920" s="63" t="str">
        <x:v>无</x:v>
      </x:c>
      <x:c r="V920" s="63" t="str">
        <x:v>多层因果推理</x:v>
      </x:c>
    </x:row>
    <x:row r="921">
      <x:c r="A921" s="64" t="str">
        <x:v>​3027945288014794752</x:v>
      </x:c>
      <x:c r="B921" s="65" t="str">
        <x:v>中等题</x:v>
      </x:c>
      <x:c r="C921" s="65" t="str">
        <x:v>中等题</x:v>
      </x:c>
      <x:c r="D921" s="65" t="str">
        <x:v>中等题</x:v>
      </x:c>
      <x:c r="E921" s="65" t="str">
        <x:v>保留原GPT裁定</x:v>
      </x:c>
      <x:c r="F921" s="65" t="str">
        <x:v>高</x:v>
      </x:c>
      <x:c r="G921" s="65" t="str">
        <x:v>中等题</x:v>
      </x:c>
      <x:c r="H921" s="65" t="str">
        <x:v>中等题</x:v>
      </x:c>
      <x:c r="I921" s="65" t="str">
        <x:v>题干、解析与结构证据支持中等题：step=3-5步，题型=力学综合，状态=双状态，约束=单一约束，推理=多层因果推理。教师、盲评和多次模型证据中未形成足以推翻原裁定的同向结构证据。</x:v>
      </x:c>
      <x:c r="J921" s="65" t="str">
        <x:v>未进入三次错题并集；逐题结构一致性复核</x:v>
      </x:c>
      <x:c r="K921" s="63" t="str">
        <x:v>解放军狙击手进行射击训练，瞄准目标后扣动扳机，枪响后经0.75s听到击中目标的声音，子弹飞行的速度为680m/s，声音在空气中的传播速度为340m/s，求狙击点离目标的距离？</x:v>
      </x:c>
      <x:c r="L921" s="63" t="str"/>
      <x:c r="M921" s="63" t="str">
        <x:v>设狙击点离目标的距离为s，子弹离开枪口后到子弹击中目标的时间$t_{1}=\dfrac{s}{v_{\mathrm{子弹}}}=\dfrac{s}{680\mathrm{m}/\mathrm{s}}$子弹击中目标后声音传播所用的时间$t_{2}=\dfrac{s}{v_{\mathrm{声}}}=\dfrac{s}{340\mathrm{m}/\mathrm{s}}$从子弹离开枪口后到听到子弹击中目标的声音需要的时间t=t1+t2=0.75s，$\dfrac{s}{680\mathrm{m}/\mathrm{s}}+\dfrac{s}{340\mathrm{m}/\mathrm{s}}=0.75\mathrm{s}$，s=170m</x:v>
      </x:c>
      <x:c r="N921" s="63" t="str">
        <x:v>https://k12static.xdf.cn/k12/image/externalized/073305da-5a3f-4f72-9841-e801012c7472.png</x:v>
      </x:c>
      <x:c r="O921" s="63" t="str">
        <x:v>https://k12static.xdf.cn/k12/image/externalized/a7e67982-0622-4a4a-bb8e-761caa66b0d9.png</x:v>
      </x:c>
      <x:c r="P921" s="63" t="str">
        <x:v>3-5步</x:v>
      </x:c>
      <x:c r="Q921" s="63" t="str">
        <x:v>力学综合</x:v>
      </x:c>
      <x:c r="R921" s="63" t="str">
        <x:v>双状态</x:v>
      </x:c>
      <x:c r="S921" s="63" t="str">
        <x:v>单一约束</x:v>
      </x:c>
      <x:c r="T921" s="63" t="str">
        <x:v>无</x:v>
      </x:c>
      <x:c r="U921" s="63" t="str">
        <x:v>无</x:v>
      </x:c>
      <x:c r="V921" s="63" t="str">
        <x:v>多层因果推理</x:v>
      </x:c>
    </x:row>
    <x:row r="922">
      <x:c r="A922" s="64" t="str">
        <x:v>​3030081539417636864</x:v>
      </x:c>
      <x:c r="B922" s="65" t="str">
        <x:v>中等题</x:v>
      </x:c>
      <x:c r="C922" s="65" t="str">
        <x:v>中等题</x:v>
      </x:c>
      <x:c r="D922" s="65" t="str">
        <x:v>中等题</x:v>
      </x:c>
      <x:c r="E922" s="65" t="str">
        <x:v>保留原GPT裁定</x:v>
      </x:c>
      <x:c r="F922" s="65" t="str">
        <x:v>高</x:v>
      </x:c>
      <x:c r="G922" s="65" t="str">
        <x:v>中等题</x:v>
      </x:c>
      <x:c r="H922" s="65" t="str">
        <x:v>中等题</x:v>
      </x:c>
      <x:c r="I922" s="65" t="str">
        <x:v>题干、解析与结构证据支持中等题：step=1-2步，题型=概念判断，状态=单状态，约束=无约束，推理=多层因果推理。教师、盲评和多次模型证据中未形成足以推翻原裁定的同向结构证据。</x:v>
      </x:c>
      <x:c r="J922" s="65" t="str">
        <x:v>未进入三次错题并集；逐题结构一致性复核</x:v>
      </x:c>
      <x:c r="K922" s="63" t="str">
        <x:v>关于实像、虚像，下列说法正确的是（ ）</x:v>
      </x:c>
      <x:c r="L922" s="63" t="str">
        <x:v>A. 用光屏可以承接的是实像，不能承接的是虚像 B. 实像是实际光线会聚而成的，虚像是光线反向延长线会聚而成的 C. 平面镜成的像一定是虚像，凸透镜成的像一定是实像 D. 实像一定是由光的折射现象形成的，虚像一定是由光的反射现象形成的 E. 实像和虚像都可以是倒立的 F. 实像有放大和缩小的，而虚像一定是放大的 G. 虚像是人的幻觉，实际上并没有光线进入人眼 H. 实像、虚像都可以用眼睛观察 I. 实像可以用照相机拍照，而虚像则不能 J. 实像只能用光屏接收而眼睛看不见</x:v>
      </x:c>
      <x:c r="M922" s="63" t="str">
        <x:v>首先AB两个选项，考察的是实像和虚像的成因与最直观的区分方法 实像是实际光线会聚而成的， 如凸透镜成像中物体处于二倍焦距外时，物体发出的实际光线通过凸透镜折射后会聚在光屏上 光屏上就会显示出实像，所以实像可以被光屏承接 而像平面镜成像，反射的光线无法相交，但人眼认为光是沿直线传播的，所以会沿着光反向延长线的方向脑补出原本不存在的光线 这样的光线会聚成为了虚像，而这种脑补出的光线并不是实际光线， 所成虚像不能被光屏承接 这样来看，AB选项的说法都是正确的 再来看CD两个选项，平面镜成的像是虚像是对的， 但凸透镜成像可虚可实， C选项错误；D选项则是严重的以偏概全，实像可能是直线传播形成的，虚像也可能是折射形成的 因此D选项也错误 列举一下学过的实像与虚像，发现实像一定是倒立的，放大、缩小、等大均有可能，虚像一定是正立的，放大和等大的情况都有．而放大或缩小是无法用于区分实像与虚像的；比如平面镜成就是等大的虚像 F选项错误 而最后四个选项GHIJ则是考察虚像与实像能否被看到 实像与虚像，都可以用肉眼直接观察，比如照镜子看到的是虚像、凸透镜成像的实验中如果移走光屏，用眼睛直接通过凸透镜也可以观察到蜡烛倒立的实像 之所以都可以用眼睛观察到是因为不管是实像还是虚像都有光线进入了眼睛， 实像与虚像肉眼均可见，但是只有实像可以被光屏承接， I选项中的照相机和眼睛的道理相同，只要有光线进入照相机就可以拍照 所以这四个选项中只有H是正确的，其余三个均错误；</x:v>
      </x:c>
      <x:c r="N922" s="63" t="str">
        <x:v>https://k12static.xdf.cn/k12/image/externalized/7023802f-1642-476a-b18d-e86ea2f21b78.png</x:v>
      </x:c>
      <x:c r="O922" s="63" t="str">
        <x:v>https://k12static.xdf.cn/k12/image/externalized/3cbe2e2c-23e3-425e-a414-f74439f9d8f8.png</x:v>
      </x:c>
      <x:c r="P922" s="63" t="str">
        <x:v>1-2步</x:v>
      </x:c>
      <x:c r="Q922" s="63" t="str">
        <x:v>概念判断</x:v>
      </x:c>
      <x:c r="R922" s="63" t="str">
        <x:v>单状态</x:v>
      </x:c>
      <x:c r="S922" s="63" t="str">
        <x:v>无约束</x:v>
      </x:c>
      <x:c r="T922" s="63" t="str">
        <x:v>无</x:v>
      </x:c>
      <x:c r="U922" s="63" t="str">
        <x:v>无</x:v>
      </x:c>
      <x:c r="V922" s="63" t="str">
        <x:v>多层因果推理</x:v>
      </x:c>
    </x:row>
    <x:row r="923">
      <x:c r="A923" s="64" t="str">
        <x:v>​3037057440509894656</x:v>
      </x:c>
      <x:c r="B923" s="65" t="str">
        <x:v>基础题</x:v>
      </x:c>
      <x:c r="C923" s="65" t="str">
        <x:v>基础题</x:v>
      </x:c>
      <x:c r="D923" s="65" t="str">
        <x:v>基础题</x:v>
      </x:c>
      <x:c r="E923" s="65" t="str">
        <x:v>保留原GPT裁定</x:v>
      </x:c>
      <x:c r="F923" s="65" t="str">
        <x:v>高</x:v>
      </x:c>
      <x:c r="G923" s="65" t="str">
        <x:v>基础题</x:v>
      </x:c>
      <x:c r="H923" s="65" t="str">
        <x:v>基础题</x:v>
      </x:c>
      <x:c r="I923" s="65" t="str">
        <x:v>题干、解析与结构证据支持基础题：step=1-2步，题型=概念判断，状态=单状态，约束=无约束，推理=简单因果推理。教师、盲评和多次模型证据中未形成足以推翻原裁定的同向结构证据。</x:v>
      </x:c>
      <x:c r="J923" s="65" t="str">
        <x:v>未进入三次错题并集；逐题结构一致性复核</x:v>
      </x:c>
      <x:c r="K923" s="63" t="str">
        <x:v>“赏中华诗词、寻文化基因、品生活之美”的电视节目《中国诗词大会》深受观众的青睐，下列古诗词中涉及的物理知识的说法正确的是（ ）</x:v>
      </x:c>
      <x:c r="L923" s="63" t="str">
        <x:v>A. “锄禾日当午，汗滴禾下土”中“汗滴”是由于汗受到垂直向下的重力作用 B. “掬水月在手，弄花香满衣”中“香满衣”的原因是分子做无规则运动 C. “卧看满天云不动，不知云与我俱东”，云不动是以人为参照物的 D. “会挽雕弓如满月，西北望，射天狼”，弓被拉满时，其弹性势能最大</x:v>
      </x:c>
      <x:c r="M923" s="63" t="str">
        <x:v>解：A、“汗滴”是由于汗受到竖直向下的重力作用，故A错误； B、“香满衣”的原因是分子做无规则运动，故B正确； C、我与云的相对位置没有发生变化，故以我为参照物，云是静止的，故C正确； D、弓被拉满时，其形变程度最大，所以弓的弹性势能最大，故D正确。 故选：BCD。</x:v>
      </x:c>
      <x:c r="N923" s="63" t="str">
        <x:v>https://k12static.xdf.cn/k12/image/externalized/5aa80818-df32-4a90-b5d1-af12682ada61.png</x:v>
      </x:c>
      <x:c r="O923" s="63" t="str">
        <x:v>https://k12static.xdf.cn/k12/image/externalized/69070829-10e5-4cc8-bf12-47d16c33d90b.png</x:v>
      </x:c>
      <x:c r="P923" s="63" t="str">
        <x:v>1-2步</x:v>
      </x:c>
      <x:c r="Q923" s="63" t="str">
        <x:v>概念判断</x:v>
      </x:c>
      <x:c r="R923" s="63" t="str">
        <x:v>单状态</x:v>
      </x:c>
      <x:c r="S923" s="63" t="str">
        <x:v>无约束</x:v>
      </x:c>
      <x:c r="T923" s="63" t="str">
        <x:v>无</x:v>
      </x:c>
      <x:c r="U923" s="63" t="str">
        <x:v>无</x:v>
      </x:c>
      <x:c r="V923" s="63" t="str">
        <x:v>简单因果推理</x:v>
      </x:c>
    </x:row>
    <x:row r="924">
      <x:c r="A924" s="64" t="str">
        <x:v>​3038044780764405760</x:v>
      </x:c>
      <x:c r="B924" s="65" t="str">
        <x:v>基础题</x:v>
      </x:c>
      <x:c r="C924" s="65" t="str">
        <x:v>基础题</x:v>
      </x:c>
      <x:c r="D924" s="65" t="str">
        <x:v>基础题</x:v>
      </x:c>
      <x:c r="E924" s="65" t="str">
        <x:v>保留原GPT裁定</x:v>
      </x:c>
      <x:c r="F924" s="65" t="str">
        <x:v>高</x:v>
      </x:c>
      <x:c r="G924" s="65" t="str">
        <x:v>基础题</x:v>
      </x:c>
      <x:c r="H924" s="65" t="str">
        <x:v>基础题</x:v>
      </x:c>
      <x:c r="I924" s="65" t="str">
        <x:v>题干、解析与结构证据支持基础题：step=1-2步，题型=直接计算，状态=单状态，约束=无约束，推理=简单因果推理。教师、盲评和多次模型证据中未形成足以推翻原裁定的同向结构证据。</x:v>
      </x:c>
      <x:c r="J924" s="65" t="str">
        <x:v>未进入三次错题并集；逐题结构一致性复核</x:v>
      </x:c>
      <x:c r="K924" s="63" t="str">
        <x:v>若正常人的反应时间（人接收到信号到采取措施完成的时间）为0.2s，若雷声和闪电同时产生，已知光的传播速度c光=3×108m/s，声音的传播速度v声=340m/s，选择其中恰当的数据大致计算的话，那么“迅雷不及掩耳”的雷声发生处距离人所在位置不会超过多远呢？</x:v>
      </x:c>
      <x:c r="L924" s="63" t="str"/>
      <x:c r="M924" s="63" t="str">
        <x:v>解：光的传播时间忽略不计，雷声速度v=340m/s，传播时间t=0.2s，由$v=\dfrac{s}{t}$得,雷电发生处的距离s=vt=340m/s×0.2s=68m答：雷声发生处距离人所在位置不会超过68m。</x:v>
      </x:c>
      <x:c r="N924" s="63" t="str">
        <x:v>https://k12static.xdf.cn/k12/image/externalized/b5d76680-a07d-475b-8737-7960526613f6.png</x:v>
      </x:c>
      <x:c r="O924" s="63" t="str">
        <x:v>https://k12static.xdf.cn/k12/image/externalized/2506a2ca-2bc3-4633-b8b7-aa42eff3866c.png</x:v>
      </x:c>
      <x:c r="P924" s="63" t="str">
        <x:v>1-2步</x:v>
      </x:c>
      <x:c r="Q924" s="63" t="str">
        <x:v>直接计算</x:v>
      </x:c>
      <x:c r="R924" s="63" t="str">
        <x:v>单状态</x:v>
      </x:c>
      <x:c r="S924" s="63" t="str">
        <x:v>无约束</x:v>
      </x:c>
      <x:c r="T924" s="63" t="str">
        <x:v>无</x:v>
      </x:c>
      <x:c r="U924" s="63" t="str">
        <x:v>无</x:v>
      </x:c>
      <x:c r="V924" s="63" t="str">
        <x:v>简单因果推理</x:v>
      </x:c>
    </x:row>
    <x:row r="925">
      <x:c r="A925" s="64" t="str">
        <x:v>​3038320375408402432</x:v>
      </x:c>
      <x:c r="B925" s="65" t="str">
        <x:v>送分题</x:v>
      </x:c>
      <x:c r="C925" s="65" t="str">
        <x:v>送分题</x:v>
      </x:c>
      <x:c r="D925" s="65" t="str">
        <x:v>送分题</x:v>
      </x:c>
      <x:c r="E925" s="65" t="str">
        <x:v>逐题复核后保留GPT裁定</x:v>
      </x:c>
      <x:c r="F925" s="65" t="str">
        <x:v>高</x:v>
      </x:c>
      <x:c r="G925" s="65" t="str">
        <x:v>送分题</x:v>
      </x:c>
      <x:c r="H925" s="65" t="str">
        <x:v>送分题</x:v>
      </x:c>
      <x:c r="I925" s="65" t="str">
        <x:v>核心只需识别一个唯一、熟悉且关系显性的教材模板（电路状态、图线/参数与安全约束），没有第二次独立物理决策；背景、选项数量或机械作答动作不增加难度。</x:v>
      </x:c>
      <x:c r="J925" s="65" t="str">
        <x:v>三次运行错题并集逐题复核</x:v>
      </x:c>
      <x:c r="K925" s="63" t="str">
        <x:v>当家庭电路中的电流过大时，下列设备起保护电路作用的是（ ）</x:v>
      </x:c>
      <x:c r="L925" s="63" t="str">
        <x:v>A. 电能表 B. 三孔插座 C. 空气开关 D. 漏电保护器</x:v>
      </x:c>
      <x:c r="M925" s="63" t="str">
        <x:v>解：A、电能表是测量电路中用电器消耗电能多少的仪表，不具有保护作用，故A错误； B、三孔插座是用来接入大功率用电器的，其中的上孔接有地线，在用电器漏电时可以防止人身触电，故B错误； C、家庭电路中的空气开关，能在电路中的电流过大时自动切断电路，起到保护作用，故C正确； D、漏电保护器在导线漏电、人身触电时自动切断电路，起到保护作用，故D错误。 故选：C。</x:v>
      </x:c>
      <x:c r="N925" s="63" t="str">
        <x:v>https://k12static.xdf.cn/k12/image/externalized/817eb2ff-4f8a-45b1-b0dc-5e504f8fb63f.png</x:v>
      </x:c>
      <x:c r="O925" s="63" t="str">
        <x:v>https://k12static.xdf.cn/k12/image/externalized/965a9c6f-0f82-4482-8d06-3e86b00516aa.png</x:v>
      </x:c>
      <x:c r="P925" s="63" t="str">
        <x:v>1-2步</x:v>
      </x:c>
      <x:c r="Q925" s="63" t="str">
        <x:v>概念判断</x:v>
      </x:c>
      <x:c r="R925" s="63" t="str">
        <x:v>单状态</x:v>
      </x:c>
      <x:c r="S925" s="63" t="str">
        <x:v>无约束</x:v>
      </x:c>
      <x:c r="T925" s="63" t="str">
        <x:v>无</x:v>
      </x:c>
      <x:c r="U925" s="63" t="str">
        <x:v>无</x:v>
      </x:c>
      <x:c r="V925" s="63" t="str">
        <x:v>直接套用</x:v>
      </x:c>
    </x:row>
    <x:row r="926">
      <x:c r="A926" s="64" t="str">
        <x:v>​3038782766907494400</x:v>
      </x:c>
      <x:c r="B926" s="65" t="str">
        <x:v>基础题</x:v>
      </x:c>
      <x:c r="C926" s="65" t="str">
        <x:v>基础题</x:v>
      </x:c>
      <x:c r="D926" s="65" t="str">
        <x:v>基础题</x:v>
      </x:c>
      <x:c r="E926" s="65" t="str">
        <x:v>保留原GPT裁定</x:v>
      </x:c>
      <x:c r="F926" s="65" t="str">
        <x:v>高</x:v>
      </x:c>
      <x:c r="G926" s="65" t="str">
        <x:v>基础题</x:v>
      </x:c>
      <x:c r="H926" s="65" t="str">
        <x:v>基础题</x:v>
      </x:c>
      <x:c r="I926" s="65" t="str">
        <x:v>题干、解析与结构证据支持基础题：step=1-2步，题型=概念判断，状态=单状态，约束=无约束，推理=简单因果推理。教师、盲评和多次模型证据中未形成足以推翻原裁定的同向结构证据。</x:v>
      </x:c>
      <x:c r="J926" s="65" t="str">
        <x:v>未进入三次错题并集；逐题结构一致性复核</x:v>
      </x:c>
      <x:c r="K926" s="63" t="str">
        <x:v>如图所示，晓华同学正在做俯卧撑，此时人体可视为一个杠杆，下列各图能大致表示其原理的是（ ）</x:v>
      </x:c>
      <x:c r="L926" s="63" t="str"/>
      <x:c r="M926" s="63" t="str">
        <x:v>解：由图知，脚尖和地面的接触点为支点O，双臂对身体向上的支持力为动力F1，竖直向下的重力为阻力F2，O点到F1的距离为动力臂，O点到F2的距离为阻力臂，故C符合题意。 故选：C。</x:v>
      </x:c>
      <x:c r="N926" s="63" t="str">
        <x:v>https://k12static.xdf.cn/k12/image/externalized/43506806-812a-468d-9085-72290812ff30.png</x:v>
      </x:c>
      <x:c r="O926" s="63" t="str">
        <x:v>https://k12static.xdf.cn/k12/image/externalized/15823f22-7f54-452a-a0c7-3b1837e8ce63.png</x:v>
      </x:c>
      <x:c r="P926" s="63" t="str">
        <x:v>1-2步</x:v>
      </x:c>
      <x:c r="Q926" s="63" t="str">
        <x:v>概念判断</x:v>
      </x:c>
      <x:c r="R926" s="63" t="str">
        <x:v>单状态</x:v>
      </x:c>
      <x:c r="S926" s="63" t="str">
        <x:v>无约束</x:v>
      </x:c>
      <x:c r="T926" s="63" t="str">
        <x:v>无</x:v>
      </x:c>
      <x:c r="U926" s="63" t="str">
        <x:v>无</x:v>
      </x:c>
      <x:c r="V926" s="63" t="str">
        <x:v>简单因果推理</x:v>
      </x:c>
    </x:row>
    <x:row r="927">
      <x:c r="A927" s="64" t="str">
        <x:v>​3044772207889854464</x:v>
      </x:c>
      <x:c r="B927" s="65" t="str">
        <x:v>中等题</x:v>
      </x:c>
      <x:c r="C927" s="65" t="str">
        <x:v>中等题</x:v>
      </x:c>
      <x:c r="D927" s="65" t="str">
        <x:v>中等题</x:v>
      </x:c>
      <x:c r="E927" s="65" t="str">
        <x:v>保留原GPT裁定</x:v>
      </x:c>
      <x:c r="F927" s="65" t="str">
        <x:v>高</x:v>
      </x:c>
      <x:c r="G927" s="65" t="str">
        <x:v>中等题</x:v>
      </x:c>
      <x:c r="H927" s="65" t="str">
        <x:v>中等题</x:v>
      </x:c>
      <x:c r="I927" s="65" t="str">
        <x:v>题干、解析与结构证据支持中等题：step=1-2步，题型=概念判断，状态=单状态，约束=无约束，推理=多层因果推理。教师、盲评和多次模型证据中未形成足以推翻原裁定的同向结构证据。</x:v>
      </x:c>
      <x:c r="J927" s="65" t="str">
        <x:v>未进入三次错题并集；逐题结构一致性复核</x:v>
      </x:c>
      <x:c r="K927" s="63" t="str">
        <x:v>下表中是一些介质中的声速，燕子姐姐根据表格中提供的信息总结出了下列一些结论，其中有错误的是（ ） 介质 声速（m/s） 介质 声速（m/s） 空气（$0_{}^{\circ}{\mathrm{C}}{}$） 331 海水（$25_{}^{\circ}{\mathrm{C}}{}$） 1531 空气（$15_{}^{\circ}{\mathrm{C}}{}$） 340 冰 3230 空气（$25_{}^{\circ}{\mathrm{C}}{}$） 346 铜棒 3750 软木 500 大理石 3810 煤油（$25_{}^{\circ}{\mathrm{C}}{}$） 1324 铝棒 5000 水（常温） 1500 铁棒 5200</x:v>
      </x:c>
      <x:c r="L927" s="63" t="str">
        <x:v>A. 声音在介质中的传播速度除了介质与介质的种类有关外，在一些介质中还明显跟温度有关 B. 声音在同种介质中的传播速度只与温度有关，与介质的状态无关 C. 声音在固体中的传播速度一定大于在液体中的传播速度 D. 声音在软木和铝棒中传播相同的距离，需要的时间之比为10∶1</x:v>
      </x:c>
      <x:c r="M927" s="63" t="str">
        <x:v>A．根据表中数据可知，声音在不同介质中的传播速度不同，声音在空气中的传播速度还与温度有关，故A正确，不符合题意； B．水和冰是同一物质的不同状态，由表中数据可知，声音在冰和水中的传播速度不同，故声音在同种介质中的传播速度还与介质的状态有关，故B错误，符合题意；C．根据表中数据可知，声音在软木中的传播速度小于在常温水中的传播速度，即声音在固体中的传播速度不一定大于在液体中的传播速度，故C错误，符合题意；D．根据表中数据可知，声音在软木和铝棒中传播的速度分别为500m/s和5000 m/s，根据$t=\dfrac{s}{v}$可知，在传播的距离相同时，需要的时间与速度成反比，故声音在软木和铝棒中传播相同的距离需要的时间之比为$t_{1}\colon t_{2}=5000\mathrm{m}/\mathrm{s}\colon 500\mathrm{m}/\mathrm{s}=10\colon 1$故D正确，不符合题意。故选BC。</x:v>
      </x:c>
      <x:c r="N927" s="63" t="str">
        <x:v>https://k12static.xdf.cn/k12/image/externalized/969c305d-b22a-4054-a039-318ea71b916b.png</x:v>
      </x:c>
      <x:c r="O927" s="63" t="str">
        <x:v>https://k12static.xdf.cn/k12/image/externalized/5da6a600-2424-439d-ac32-aba20bbc078e.png</x:v>
      </x:c>
      <x:c r="P927" s="63" t="str">
        <x:v>1-2步</x:v>
      </x:c>
      <x:c r="Q927" s="63" t="str">
        <x:v>概念判断</x:v>
      </x:c>
      <x:c r="R927" s="63" t="str">
        <x:v>单状态</x:v>
      </x:c>
      <x:c r="S927" s="63" t="str">
        <x:v>无约束</x:v>
      </x:c>
      <x:c r="T927" s="63" t="str">
        <x:v>无</x:v>
      </x:c>
      <x:c r="U927" s="63" t="str">
        <x:v>多组比较归纳</x:v>
      </x:c>
      <x:c r="V927" s="63" t="str">
        <x:v>多层因果推理</x:v>
      </x:c>
    </x:row>
    <x:row r="928">
      <x:c r="A928" s="64" t="str">
        <x:v>​3045794319270465536</x:v>
      </x:c>
      <x:c r="B928" s="65" t="str">
        <x:v>中等题</x:v>
      </x:c>
      <x:c r="C928" s="65" t="str">
        <x:v>中等题</x:v>
      </x:c>
      <x:c r="D928" s="65" t="str">
        <x:v>中等题</x:v>
      </x:c>
      <x:c r="E928" s="65" t="str">
        <x:v>保留原GPT裁定</x:v>
      </x:c>
      <x:c r="F928" s="65" t="str">
        <x:v>高</x:v>
      </x:c>
      <x:c r="G928" s="65" t="str">
        <x:v>中等题</x:v>
      </x:c>
      <x:c r="H928" s="65" t="str">
        <x:v>中等题</x:v>
      </x:c>
      <x:c r="I928" s="65" t="str">
        <x:v>题干、解析与结构证据支持中等题：step=1-2步，题型=概念判断，状态=单状态，约束=无约束，推理=多层因果推理。教师、盲评和多次模型证据中未形成足以推翻原裁定的同向结构证据。</x:v>
      </x:c>
      <x:c r="J928" s="65" t="str">
        <x:v>未进入三次错题并集；逐题结构一致性复核</x:v>
      </x:c>
      <x:c r="K928" s="63" t="str">
        <x:v>如图所示是物质甲、乙质量与体积的关系图像。结合表中常见物质的密度，下列分析正确的是（ ）物质（状态）密度$\rho /\left(\mathrm{kg}\cdot \mathrm{m}^{-3}\right)$物质（状态）密度$\rho /\left(\mathrm{kg}\cdot {\mathrm{m}^{-}}^{3}\right)$铁（固体）$7.9\times 10^{3}$纯水（液体）$1.0\times 10^{3}$铝（固体）$2.7\times 10^{3}$酒精（液体）$0.8\times 10^{3}$冰（固体，0℃）$0.9\times 10^{3}$氧（气体，0℃，一个标准大气压）$1.43$石蜡（固体）$0.9\times 10^{3}$</x:v>
      </x:c>
      <x:c r="L928" s="63" t="str">
        <x:v>A. 若甲、乙质量相等，乙体积较大 B. 若图像中甲是冰，则乙可能是水 C. 若乙是固体，则甲可能是液体 D. 若甲是氧气瓶中还未使用的氧气，在使用一段时间后的某时刻，瓶内气体的质量与体积关系图像可能为乙</x:v>
      </x:c>
      <x:c r="M928" s="63" t="str">
        <x:v>A．由图可知，若甲、乙的质量相等，则乙的体积较大，故A正确； B．由A知，若甲、乙的质量相等，则乙的体积较大，根据$\rho =\dfrac{m}{V}$可知，甲的密度较大。而水的密度大于冰的密度，所以若图像中甲是冰，则乙不可能是水，故B错误； C．由图可知，甲的密度比乙大。固体的密度一般大于液体的密度，但有的液体密度比固体大，如水的密度比石蜡大，所以若乙是固体，则甲可能是液体，故C正确； D．若甲是氧气瓶中还未使用的氧气，在使用一段时间后的某时刻，瓶内气体的质量变小，体积不变，由密度公式可知，其密度变小，所以瓶内气体的质量与体积关系图像可能为乙，故D正确。 故选ACD。</x:v>
      </x:c>
      <x:c r="N928" s="63" t="str">
        <x:v>https://k12static.xdf.cn/k12/image/externalized/00cd25b1-a8a6-4e1b-8d44-0ab7857274b8.png</x:v>
      </x:c>
      <x:c r="O928" s="63" t="str">
        <x:v>https://k12static.xdf.cn/k12/image/externalized/0faf7df4-0eee-47a9-a76b-d77289d83e01.png</x:v>
      </x:c>
      <x:c r="P928" s="63" t="str">
        <x:v>1-2步</x:v>
      </x:c>
      <x:c r="Q928" s="63" t="str">
        <x:v>概念判断</x:v>
      </x:c>
      <x:c r="R928" s="63" t="str">
        <x:v>单状态</x:v>
      </x:c>
      <x:c r="S928" s="63" t="str">
        <x:v>无约束</x:v>
      </x:c>
      <x:c r="T928" s="63" t="str">
        <x:v>无</x:v>
      </x:c>
      <x:c r="U928" s="63" t="str">
        <x:v>多组比较归纳</x:v>
      </x:c>
      <x:c r="V928" s="63" t="str">
        <x:v>多层因果推理</x:v>
      </x:c>
    </x:row>
    <x:row r="929">
      <x:c r="A929" s="64" t="str">
        <x:v>​3046061097010704384</x:v>
      </x:c>
      <x:c r="B929" s="65" t="str">
        <x:v>拔高题</x:v>
      </x:c>
      <x:c r="C929" s="65" t="str">
        <x:v>拔高题</x:v>
      </x:c>
      <x:c r="D929" s="65" t="str">
        <x:v>拔高题</x:v>
      </x:c>
      <x:c r="E929" s="65" t="str">
        <x:v>逐题复核后保留GPT裁定</x:v>
      </x:c>
      <x:c r="F929" s="65" t="str">
        <x:v>高</x:v>
      </x:c>
      <x:c r="G929" s="65" t="str">
        <x:v>拔高题</x:v>
      </x:c>
      <x:c r="H929" s="65" t="str">
        <x:v>拔高题</x:v>
      </x:c>
      <x:c r="I929" s="65" t="str">
        <x:v>最高难任务在电路状态、图线/参数与安全约束中包含图线反推、状态转换、误差评价、几何/等效转换、方程联立或参数反求等决定性卡点，整体约5—6个有效决策；尚未形成压轴所需的完整复杂约束网络。</x:v>
      </x:c>
      <x:c r="J929" s="65" t="str">
        <x:v>三次运行错题并集逐题复核</x:v>
      </x:c>
      <x:c r="K929" s="63" t="str">
        <x:v>如图所示，电源电压U恒定，R1、R2为两个定值电阻，L为标有“6V 3W”的小灯泡。开关S1、S2、S3均闭合时，电流表A1示数为1.5A，A2示数为1A；仅闭合S1，小灯泡恰好正常发光。则小灯泡正常发光时的电流为 A；U= V；R2= Ω；前后两次电路中相同时间内R1产生的热量之比为 。</x:v>
      </x:c>
      <x:c r="L929" s="63" t="str"/>
      <x:c r="M929" s="63" t="str">
        <x:v>[1]当只团合开天S1时，R1与灯泡L串联，此时小灯泡正常发光，由P=UI可得，此时电路中的电流为$I=\dfrac{P}{U}=\dfrac{3\mathrm{W}}{6\mathrm{V}}=0.5\mathrm{A}$由串联电路的电压特点和欧姆定律可得，电源电压U=I R1+U额=0.5A×R1+6V……①[2]当三个开关都闭合时，小灯泡被短路，R1、R2并联，电流表A1测干路电流，电流表A2测通过R1的电流。已知电流表A1示数为1.5A，A2示数为1A，则电源电压为U=I1R1=1A×R1……②由①②解得R1=12Ω，U=l2V[3]R1、R2并联时，通过R2的电流为I2=I总-I1=1.5A-1A=0.5A电阻R2的阻值为$R_{2}=\dfrac{U}{I_{2}}=\dfrac{12\mathrm{V}}{0.2\mathrm{A}}=24\Omega$[4]开关S1、S2、S3均闭合时，通过R1的电流为1A；只团合开天S1时，通过R1的电流为0.5A，所以前后两次电路中相同时间内R1产生的热量之比为$\dfrac{Q_{1}}{Q_{2}}=\dfrac{I_{1}^{2}R_{1}t}{I^{2}R_{1}t}=\dfrac{(1\mathrm{A})^{2}}{(0.5\mathrm{A})^{2}}=\dfrac{4}{1}$</x:v>
      </x:c>
      <x:c r="N929" s="63" t="str">
        <x:v>https://k12static.xdf.cn/k12/image/externalized/8d108b53-921c-41bd-91ed-bdcc68bd2e01.png</x:v>
      </x:c>
      <x:c r="O929" s="63" t="str">
        <x:v>https://k12static.xdf.cn/k12/image/externalized/772925fb-48f0-4509-a061-472cd71cd310.png</x:v>
      </x:c>
      <x:c r="P929" s="63" t="str">
        <x:v>3-5步</x:v>
      </x:c>
      <x:c r="Q929" s="63" t="str">
        <x:v>电路综合</x:v>
      </x:c>
      <x:c r="R929" s="63" t="str">
        <x:v>双状态</x:v>
      </x:c>
      <x:c r="S929" s="63" t="str">
        <x:v>单一约束</x:v>
      </x:c>
      <x:c r="T929" s="63" t="str">
        <x:v>无</x:v>
      </x:c>
      <x:c r="U929" s="63" t="str">
        <x:v>无</x:v>
      </x:c>
      <x:c r="V929" s="63" t="str">
        <x:v>多层因果推理</x:v>
      </x:c>
    </x:row>
    <x:row r="930">
      <x:c r="A930" s="64" t="str">
        <x:v>​3050367363929878528</x:v>
      </x:c>
      <x:c r="B930" s="65" t="str">
        <x:v>基础题</x:v>
      </x:c>
      <x:c r="C930" s="65" t="str">
        <x:v>基础题</x:v>
      </x:c>
      <x:c r="D930" s="65" t="str">
        <x:v>基础题</x:v>
      </x:c>
      <x:c r="E930" s="65" t="str">
        <x:v>保留原GPT裁定</x:v>
      </x:c>
      <x:c r="F930" s="65" t="str">
        <x:v>高</x:v>
      </x:c>
      <x:c r="G930" s="65" t="str">
        <x:v>基础题</x:v>
      </x:c>
      <x:c r="H930" s="65" t="str">
        <x:v>基础题</x:v>
      </x:c>
      <x:c r="I930" s="65" t="str">
        <x:v>题干、解析与结构证据支持基础题：step=1-2步，题型=概念判断，状态=单状态，约束=无约束，推理=简单因果推理。教师、盲评和多次模型证据中未形成足以推翻原裁定的同向结构证据。</x:v>
      </x:c>
      <x:c r="J930" s="65" t="str">
        <x:v>未进入三次错题并集；逐题结构一致性复核</x:v>
      </x:c>
      <x:c r="K930" s="63" t="str">
        <x:v>如图所示，用刻度尺正确测量物体的长度，物体的长度是（ ）</x:v>
      </x:c>
      <x:c r="L930" s="63" t="str">
        <x:v>A. 4.5cm B. 5.5cm C. 4.50cm D. 5.50cm</x:v>
      </x:c>
      <x:c r="M930" s="63" t="str">
        <x:v>如图所示，用刻度尺测量物体长度时，若未从零刻度线量起，则读数时应该用物体末端的读数减去物体起始端的读数，读数时应估读到分度值的下一位。此刻度尺分度值为1cm，物体未从零刻度线量起，则用末端读数减去起始端读数，故物体的长度为$L=5.5\mathrm{cm}-1.0\mathrm{cm}=4.5\mathrm{cm}$故A符合题意，BCD不符合题意。故选A。</x:v>
      </x:c>
      <x:c r="N930" s="63" t="str">
        <x:v>https://k12static.xdf.cn/k12/image/externalized/adc58a60-a3d5-491e-b5ff-ff94df7a29ec.png</x:v>
      </x:c>
      <x:c r="O930" s="63" t="str">
        <x:v>https://k12static.xdf.cn/k12/image/externalized/52bb6abf-2ec2-4629-bb9b-e537f39f23b3.png</x:v>
      </x:c>
      <x:c r="P930" s="63" t="str">
        <x:v>1-2步</x:v>
      </x:c>
      <x:c r="Q930" s="63" t="str">
        <x:v>概念判断</x:v>
      </x:c>
      <x:c r="R930" s="63" t="str">
        <x:v>单状态</x:v>
      </x:c>
      <x:c r="S930" s="63" t="str">
        <x:v>无约束</x:v>
      </x:c>
      <x:c r="T930" s="63" t="str">
        <x:v>无</x:v>
      </x:c>
      <x:c r="U930" s="63" t="str">
        <x:v>无</x:v>
      </x:c>
      <x:c r="V930" s="63" t="str">
        <x:v>简单因果推理</x:v>
      </x:c>
    </x:row>
    <x:row r="931">
      <x:c r="A931" s="64" t="str">
        <x:v>​3052118953290739712</x:v>
      </x:c>
      <x:c r="B931" s="65" t="str">
        <x:v>中等题</x:v>
      </x:c>
      <x:c r="C931" s="65" t="str">
        <x:v>中等题</x:v>
      </x:c>
      <x:c r="D931" s="65" t="str">
        <x:v>中等题</x:v>
      </x:c>
      <x:c r="E931" s="65" t="str">
        <x:v>保留原GPT裁定</x:v>
      </x:c>
      <x:c r="F931" s="65" t="str">
        <x:v>高</x:v>
      </x:c>
      <x:c r="G931" s="65" t="str">
        <x:v>中等题</x:v>
      </x:c>
      <x:c r="H931" s="65" t="str">
        <x:v>中等题</x:v>
      </x:c>
      <x:c r="I931" s="65" t="str">
        <x:v>题干、解析与结构证据支持中等题：step=3-5步，题型=光学声学综合，状态=单状态，约束=无约束，推理=多层因果推理。教师、盲评和多次模型证据中未形成足以推翻原裁定的同向结构证据。</x:v>
      </x:c>
      <x:c r="J931" s="65" t="str">
        <x:v>未进入三次错题并集；逐题结构一致性复核</x:v>
      </x:c>
      <x:c r="K931" s="63" t="str">
        <x:v>如图所示，利用图甲来测量凸透镜的焦距，利用图乙来探究凸透镜成像的规律，当蜡烛在图乙位置时，光屏上恰好成清晰的像，下列说法正确的是（ ）</x:v>
      </x:c>
      <x:c r="L931" s="63" t="str">
        <x:v>A. 图乙中将蜡烛移到45cm刻线处，光屏上成正立、放大的虚像 B. 图乙中只将蜡烛和光屏位置互换，可以在光屏上得到清晰的像 C. 图乙中将蜡烛移到35cm刻线处，成像特点与照相机成像特点相同 D. 保持蜡烛位置不变，将透镜向左移动并适当移动光屏，光屏上所成的像会逐渐变小</x:v>
      </x:c>
      <x:c r="M931" s="63" t="str">
        <x:v>解：A、平行于主光轴的光线经凸透镜折射后，会聚在主光轴上一点，这点是凸透镜的焦点，焦点到光心的距离是凸透镜的焦距，所以由图可知该凸透镜的焦距：f=60cm-50cm=10cm,将蜡烛移到45cm刻线处，此时的物距是：50cm-45cm=5cm,则物距小于焦距，成的是正立、放大的虚像，虚像不能成在光屏上，故A错误； B、只将蜡烛和光屏互换，根据光路的可逆性，可以在光屏上得到清晰放大的像，故B正确； C、将蜡烛移到35cm刻线处，此时的物距是：50cm-35cm=15cm,物体在一倍焦距与二倍焦距之间，成的是倒立、放大的实像，与投影仪成像特点相同，故C错误； D、保持蜡烛位置不变，将透镜向左移动物距变小并适当移动光屏，光屏上所成的像会逐渐变大，故D错误。 故选：B。</x:v>
      </x:c>
      <x:c r="N931" s="63" t="str">
        <x:v>https://k12static.xdf.cn/k12/image/externalized/5de6cc0c-414b-4639-ae5a-8d95b4e6fbc5.png</x:v>
      </x:c>
      <x:c r="O931" s="63" t="str">
        <x:v>https://k12static.xdf.cn/k12/image/externalized/273d0b1a-9142-4f6d-8aa8-19517d19748b.png</x:v>
      </x:c>
      <x:c r="P931" s="63" t="str">
        <x:v>3-5步</x:v>
      </x:c>
      <x:c r="Q931" s="63" t="str">
        <x:v>光学声学综合</x:v>
      </x:c>
      <x:c r="R931" s="63" t="str">
        <x:v>单状态</x:v>
      </x:c>
      <x:c r="S931" s="63" t="str">
        <x:v>无约束</x:v>
      </x:c>
      <x:c r="T931" s="63" t="str">
        <x:v>无</x:v>
      </x:c>
      <x:c r="U931" s="63" t="str">
        <x:v>无</x:v>
      </x:c>
      <x:c r="V931" s="63" t="str">
        <x:v>多层因果推理</x:v>
      </x:c>
    </x:row>
    <x:row r="932">
      <x:c r="A932" s="64" t="str">
        <x:v>​3052119384889577472</x:v>
      </x:c>
      <x:c r="B932" s="65" t="str">
        <x:v>中等题</x:v>
      </x:c>
      <x:c r="C932" s="65" t="str">
        <x:v>中等题</x:v>
      </x:c>
      <x:c r="D932" s="65" t="str">
        <x:v>中等题</x:v>
      </x:c>
      <x:c r="E932" s="65" t="str">
        <x:v>保留原GPT裁定</x:v>
      </x:c>
      <x:c r="F932" s="65" t="str">
        <x:v>高</x:v>
      </x:c>
      <x:c r="G932" s="65" t="str">
        <x:v>中等题</x:v>
      </x:c>
      <x:c r="H932" s="65" t="str">
        <x:v>中等题</x:v>
      </x:c>
      <x:c r="I932" s="65" t="str">
        <x:v>题干、解析与结构证据支持中等题：step=3-5步，题型=概念判断，状态=单状态，约束=无约束，推理=多层因果推理。教师、盲评和多次模型证据中未形成足以推翻原裁定的同向结构证据。</x:v>
      </x:c>
      <x:c r="J932" s="65" t="str">
        <x:v>未进入三次错题并集；逐题结构一致性复核</x:v>
      </x:c>
      <x:c r="K932" s="63" t="str">
        <x:v>小明用高度6cm的光源验证凸透镜成像规律。下表是部分成实像的实验数据。关于该实验数据，小明发现的一些规律中正确的是（ ） 物距u/cm 15.0 20.0 30.0 40.0 50.0 像距v/cm 30.0 20.0 15.0 13.3 12.5</x:v>
      </x:c>
      <x:c r="L932" s="63" t="str">
        <x:v>A. 该透镜焦距为20.0cm B. 当物距u增大时，像变小且模糊 C. 当物距u＞2f时，物距u越大，实像高度越小，宽度不变 D. 当物距u=100cm时，像距v接近10.0cm</x:v>
      </x:c>
      <x:c r="M932" s="63" t="str">
        <x:v>解：A．当u=v=20cm=2f时，凸透镜成等大倒立的实像，则f=10cm,故A错误； B、凸透镜成像规律中提到，当物距在一倍焦距以外且逐渐增大时，像距将减小，像的大小也将变小。这意味着随着物距的增加，像会变得越来越小。同时，如果像变得模糊，可能是因为像距的变化导致像不再清晰地落在光屏上，在实际操作中，为了获得清晰的像，需要调整光屏的位置以匹配新的像距，故B错误； C、当物距u＞2f时，凸透镜成倒立、缩小的实像。此时，像距v在1倍焦距f和2倍焦距2f之间，并且随着物距的增大，像距逐渐减小。由于像的高度与像距成正比，因此物距越大，实像的高度越小，同时，像的宽度也变小，故C错误； D．已知凸透镜的焦距f=10cm,当物距u=100cm时，显然u＞2f,因此像距v应该在10cm到20cm之间，物距越大，像距越接近10cm,故D正确。 故选：D。</x:v>
      </x:c>
      <x:c r="N932" s="63" t="str">
        <x:v>https://k12static.xdf.cn/k12/image/externalized/8302f3e4-21ad-4d34-8605-9dd4bb0ca714.png</x:v>
      </x:c>
      <x:c r="O932" s="63" t="str">
        <x:v>https://k12static.xdf.cn/k12/image/externalized/993c0af0-e4b6-42cc-826d-88026b9c8697.png</x:v>
      </x:c>
      <x:c r="P932" s="63" t="str">
        <x:v>3-5步</x:v>
      </x:c>
      <x:c r="Q932" s="63" t="str">
        <x:v>概念判断</x:v>
      </x:c>
      <x:c r="R932" s="63" t="str">
        <x:v>单状态</x:v>
      </x:c>
      <x:c r="S932" s="63" t="str">
        <x:v>无约束</x:v>
      </x:c>
      <x:c r="T932" s="63" t="str">
        <x:v>控制变量或故障分析</x:v>
      </x:c>
      <x:c r="U932" s="63" t="str">
        <x:v>多组比较归纳</x:v>
      </x:c>
      <x:c r="V932" s="63" t="str">
        <x:v>多层因果推理</x:v>
      </x:c>
    </x:row>
    <x:row r="933">
      <x:c r="A933" s="64" t="str">
        <x:v>​3052120354813972480</x:v>
      </x:c>
      <x:c r="B933" s="65" t="str">
        <x:v>中等题</x:v>
      </x:c>
      <x:c r="C933" s="65" t="str">
        <x:v>中等题</x:v>
      </x:c>
      <x:c r="D933" s="65" t="str">
        <x:v>中等题</x:v>
      </x:c>
      <x:c r="E933" s="65" t="str">
        <x:v>保留原GPT裁定</x:v>
      </x:c>
      <x:c r="F933" s="65" t="str">
        <x:v>高</x:v>
      </x:c>
      <x:c r="G933" s="65" t="str">
        <x:v>中等题</x:v>
      </x:c>
      <x:c r="H933" s="65" t="str">
        <x:v>中等题</x:v>
      </x:c>
      <x:c r="I933" s="65" t="str">
        <x:v>题干、解析与结构证据支持中等题：step=3-5步，题型=概念判断，状态=双状态，约束=单一约束，推理=多层因果推理。教师、盲评和多次模型证据中未形成足以推翻原裁定的同向结构证据。</x:v>
      </x:c>
      <x:c r="J933" s="65" t="str">
        <x:v>未进入三次错题并集；逐题结构一致性复核</x:v>
      </x:c>
      <x:c r="K933" s="63" t="str">
        <x:v>在探究“凸透镜成像规律”的实验中，光具座上各元件位置如图甲所示，此时在光屏上恰好成一个清晰的像。下列说法正确的是（ ）</x:v>
      </x:c>
      <x:c r="L933" s="63" t="str">
        <x:v>A. 图甲中凸透镜的焦距可能是10cm B. 此时光屏上成倒立、缩小的实像 C. 照相机是利用该成像规律制成的 D. 保持凸透镜的位置不动，将蜡烛和光屏互换位置，在光屏上不会看到一个缩小的清晰的烛焰像</x:v>
      </x:c>
      <x:c r="M933" s="63" t="str">
        <x:v>解：A．根据凸透镜成像规律，图甲中物距在1倍焦距与2倍焦距之间，像距大于2倍焦距，则 f＜u=15cm＜2f v=30cm＞2f 则凸透镜的焦距为 7.5cm＜f＜15cm 故焦距可能是10cm,故A正确； BC．由图知道，物距和像距分别为 u=50.0cm-35.0cm=15cm v=80.0cm-50.0cm=30cm 由于像距大于物距，根据凸透镜成像规律知道，此时物距在1倍焦距与2倍焦距之间，成倒立、放大的实像，应用于投影仪，故BC错误； D．保持凸透镜的位置不动，根据光路的可逆性，调换蜡烛和光屏的位置，物距与像距刚好对调时，在光屏上会看到一个缩小的清晰的烛焰像，故D错误。 故选：A。</x:v>
      </x:c>
      <x:c r="N933" s="63" t="str">
        <x:v>https://k12static.xdf.cn/k12/image/externalized/8d1fb074-0e2f-4566-ac1e-87173d6086c4.png</x:v>
      </x:c>
      <x:c r="O933" s="63" t="str">
        <x:v>https://k12static.xdf.cn/k12/image/externalized/a3c495d6-63bb-42de-bf48-d5f12d095530.png</x:v>
      </x:c>
      <x:c r="P933" s="63" t="str">
        <x:v>3-5步</x:v>
      </x:c>
      <x:c r="Q933" s="63" t="str">
        <x:v>概念判断</x:v>
      </x:c>
      <x:c r="R933" s="63" t="str">
        <x:v>双状态</x:v>
      </x:c>
      <x:c r="S933" s="63" t="str">
        <x:v>单一约束</x:v>
      </x:c>
      <x:c r="T933" s="63" t="str">
        <x:v>控制变量或故障分析</x:v>
      </x:c>
      <x:c r="U933" s="63" t="str">
        <x:v>无</x:v>
      </x:c>
      <x:c r="V933" s="63" t="str">
        <x:v>多层因果推理</x:v>
      </x:c>
    </x:row>
    <x:row r="934">
      <x:c r="A934" s="64" t="str">
        <x:v>​3054189048729784320</x:v>
      </x:c>
      <x:c r="B934" s="65" t="str">
        <x:v>中等题</x:v>
      </x:c>
      <x:c r="C934" s="65" t="str">
        <x:v>中等题</x:v>
      </x:c>
      <x:c r="D934" s="65" t="str">
        <x:v>中等题</x:v>
      </x:c>
      <x:c r="E934" s="65" t="str">
        <x:v>保留原GPT裁定</x:v>
      </x:c>
      <x:c r="F934" s="65" t="str">
        <x:v>高</x:v>
      </x:c>
      <x:c r="G934" s="65" t="str">
        <x:v>中等题</x:v>
      </x:c>
      <x:c r="H934" s="65" t="str">
        <x:v>中等题</x:v>
      </x:c>
      <x:c r="I934" s="65" t="str">
        <x:v>题干、解析与结构证据支持中等题：step=3-5步，题型=热学综合，状态=单状态，约束=无约束，推理=多层因果推理。教师、盲评和多次模型证据中未形成足以推翻原裁定的同向结构证据。</x:v>
      </x:c>
      <x:c r="J934" s="65" t="str">
        <x:v>未进入三次错题并集；逐题结构一致性复核</x:v>
      </x:c>
      <x:c r="K934" s="63" t="str">
        <x:v>某单缸汽油机的某一个工作冲程如图所示，为 冲程。它完全燃烧0.1kg汽油可释放的能量为 J，若这些能量量中的42%被质量为10kg、初温为20℃的水吸收，水的温度将升到 ℃。[q汽油=4.6×107J/kg,c水=4.2×103J/（kg•℃）]</x:v>
      </x:c>
      <x:c r="L934" s="63" t="str"/>
      <x:c r="M934" s="63" t="str">
        <x:v>解：（1）图中汽油机的两气门都关闭，活塞向上运动，是压缩冲程； （2）完全燃烧0.1kg汽油放出的热量：Q放=m汽油q汽油=0.1kg×4.6×107J/kg=4.6×106J； 根据题意可知，水吸收的热量Q吸=42%•Q放=42%×4.6×106J=1.932×106J； 由Q吸=cmΔt可知，水升高的温度：Δt=$\frac{{Q}_{吸}}{{c}_{水}m}$=$\frac{1.932×1{0}^{6}J}{4.2×1{0}^{3}J/(kg\bullet ℃)×10kg}$=46℃， 水的末温为20℃+46℃=66℃。 故答案为：压缩；4.6×106；66。</x:v>
      </x:c>
      <x:c r="N934" s="63" t="str">
        <x:v>https://k12static.xdf.cn/k12/image/externalized/a4551a87-3358-46e9-b6c5-51c44779102d.png</x:v>
      </x:c>
      <x:c r="O934" s="63" t="str">
        <x:v>https://k12static.xdf.cn/k12/image/externalized/01920d71-402d-4c42-91bf-b1f1d28271e4.png</x:v>
      </x:c>
      <x:c r="P934" s="63" t="str">
        <x:v>3-5步</x:v>
      </x:c>
      <x:c r="Q934" s="63" t="str">
        <x:v>热学综合</x:v>
      </x:c>
      <x:c r="R934" s="63" t="str">
        <x:v>单状态</x:v>
      </x:c>
      <x:c r="S934" s="63" t="str">
        <x:v>无约束</x:v>
      </x:c>
      <x:c r="T934" s="63" t="str">
        <x:v>无</x:v>
      </x:c>
      <x:c r="U934" s="63" t="str">
        <x:v>无</x:v>
      </x:c>
      <x:c r="V934" s="63" t="str">
        <x:v>多层因果推理</x:v>
      </x:c>
    </x:row>
    <x:row r="935">
      <x:c r="A935" s="64" t="str">
        <x:v>​3054208631611437056</x:v>
      </x:c>
      <x:c r="B935" s="65" t="str">
        <x:v>基础题</x:v>
      </x:c>
      <x:c r="C935" s="65" t="str">
        <x:v>基础题</x:v>
      </x:c>
      <x:c r="D935" s="65" t="str">
        <x:v>基础题</x:v>
      </x:c>
      <x:c r="E935" s="65" t="str">
        <x:v>保留原GPT裁定</x:v>
      </x:c>
      <x:c r="F935" s="65" t="str">
        <x:v>高</x:v>
      </x:c>
      <x:c r="G935" s="65" t="str">
        <x:v>基础题</x:v>
      </x:c>
      <x:c r="H935" s="65" t="str">
        <x:v>基础题</x:v>
      </x:c>
      <x:c r="I935" s="65" t="str">
        <x:v>题干、解析与结构证据支持基础题：step=1-2步，题型=概念判断，状态=单状态，约束=无约束，推理=简单因果推理。教师、盲评和多次模型证据中未形成足以推翻原裁定的同向结构证据。</x:v>
      </x:c>
      <x:c r="J935" s="65" t="str">
        <x:v>未进入三次错题并集；逐题结构一致性复核</x:v>
      </x:c>
      <x:c r="K935" s="63" t="str">
        <x:v>如图所示，清扫车在创建文明城市中大显身手。下列说法错误的是（ ）</x:v>
      </x:c>
      <x:c r="L935" s="63" t="str">
        <x:v>A. 汽油机的做功冲程将内能转化为机械能 B. 清扫车完成作业后，油箱中剩余汽油的热值不变 C. 刹车时通过热传递的方式增加了刹车片的内能，使其温度升高 D. 拨动方向盘左侧的横杆从而控制左、右转向灯，横杆相当于简单电路的开关</x:v>
      </x:c>
      <x:c r="M935" s="63" t="str">
        <x:v>解：A、做功冲程中，将内能转化为机械能，故A正确； B、热值是燃料的一种特性，与燃料的质量无关，所以汽车行驶时，汽油的热值不变，故B正确； C、刹车时通过做功的方式增加了刹车片的内能，使其温度升高，故C错误； D、拨动方向盘左侧的横杆，转向灯才会工作，所以这根横杆起到了控制电路通断的作用，即横杆相当于简单电路中的开关，故D正确。 故选：C。</x:v>
      </x:c>
      <x:c r="N935" s="63" t="str">
        <x:v>https://k12static.xdf.cn/k12/image/externalized/4b8a2ef3-7d39-4b35-aa45-35098e53a554.png</x:v>
      </x:c>
      <x:c r="O935" s="63" t="str">
        <x:v>https://k12static.xdf.cn/k12/image/externalized/b3d0155d-b270-460f-8afb-c29109983cb4.png</x:v>
      </x:c>
      <x:c r="P935" s="63" t="str">
        <x:v>1-2步</x:v>
      </x:c>
      <x:c r="Q935" s="63" t="str">
        <x:v>概念判断</x:v>
      </x:c>
      <x:c r="R935" s="63" t="str">
        <x:v>单状态</x:v>
      </x:c>
      <x:c r="S935" s="63" t="str">
        <x:v>无约束</x:v>
      </x:c>
      <x:c r="T935" s="63" t="str">
        <x:v>无</x:v>
      </x:c>
      <x:c r="U935" s="63" t="str">
        <x:v>无</x:v>
      </x:c>
      <x:c r="V935" s="63" t="str">
        <x:v>简单因果推理</x:v>
      </x:c>
    </x:row>
    <x:row r="936">
      <x:c r="A936" s="64" t="str">
        <x:v>​3056554841434861568</x:v>
      </x:c>
      <x:c r="B936" s="65" t="str">
        <x:v>中等题</x:v>
      </x:c>
      <x:c r="C936" s="65" t="str">
        <x:v>中等题</x:v>
      </x:c>
      <x:c r="D936" s="65" t="str">
        <x:v>中等题</x:v>
      </x:c>
      <x:c r="E936" s="65" t="str">
        <x:v>逐题复核后保留GPT裁定</x:v>
      </x:c>
      <x:c r="F936" s="65" t="str">
        <x:v>高</x:v>
      </x:c>
      <x:c r="G936" s="65" t="str">
        <x:v>中等题</x:v>
      </x:c>
      <x:c r="H936" s="65" t="str">
        <x:v>中等题</x:v>
      </x:c>
      <x:c r="I936" s="65" t="str">
        <x:v>存在约3—4步常规连续分析、共享过程或完整标准实验任务，关系仍显性。 题目证据：保留原标。最长有效链为3-5步、题型为力学综合、涉及连续变化、含单一约束、推理为多层因果推理，与中等题边界一致。 复核证据：教师标签与独立盲评一致；三次模型运行使用相近提示词，仅作为辅助证据，不足以推翻两者一致结论。。</x:v>
      </x:c>
      <x:c r="J936" s="65" t="str">
        <x:v>三次运行错题并集逐题复核</x:v>
      </x:c>
      <x:c r="K936" s="63" t="str">
        <x:v>如图所示，匀质杠杆AB的A端已固定，小聪用力F将杠杆由竖直方向匀速拉至水平方向，力F的方向始终水平向右，则此过程中（ ）</x:v>
      </x:c>
      <x:c r="L936" s="63" t="str">
        <x:v>A. F变大 B. F变小 C. F先变大再变小 D. F先变小再变大</x:v>
      </x:c>
      <x:c r="M936" s="63" t="str">
        <x:v>解：将杠杆由竖直方向匀速拉至水平方向的过程中，阻力大小不变，阻力臂变大、动力臂变小，根据杠杆的平衡条件可知，动力F将变大。 故选：A。</x:v>
      </x:c>
      <x:c r="N936" s="63" t="str">
        <x:v>https://k12static.xdf.cn/k12/image/externalized/10c9cbe6-09c8-4abd-bcfe-70f318376c2a.png</x:v>
      </x:c>
      <x:c r="O936" s="63" t="str">
        <x:v>https://k12static.xdf.cn/k12/image/externalized/e8f626df-c7ad-48ac-b5b2-cef0d7fcc64d.png</x:v>
      </x:c>
      <x:c r="P936" s="63" t="str">
        <x:v>3-5步</x:v>
      </x:c>
      <x:c r="Q936" s="63" t="str">
        <x:v>力学综合</x:v>
      </x:c>
      <x:c r="R936" s="63" t="str">
        <x:v>连续变化</x:v>
      </x:c>
      <x:c r="S936" s="63" t="str">
        <x:v>单一约束</x:v>
      </x:c>
      <x:c r="T936" s="63" t="str">
        <x:v>无</x:v>
      </x:c>
      <x:c r="U936" s="63" t="str">
        <x:v>无</x:v>
      </x:c>
      <x:c r="V936" s="63" t="str">
        <x:v>多层因果推理</x:v>
      </x:c>
    </x:row>
    <x:row r="937">
      <x:c r="A937" s="64" t="str">
        <x:v>​3066337510540455936</x:v>
      </x:c>
      <x:c r="B937" s="65" t="str">
        <x:v>基础题</x:v>
      </x:c>
      <x:c r="C937" s="65" t="str">
        <x:v>基础题</x:v>
      </x:c>
      <x:c r="D937" s="65" t="str">
        <x:v>基础题</x:v>
      </x:c>
      <x:c r="E937" s="65" t="str">
        <x:v>保留原GPT裁定</x:v>
      </x:c>
      <x:c r="F937" s="65" t="str">
        <x:v>高</x:v>
      </x:c>
      <x:c r="G937" s="65" t="str">
        <x:v>基础题</x:v>
      </x:c>
      <x:c r="H937" s="65" t="str">
        <x:v>基础题</x:v>
      </x:c>
      <x:c r="I937" s="65" t="str">
        <x:v>题干、解析与结构证据支持基础题：step=1-2步，题型=概念判断，状态=单状态，约束=无约束，推理=简单因果推理。教师、盲评和多次模型证据中未形成足以推翻原裁定的同向结构证据。</x:v>
      </x:c>
      <x:c r="J937" s="65" t="str">
        <x:v>未进入三次错题并集；逐题结构一致性复核</x:v>
      </x:c>
      <x:c r="K937" s="63" t="str">
        <x:v>图甲是一台收音机，可通过调台旋钮选择不同频率的电台，图乙是该收音机的频率面板。若只通过调台旋钮把频率指针向右移动，一定会使收音机（ ）</x:v>
      </x:c>
      <x:c r="L937" s="63" t="str">
        <x:v>A. 播放的声音频率变高 B. 播放的声音响度变大 C. 接收到的电磁波波长更短 D. 接收到的电磁波在真空中波速变大</x:v>
      </x:c>
      <x:c r="M937" s="63" t="str">
        <x:v>解：A、收音机调台旋钮调节的是接收电磁波的频率，而不是播放声音的频率。播放声音的频率取决于广播电台发射的音频信号，与收音机的调台旋钮无关，故A错误。 B、声音的响度与音量旋钮有关，通过调台旋钮把频率指针向右移动不会直接影响声音的响度，故B错误。 C、根据电磁波的波速、波长和频率的关系c=λf\（其中c是波速，λ是波长，f是频率），电磁波在真空中的波速c是恒定不变的。当调台旋钮把频率指针向右移动时，收音机接收到的电磁波频率f增大，那么波长λ就会变短，故C正确。 D、电磁波在真空中的波速是一个定值，约为3×108m/s,与收音机接收到的电磁波频率无关，故D错误。 故选：C。</x:v>
      </x:c>
      <x:c r="N937" s="63" t="str">
        <x:v>https://k12static.xdf.cn/k12/image/externalized/9f49e852-22ba-4818-b683-15e0a58ca064.png</x:v>
      </x:c>
      <x:c r="O937" s="63" t="str">
        <x:v>https://k12static.xdf.cn/k12/image/externalized/460e6ba7-a0f1-4455-a27b-6a600828166a.png</x:v>
      </x:c>
      <x:c r="P937" s="63" t="str">
        <x:v>1-2步</x:v>
      </x:c>
      <x:c r="Q937" s="63" t="str">
        <x:v>概念判断</x:v>
      </x:c>
      <x:c r="R937" s="63" t="str">
        <x:v>单状态</x:v>
      </x:c>
      <x:c r="S937" s="63" t="str">
        <x:v>无约束</x:v>
      </x:c>
      <x:c r="T937" s="63" t="str">
        <x:v>无</x:v>
      </x:c>
      <x:c r="U937" s="63" t="str">
        <x:v>无</x:v>
      </x:c>
      <x:c r="V937" s="63" t="str">
        <x:v>简单因果推理</x:v>
      </x:c>
    </x:row>
    <x:row r="938">
      <x:c r="A938" s="64" t="str">
        <x:v>​3076237852520230912</x:v>
      </x:c>
      <x:c r="B938" s="65" t="str">
        <x:v>基础题</x:v>
      </x:c>
      <x:c r="C938" s="65" t="str">
        <x:v>基础题</x:v>
      </x:c>
      <x:c r="D938" s="65" t="str">
        <x:v>基础题</x:v>
      </x:c>
      <x:c r="E938" s="65" t="str">
        <x:v>保留原GPT裁定</x:v>
      </x:c>
      <x:c r="F938" s="65" t="str">
        <x:v>高</x:v>
      </x:c>
      <x:c r="G938" s="65" t="str">
        <x:v>基础题</x:v>
      </x:c>
      <x:c r="H938" s="65" t="str">
        <x:v>基础题</x:v>
      </x:c>
      <x:c r="I938" s="65" t="str">
        <x:v>题干、解析与结构证据支持基础题：step=1-2步，题型=概念判断，状态=单状态，约束=无约束，推理=简单因果推理。教师、盲评和多次模型证据中未形成足以推翻原裁定的同向结构证据。</x:v>
      </x:c>
      <x:c r="J938" s="65" t="str">
        <x:v>未进入三次错题并集；逐题结构一致性复核</x:v>
      </x:c>
      <x:c r="K938" s="63" t="str">
        <x:v>PM2.5是天气阴霾的主要原因。PM2.5是指大气中直径小于或等于2.5μm的颗粒物。单个PM2.5往往隐藏在空气的浮尘中，容易被吸入人的肺部造成危害。下列关于PM2.5颗粒物直径的单位换算正确的是（ ）</x:v>
      </x:c>
      <x:c r="L938" s="63" t="str">
        <x:v>A. 2.5μm=2.5μm×10-6m=2.5×10-6m B. 2.5μm=2.5×10-5dm C. 2.5μm=2.5×10-3mm D. 2.5μm=2.5×10-9m</x:v>
      </x:c>
      <x:c r="M938" s="63" t="str">
        <x:v>解：长度单位之间的关系：1km=103m=104dm=105cm=106mm=109μm=1012nm, 所以有2.5μm=2.5×10-6m=2.5×10-9km=2.5×10-5dm=2.5×10-4cm=2.5×10-3mm,故BC正确，AD错误。 故选：BC。</x:v>
      </x:c>
      <x:c r="N938" s="63" t="str">
        <x:v>https://k12static.xdf.cn/k12/image/externalized/69fc9c3e-fd70-498d-abdf-8a8f4ffe7a63.png</x:v>
      </x:c>
      <x:c r="O938" s="63" t="str">
        <x:v>https://k12static.xdf.cn/k12/image/externalized/007d0c7f-c819-4e31-a466-8e0988101a51.png</x:v>
      </x:c>
      <x:c r="P938" s="63" t="str">
        <x:v>1-2步</x:v>
      </x:c>
      <x:c r="Q938" s="63" t="str">
        <x:v>概念判断</x:v>
      </x:c>
      <x:c r="R938" s="63" t="str">
        <x:v>单状态</x:v>
      </x:c>
      <x:c r="S938" s="63" t="str">
        <x:v>无约束</x:v>
      </x:c>
      <x:c r="T938" s="63" t="str">
        <x:v>无</x:v>
      </x:c>
      <x:c r="U938" s="63" t="str">
        <x:v>无</x:v>
      </x:c>
      <x:c r="V938" s="63" t="str">
        <x:v>简单因果推理</x:v>
      </x:c>
    </x:row>
    <x:row r="939">
      <x:c r="A939" s="64" t="str">
        <x:v>​3077184630431440896</x:v>
      </x:c>
      <x:c r="B939" s="65" t="str">
        <x:v>基础题</x:v>
      </x:c>
      <x:c r="C939" s="65" t="str">
        <x:v>基础题</x:v>
      </x:c>
      <x:c r="D939" s="65" t="str">
        <x:v>基础题</x:v>
      </x:c>
      <x:c r="E939" s="65" t="str">
        <x:v>保留原GPT裁定</x:v>
      </x:c>
      <x:c r="F939" s="65" t="str">
        <x:v>高</x:v>
      </x:c>
      <x:c r="G939" s="65" t="str">
        <x:v>基础题</x:v>
      </x:c>
      <x:c r="H939" s="65" t="str">
        <x:v>基础题</x:v>
      </x:c>
      <x:c r="I939" s="65" t="str">
        <x:v>题干、解析与结构证据支持基础题：step=1-2步，题型=光学声学综合，状态=单状态，约束=无约束，推理=简单因果推理。教师、盲评和多次模型证据中未形成足以推翻原裁定的同向结构证据。</x:v>
      </x:c>
      <x:c r="J939" s="65" t="str">
        <x:v>未进入三次错题并集；逐题结构一致性复核</x:v>
      </x:c>
      <x:c r="K939" s="63" t="str">
        <x:v>光从水射向空气时，入射点O和反射光线如图所示，请画出入射光线和折射光线。</x:v>
      </x:c>
      <x:c r="L939" s="63" t="str"/>
      <x:c r="M939" s="63" t="str">
        <x:v>光从水射向空气时，同时发生反射、折射。图中已作出法线，根据光的反射定律，反射光线与入射光线分居法线两侧，且反射角等于入射角，作出入射光线；根据光的折射规律，折射光线与入射光线分居法线、界面两侧，且折射角大于入射角，作出折射光线，如图所示：</x:v>
      </x:c>
      <x:c r="N939" s="63" t="str">
        <x:v>https://k12static.xdf.cn/k12/image/externalized/8b69d838-7327-4df9-8ef0-f45eed38cbc5.png</x:v>
      </x:c>
      <x:c r="O939" s="63" t="str">
        <x:v>https://k12static.xdf.cn/k12/image/externalized/d6bfb564-117a-468c-b958-49856d749bed.png</x:v>
      </x:c>
      <x:c r="P939" s="63" t="str">
        <x:v>1-2步</x:v>
      </x:c>
      <x:c r="Q939" s="63" t="str">
        <x:v>光学声学综合</x:v>
      </x:c>
      <x:c r="R939" s="63" t="str">
        <x:v>单状态</x:v>
      </x:c>
      <x:c r="S939" s="63" t="str">
        <x:v>无约束</x:v>
      </x:c>
      <x:c r="T939" s="63" t="str">
        <x:v>无</x:v>
      </x:c>
      <x:c r="U939" s="63" t="str">
        <x:v>无</x:v>
      </x:c>
      <x:c r="V939" s="63" t="str">
        <x:v>简单因果推理</x:v>
      </x:c>
    </x:row>
    <x:row r="940">
      <x:c r="A940" s="64" t="str">
        <x:v>​3078753264091561984</x:v>
      </x:c>
      <x:c r="B940" s="65" t="str">
        <x:v>中等题</x:v>
      </x:c>
      <x:c r="C940" s="65" t="str">
        <x:v>中等题</x:v>
      </x:c>
      <x:c r="D940" s="65" t="str">
        <x:v>中等题</x:v>
      </x:c>
      <x:c r="E940" s="65" t="str">
        <x:v>保留原GPT裁定</x:v>
      </x:c>
      <x:c r="F940" s="65" t="str">
        <x:v>高</x:v>
      </x:c>
      <x:c r="G940" s="65" t="str">
        <x:v>中等题</x:v>
      </x:c>
      <x:c r="H940" s="65" t="str">
        <x:v>中等题</x:v>
      </x:c>
      <x:c r="I940" s="65" t="str">
        <x:v>题干、解析与结构证据支持中等题：step=3-5步，题型=跨模块综合，状态=单状态，约束=无约束，推理=多层因果推理。教师、盲评和多次模型证据中未形成足以推翻原裁定的同向结构证据。</x:v>
      </x:c>
      <x:c r="J940" s="65" t="str">
        <x:v>未进入三次错题并集；逐题结构一致性复核</x:v>
      </x:c>
      <x:c r="K940" s="63" t="str">
        <x:v>如图甲所示的某品牌插秧机安装了北斗导航，可实现24小时无人值守自动作业。该插秧机使用四冲程汽油机，图乙中汽油机处于 冲程。如果该汽油机飞轮的转速是60r/s,则汽油机每秒钟对外做功 次。汽油属于 （选填“可再生”或“不可再生”）能源，某段时间插秧机消耗汽油0.21kg,汽油完全燃烧放出的热量是 J；若这些热量完全被46kg初温15℃的水吸收，则水温升高 ℃。[q汽油=4.6×107J/kg,c水=4.2×103J/（kg•℃）]</x:v>
      </x:c>
      <x:c r="L940" s="63" t="str"/>
      <x:c r="M940" s="63" t="str">
        <x:v>解：（1）由图乙可知，进气门和排气门都关闭，活塞向上运动，由此可知此冲程是压缩冲程； 由于飞轮转速是60r/s,根据汽油机每个工作循环，完成4个冲程，飞轮转动2圈，做功1次，由此可知汽油机每秒钟对外做功30次； （2）汽油属于化石能源，在短时间内不可再生，因此是不可再生能源； （3）汽油完全燃烧放出的热量Q放=m汽油q汽油=0.21kg×4.6×107J/kg=9.66×106J， 水吸收的热量Q吸=Q放=9.66×106J， 由Q吸=cmΔt可知， 水升高的温度Δt=$\frac{{Q}_{吸}}{{c}_{水}{m}_{水}}$=$\frac{9.66×1{0}^{6}J}{4.2×1{0}^{3}J/(kg\bullet ℃)×46kg}$=50℃， 故答案为：压缩；30；不可再生；9.66×106；50。</x:v>
      </x:c>
      <x:c r="N940" s="63" t="str">
        <x:v>https://k12static.xdf.cn/k12/image/externalized/78a0c942-de7b-4d90-ab45-e753c167103c.png</x:v>
      </x:c>
      <x:c r="O940" s="63" t="str">
        <x:v>https://k12static.xdf.cn/k12/image/externalized/0b0c44ee-ee96-43c2-810d-342521a8159a.png</x:v>
      </x:c>
      <x:c r="P940" s="63" t="str">
        <x:v>3-5步</x:v>
      </x:c>
      <x:c r="Q940" s="63" t="str">
        <x:v>跨模块综合</x:v>
      </x:c>
      <x:c r="R940" s="63" t="str">
        <x:v>单状态</x:v>
      </x:c>
      <x:c r="S940" s="63" t="str">
        <x:v>无约束</x:v>
      </x:c>
      <x:c r="T940" s="63" t="str">
        <x:v>无</x:v>
      </x:c>
      <x:c r="U940" s="63" t="str">
        <x:v>无</x:v>
      </x:c>
      <x:c r="V940" s="63" t="str">
        <x:v>多层因果推理</x:v>
      </x:c>
    </x:row>
    <x:row r="941">
      <x:c r="A941" s="64" t="str">
        <x:v>​3083447240881188864</x:v>
      </x:c>
      <x:c r="B941" s="65" t="str">
        <x:v>送分题</x:v>
      </x:c>
      <x:c r="C941" s="65" t="str">
        <x:v>送分题</x:v>
      </x:c>
      <x:c r="D941" s="65" t="str">
        <x:v>送分题</x:v>
      </x:c>
      <x:c r="E941" s="65" t="str">
        <x:v>保留原GPT裁定</x:v>
      </x:c>
      <x:c r="F941" s="65" t="str">
        <x:v>高</x:v>
      </x:c>
      <x:c r="G941" s="65" t="str">
        <x:v>送分题</x:v>
      </x:c>
      <x:c r="H941" s="65" t="str">
        <x:v>送分题</x:v>
      </x:c>
      <x:c r="I941" s="65" t="str">
        <x:v>题干、解析与结构证据支持送分题：step=1-2步，题型=概念判断，状态=单状态，约束=无约束，推理=直接套用。教师、盲评和多次模型证据中未形成足以推翻原裁定的同向结构证据。</x:v>
      </x:c>
      <x:c r="J941" s="65" t="str">
        <x:v>未进入三次错题并集；逐题结构一致性复核</x:v>
      </x:c>
      <x:c r="K941" s="63" t="str">
        <x:v>如图所示，风云三号G星搭载了我国首套“空中雨量计”测量雷达，通过向大气发射无线信号来接受大气信息，该无线信号是（ ）</x:v>
      </x:c>
      <x:c r="L941" s="63" t="str">
        <x:v>A. 红外线 B. 电磁波 C. 超声波 D. 次声波</x:v>
      </x:c>
      <x:c r="M941" s="63" t="str">
        <x:v>电磁波可以在真空中传播，并且传播速度快，能够携带大量的信息。风云三号G星在太空中运行，需要向大气发射无线信号来接收大气信息，电磁波具有远距离传输、抗干扰能力强等优点，非常适合用于卫星与大气之间的信息交互。故B符合题意，ACD不符合题意。故选B。</x:v>
      </x:c>
      <x:c r="N941" s="63" t="str">
        <x:v>https://k12static.xdf.cn/k12/image/externalized/d9823277-53da-48a9-8e56-f9d90530a79e.png</x:v>
      </x:c>
      <x:c r="O941" s="63" t="str">
        <x:v>https://k12static.xdf.cn/k12/image/externalized/3460f170-1ad6-4c83-a1e9-3777c8a3aa9f.png</x:v>
      </x:c>
      <x:c r="P941" s="63" t="str">
        <x:v>1-2步</x:v>
      </x:c>
      <x:c r="Q941" s="63" t="str">
        <x:v>概念判断</x:v>
      </x:c>
      <x:c r="R941" s="63" t="str">
        <x:v>单状态</x:v>
      </x:c>
      <x:c r="S941" s="63" t="str">
        <x:v>无约束</x:v>
      </x:c>
      <x:c r="T941" s="63" t="str">
        <x:v>无</x:v>
      </x:c>
      <x:c r="U941" s="63" t="str">
        <x:v>无</x:v>
      </x:c>
      <x:c r="V941" s="63" t="str">
        <x:v>直接套用</x:v>
      </x:c>
    </x:row>
    <x:row r="942">
      <x:c r="A942" s="64" t="str">
        <x:v>​3086996400087601152</x:v>
      </x:c>
      <x:c r="B942" s="65" t="str">
        <x:v>基础题</x:v>
      </x:c>
      <x:c r="C942" s="65" t="str">
        <x:v>基础题</x:v>
      </x:c>
      <x:c r="D942" s="65" t="str">
        <x:v>基础题</x:v>
      </x:c>
      <x:c r="E942" s="65" t="str">
        <x:v>保留原GPT裁定</x:v>
      </x:c>
      <x:c r="F942" s="65" t="str">
        <x:v>高</x:v>
      </x:c>
      <x:c r="G942" s="65" t="str">
        <x:v>基础题</x:v>
      </x:c>
      <x:c r="H942" s="65" t="str">
        <x:v>基础题</x:v>
      </x:c>
      <x:c r="I942" s="65" t="str">
        <x:v>题干、解析与结构证据支持基础题：step=1-2步，题型=光学声学综合，状态=单状态，约束=无约束，推理=简单因果推理。教师、盲评和多次模型证据中未形成足以推翻原裁定的同向结构证据。</x:v>
      </x:c>
      <x:c r="J942" s="65" t="str">
        <x:v>未进入三次错题并集；逐题结构一致性复核</x:v>
      </x:c>
      <x:c r="K942" s="63" t="str">
        <x:v>以铜为镜，可以正衣冠。如图是小雅对着镜子整理帽子的简化图，请画出小雅通过镜子看到帽子上方A点的光路图。</x:v>
      </x:c>
      <x:c r="L942" s="63" t="str"/>
      <x:c r="M942" s="63" t="str">
        <x:v>解：先作出点A关于平面镜的对称点A′，即为A的像；连接A′、眼睛交平面镜于点O，O为入射点，连接AO即为入射光线，O、眼睛为反射光线；如图所示：</x:v>
      </x:c>
      <x:c r="N942" s="63" t="str">
        <x:v>https://k12static.xdf.cn/k12/image/externalized/7e41211d-b826-4977-8cd9-455bf7a3f164.png</x:v>
      </x:c>
      <x:c r="O942" s="63" t="str">
        <x:v>https://k12static.xdf.cn/k12/image/externalized/2629a3a1-cfec-47a2-a4fa-c0a8f5b119c9.png</x:v>
      </x:c>
      <x:c r="P942" s="63" t="str">
        <x:v>1-2步</x:v>
      </x:c>
      <x:c r="Q942" s="63" t="str">
        <x:v>光学声学综合</x:v>
      </x:c>
      <x:c r="R942" s="63" t="str">
        <x:v>单状态</x:v>
      </x:c>
      <x:c r="S942" s="63" t="str">
        <x:v>无约束</x:v>
      </x:c>
      <x:c r="T942" s="63" t="str">
        <x:v>无</x:v>
      </x:c>
      <x:c r="U942" s="63" t="str">
        <x:v>无</x:v>
      </x:c>
      <x:c r="V942" s="63" t="str">
        <x:v>简单因果推理</x:v>
      </x:c>
    </x:row>
    <x:row r="943">
      <x:c r="A943" s="64" t="str">
        <x:v>​3087039180227223552</x:v>
      </x:c>
      <x:c r="B943" s="65" t="str">
        <x:v>中等题</x:v>
      </x:c>
      <x:c r="C943" s="65" t="str">
        <x:v>中等题</x:v>
      </x:c>
      <x:c r="D943" s="65" t="str">
        <x:v>中等题</x:v>
      </x:c>
      <x:c r="E943" s="65" t="str">
        <x:v>保留原GPT裁定</x:v>
      </x:c>
      <x:c r="F943" s="65" t="str">
        <x:v>高</x:v>
      </x:c>
      <x:c r="G943" s="65" t="str">
        <x:v>中等题</x:v>
      </x:c>
      <x:c r="H943" s="65" t="str">
        <x:v>中等题</x:v>
      </x:c>
      <x:c r="I943" s="65" t="str">
        <x:v>题干、解析与结构证据支持中等题：step=3-5步，题型=图像表格分析，状态=双状态，约束=单一约束，推理=多层因果推理。教师、盲评和多次模型证据中未形成足以推翻原裁定的同向结构证据。</x:v>
      </x:c>
      <x:c r="J943" s="65" t="str">
        <x:v>未进入三次错题并集；逐题结构一致性复核</x:v>
      </x:c>
      <x:c r="K943" s="63" t="str">
        <x:v>在测量液体密度（ρ）时，用相同的容器分别装入两种不同种类的液体，测量了各自的容器和液体的总质量（m）与液体体积（V），共测了三组数据，并描点在m-V坐标系中，如图所示。根据图象可知（ ）</x:v>
      </x:c>
      <x:c r="L943" s="63" t="str">
        <x:v>A. B、C点对应液体是相同种类 B. B点对应液体的密度为3g/cm3 C. 容器的质量为10g D. A点对应液体的密度为2g/cm3</x:v>
      </x:c>
      <x:c r="M943" s="63" t="str">
        <x:v>解： AC、相同的容器分别装入两种不同种类的液体，测量了三组数据，由图知连接B、C，直线交m轴于20g的点，说明B、C是同种液体，容器质量为20g,故A正确，C错误； BD、B、C液体的密度为： ρB=ρC=$\frac{m}{V}$=$\frac{50g-20g}{30c{m}^{3}}$=1g/cm3； A液体的密度为： ρA=$\frac{m′}{V′}$=$\frac{60g-20g}{20c{m}^{3}}$=2g/cm3，故B错误，D正确。 故选：AD。</x:v>
      </x:c>
      <x:c r="N943" s="63" t="str">
        <x:v>https://k12static.xdf.cn/k12/image/externalized/4ab1ff0f-590a-48cc-b221-fe70f10de889.png</x:v>
      </x:c>
      <x:c r="O943" s="63" t="str">
        <x:v>https://k12static.xdf.cn/k12/image/externalized/4051e865-18c4-403e-b8c5-4486c41755f6.png</x:v>
      </x:c>
      <x:c r="P943" s="63" t="str">
        <x:v>3-5步</x:v>
      </x:c>
      <x:c r="Q943" s="63" t="str">
        <x:v>图像表格分析</x:v>
      </x:c>
      <x:c r="R943" s="63" t="str">
        <x:v>双状态</x:v>
      </x:c>
      <x:c r="S943" s="63" t="str">
        <x:v>单一约束</x:v>
      </x:c>
      <x:c r="T943" s="63" t="str">
        <x:v>无</x:v>
      </x:c>
      <x:c r="U943" s="63" t="str">
        <x:v>图像反推或外推</x:v>
      </x:c>
      <x:c r="V943" s="63" t="str">
        <x:v>多层因果推理</x:v>
      </x:c>
    </x:row>
    <x:row r="944">
      <x:c r="A944" s="64" t="str">
        <x:v>​3089339566856085504</x:v>
      </x:c>
      <x:c r="B944" s="65" t="str">
        <x:v>送分题</x:v>
      </x:c>
      <x:c r="C944" s="65" t="str">
        <x:v>送分题</x:v>
      </x:c>
      <x:c r="D944" s="65" t="str">
        <x:v>送分题</x:v>
      </x:c>
      <x:c r="E944" s="65" t="str">
        <x:v>逐题复核后保留GPT裁定</x:v>
      </x:c>
      <x:c r="F944" s="65" t="str">
        <x:v>高</x:v>
      </x:c>
      <x:c r="G944" s="65" t="str">
        <x:v>送分题</x:v>
      </x:c>
      <x:c r="H944" s="65" t="str">
        <x:v>送分题</x:v>
      </x:c>
      <x:c r="I944" s="65" t="str">
        <x:v>只需识别一个熟悉教材模板，没有第二次物理决策。 题目证据：最长连续链仅1步有效物理决策，五维锚定送分档：知识量为单一基础知识点，过程为单状态无过程拆解，无数学运算，情境为常见生活声学现象，思维层次为直接识别。任务为单一概念辨析，不需要多步推理或规律选择。</x:v>
      </x:c>
      <x:c r="J944" s="65" t="str">
        <x:v>三次运行错题并集逐题复核</x:v>
      </x:c>
      <x:c r="K944" s="63" t="str">
        <x:v>在敲响大钟时有同学发现，停止对大钟的撞击，后大钟“余音不止”，其原因是（ ）</x:v>
      </x:c>
      <x:c r="L944" s="63" t="str">
        <x:v>A. 大钟仍在振动 B. 大钟的回声 C. 人的听觉发生“延时” D. 大钟虽已停止，但空气仍在振动</x:v>
      </x:c>
      <x:c r="M944" s="63" t="str">
        <x:v>解：敲击大钟后，大钟振动发出声音，但敲击停止后，大钟的振动却没有停止，所以会有“余音不止”。 故选：A。</x:v>
      </x:c>
      <x:c r="N944" s="63" t="str">
        <x:v>https://k12static.xdf.cn/k12/image/externalized/f5037052-8bb9-48e7-89c4-b16dd8521da5.png</x:v>
      </x:c>
      <x:c r="O944" s="63" t="str">
        <x:v>https://k12static.xdf.cn/k12/image/externalized/3aa79721-0c3e-452e-b217-dcbcc7712f8b.png</x:v>
      </x:c>
      <x:c r="P944" s="63" t="str">
        <x:v>1-2步</x:v>
      </x:c>
      <x:c r="Q944" s="63" t="str">
        <x:v>概念判断</x:v>
      </x:c>
      <x:c r="R944" s="63" t="str">
        <x:v>单状态</x:v>
      </x:c>
      <x:c r="S944" s="63" t="str">
        <x:v>无约束</x:v>
      </x:c>
      <x:c r="T944" s="63" t="str">
        <x:v>无</x:v>
      </x:c>
      <x:c r="U944" s="63" t="str">
        <x:v>无</x:v>
      </x:c>
      <x:c r="V944" s="63" t="str">
        <x:v>直接套用</x:v>
      </x:c>
    </x:row>
    <x:row r="945">
      <x:c r="A945" s="64" t="str">
        <x:v>​3089497706747985920</x:v>
      </x:c>
      <x:c r="B945" s="65" t="str">
        <x:v>压轴题</x:v>
      </x:c>
      <x:c r="C945" s="65" t="str">
        <x:v>压轴题</x:v>
      </x:c>
      <x:c r="D945" s="65" t="str">
        <x:v>压轴题</x:v>
      </x:c>
      <x:c r="E945" s="65" t="str">
        <x:v>保留原GPT裁定</x:v>
      </x:c>
      <x:c r="F945" s="65" t="str">
        <x:v>高</x:v>
      </x:c>
      <x:c r="G945" s="65" t="str">
        <x:v>压轴题</x:v>
      </x:c>
      <x:c r="H945" s="65" t="str">
        <x:v>压轴题</x:v>
      </x:c>
      <x:c r="I945" s="65" t="str">
        <x:v>题干、解析与结构证据支持压轴题：step=9-12步，题型=电路综合，状态=多状态，约束=多约束，推理=逆向推理或临界分析。教师、盲评和多次模型证据中未形成足以推翻原裁定的同向结构证据。</x:v>
      </x:c>
      <x:c r="J945" s="65" t="str">
        <x:v>未进入三次错题并集；逐题结构一致性复核</x:v>
      </x:c>
      <x:c r="K945" s="63" t="str">
        <x:v>如图甲所示电路中，L1和L2的额定电压分别为 6V和3V，通过L1的电流随电压变化的关系图像如图乙所示，滑动变阻器最大阻值为 30Ω。同时闭合S1、S2，断开S3，将滑片P置于最左端，调节电源电压使其中一只灯泡正常发光（不损坏另一只灯泡）时，用电器消耗的总功率为 4.2W。求：（1）L1正常发光时的电阻；（2）L2正常发光时通过的电流；（3）只闭合一个开关，确保一只灯泡正常发光时（不损坏另一只灯泡），电源电压可调节的最大值和最小值之比。</x:v>
      </x:c>
      <x:c r="L945" s="63" t="str"/>
      <x:c r="M945" s="63" t="str">
        <x:v>解：(1)由乙图可知，L1正常发光，U1=6V时，I1=1.0A，L1正常发光时的电阻${{R}_{1}}=\dfrac{{{U}_{1}}}{{{I}_{1}}}=\dfrac{\text{6V}}{\text{1}\text{.0A}}\text{=6 }\!\!\Omega\!\!\text{ }$(2)同时闭合 S1、S2，断开 S3，滑片P置于最左端时，L1与L2并联.调节电源电压，由题意得，L2正常发光，此时电源电压U=U2=3V通过电路的总电流${{I}_{总}}=\dfrac{{{P}_{总}}}{U}=\dfrac{4.2\text{W}}{3\text{V}}=1.4\text{A}$当U=3V时，由乙图可知，通过L1的电流I1′=0.7A，L2正常发光通过的电流${{I}_{2}}={{I}_{总}}\text{-}{{I}_{1}}^{\prime }=\text{1}\text{.4A-0}\text{.7A=0}\text{.7A}$(3)当只闭合S2，滑片P置于最左端时，电路中只有L2，调节电源电压，使L2正常发光时，可调电源电压最小，最小电源电压Umin=U2=3V当只闭合 S1，滑片P置于最右端时，L1与滑动变阻器串联，调节电源电压，使L1正常发光时，可调电源电压最大。 L1正常发光，通过电流I1=1.0A，则R两端电压${{U}_{\text{R}}}\text{=}{{I}_{1}}R=1.0\text{A}\times 30\text{ }\!\!\Omega\!\!\text{ =30V}$电源电压${{U}_{{{\text{S}}_{\text{1}}}}}={{U}_{\text{R}}}+{{U}_{1}}=30\text{V}+6\text{V}=36\text{V}$当只闭合S2，滑片P置于最右端时，L2与滑动变阻器串联，调节电源电压，使L2正常发光时，可调电源电压最大。L2正常发光，通过电流I2=0.7A，电源电压${{U}_{{{\text{S}}_{\text{2}}}}}={{U}_{{{\text{R}}_{\text{2}}}}}+{{U}_{2}}={{I}_{2}}R+{{U}_{2}}=0.7\text{A}\times 30\text{V}+3\text{V}=24\text{V}$当只闭合S3，滑片P置于最右端时，L1、L2与滑动变阻器串联，调节电源电压，使L2正常发光时，可调电源电压最大。L2正常发光，通过电流 I2=0.7A，由图可知${{U}_{1}}^{\prime }$=3V，电源电压${{U}_{{{\text{S}}_{\text{3}}}}}={{U}_{{{\text{R}}_{\text{3}}}}}+{{U}_{2}}={{I}_{2}}R+{{U}_{2}}+{{U}_{1}}^{\prime }=0.7\text{A}\times 30\text{V}+3\text{V}+3\text{V}=27\text{V}$由计算可知最大电源电压${{U}_{\max }}={{U}_{{{\text{S}}_{\text{1}}}}}=36\text{V}$电源电压可调节的最大值和最小值之比${{U}_{\max }}:{{U}_{\min }}=36\text{V}:3\text{V}=12:1$答：(1)L1正常发光时的电阻是6Ω；(2)L2正常发光时通过的电流是0.7A；(3)只闭合一个开关，确保一只灯泡正常发光时（不损坏另一只灯泡），电源电压可调节的最大值和最小值之比是12∶1。</x:v>
      </x:c>
      <x:c r="N945" s="63" t="str">
        <x:v>https://k12static.xdf.cn/k12/image/externalized/3298c4eb-5acf-4295-b65f-f05a57f61fc9.png</x:v>
      </x:c>
      <x:c r="O945" s="63" t="str">
        <x:v>https://k12static.xdf.cn/k12/image/externalized/b8d33b2c-6437-4d39-822e-38d88b2b6c09.png</x:v>
      </x:c>
      <x:c r="P945" s="63" t="str">
        <x:v>9-12步</x:v>
      </x:c>
      <x:c r="Q945" s="63" t="str">
        <x:v>电路综合</x:v>
      </x:c>
      <x:c r="R945" s="63" t="str">
        <x:v>多状态</x:v>
      </x:c>
      <x:c r="S945" s="63" t="str">
        <x:v>多约束</x:v>
      </x:c>
      <x:c r="T945" s="63" t="str">
        <x:v>无</x:v>
      </x:c>
      <x:c r="U945" s="63" t="str">
        <x:v>图像反推或外推</x:v>
      </x:c>
      <x:c r="V945" s="63" t="str">
        <x:v>逆向推理或临界分析</x:v>
      </x:c>
    </x:row>
    <x:row r="946">
      <x:c r="A946" s="64" t="str">
        <x:v>​3096404788920537088</x:v>
      </x:c>
      <x:c r="B946" s="65" t="str">
        <x:v>中等题</x:v>
      </x:c>
      <x:c r="C946" s="65" t="str">
        <x:v>中等题</x:v>
      </x:c>
      <x:c r="D946" s="65" t="str">
        <x:v>中等题</x:v>
      </x:c>
      <x:c r="E946" s="65" t="str">
        <x:v>保留原GPT裁定</x:v>
      </x:c>
      <x:c r="F946" s="65" t="str">
        <x:v>高</x:v>
      </x:c>
      <x:c r="G946" s="65" t="str">
        <x:v>中等题</x:v>
      </x:c>
      <x:c r="H946" s="65" t="str">
        <x:v>中等题</x:v>
      </x:c>
      <x:c r="I946" s="65" t="str">
        <x:v>题干、解析与结构证据支持中等题：step=3-5步，题型=力学综合，状态=单状态，约束=无约束，推理=多层因果推理。教师、盲评和多次模型证据中未形成足以推翻原裁定的同向结构证据。</x:v>
      </x:c>
      <x:c r="J946" s="65" t="str">
        <x:v>未进入三次错题并集；逐题结构一致性复核</x:v>
      </x:c>
      <x:c r="K946" s="63" t="str">
        <x:v>在汽车行驶的正前方有一座山，汽车以36km/h的速度匀速行驶，汽车鸣笛，经3s后，司机听到回声，求：</x:v>
      </x:c>
      <x:c r="L946" s="63" t="str"/>
      <x:c r="M946" s="63" t="str"/>
      <x:c r="N946" s="63" t="str">
        <x:v>https://k12static.xdf.cn/k12/image/externalized/a840b0a0-12e2-420d-97ec-4cd9a8eccfd6.png</x:v>
      </x:c>
      <x:c r="O946" s="63" t="str">
        <x:v>https://k12static.xdf.cn/k12/image/externalized/fccd8c16-ccec-438e-a0fa-abebcde3a6e3.png</x:v>
      </x:c>
      <x:c r="P946" s="63" t="str">
        <x:v>3-5步</x:v>
      </x:c>
      <x:c r="Q946" s="63" t="str">
        <x:v>力学综合</x:v>
      </x:c>
      <x:c r="R946" s="63" t="str">
        <x:v>单状态</x:v>
      </x:c>
      <x:c r="S946" s="63" t="str">
        <x:v>无约束</x:v>
      </x:c>
      <x:c r="T946" s="63" t="str">
        <x:v>无</x:v>
      </x:c>
      <x:c r="U946" s="63" t="str">
        <x:v>无</x:v>
      </x:c>
      <x:c r="V946" s="63" t="str">
        <x:v>多层因果推理</x:v>
      </x:c>
    </x:row>
    <x:row r="947">
      <x:c r="A947" s="64" t="str">
        <x:v>​3103935281463832576</x:v>
      </x:c>
      <x:c r="B947" s="65" t="str">
        <x:v>中等题</x:v>
      </x:c>
      <x:c r="C947" s="65" t="str">
        <x:v>中等题</x:v>
      </x:c>
      <x:c r="D947" s="65" t="str">
        <x:v>中等题</x:v>
      </x:c>
      <x:c r="E947" s="65" t="str">
        <x:v>逐题复核后保留GPT裁定</x:v>
      </x:c>
      <x:c r="F947" s="65" t="str">
        <x:v>高</x:v>
      </x:c>
      <x:c r="G947" s="65" t="str">
        <x:v>中等题</x:v>
      </x:c>
      <x:c r="H947" s="65" t="str">
        <x:v>中等题</x:v>
      </x:c>
      <x:c r="I947" s="65" t="str">
        <x:v>存在约3—4步常规连续分析、共享过程或完整标准实验任务，关系仍显性。 题目证据：最高难选项实际有效推理约3步，五维锚定落在基础到中等区间，题目围绕浮力、密度、压强知识点对四个选项分别分析，每个选项需要结合彩球温度计的工作原理完成1-2次因果推理。</x:v>
      </x:c>
      <x:c r="J947" s="65" t="str">
        <x:v>三次运行错题并集逐题复核</x:v>
      </x:c>
      <x:c r="K947" s="63" t="str">
        <x:v>“彩球温度计”由质量不同的小球（体积相同且不变）和密度随温度降低而增大的液体组成，温度降低时最后浮起的小球上标记的温度近似为外界的气温．当小球处于如图所示位置，下列说法正确的是（ ）</x:v>
      </x:c>
      <x:c r="L947" s="63" t="str">
        <x:v>A. B球密度等于C球密度 B. B球与D球所受浮力大小相等 C. 若温度升高，C球所受浮力变大 D. 若温度降低，“彩球温度计”对桌面压强变大</x:v>
      </x:c>
      <x:c r="M947" s="63" t="str">
        <x:v>A．当外界温度降低时，液体的密度变大，当液体密度大于小球密度时，小球就上浮，按小球上浮的先后顺序，先上浮的小球密度较小，后上浮的小球密度较大，所以B球的密度小于C球的密度，故A错误；B．B球与D球的体积相同，此时都是浸没在液体中，所以排开液体的体积相同，液体的密度相同，故B球和D球受到的浮力大小相等，故B正确；C．温度升高，液体的密度减小，此时C球所受的浮力变小，故C错误；D．温度计对桌面的压力大小等于温度计的重力大小，温度降低重力大小不变，故对桌面压力大小不变，受力面积也不变，故对桌面的压强大小不变，故D错误。故选B。</x:v>
      </x:c>
      <x:c r="N947" s="63" t="str">
        <x:v>https://k12static.xdf.cn/k12/image/externalized/d7dd0dfb-2e31-48e6-aee5-4121df7fbe3f.png</x:v>
      </x:c>
      <x:c r="O947" s="63" t="str">
        <x:v>https://k12static.xdf.cn/k12/image/externalized/2af978a3-92ca-4f32-84ac-7862b2502615.png</x:v>
      </x:c>
      <x:c r="P947" s="63" t="str">
        <x:v>1-2步</x:v>
      </x:c>
      <x:c r="Q947" s="63" t="str">
        <x:v>概念判断</x:v>
      </x:c>
      <x:c r="R947" s="63" t="str">
        <x:v>单状态</x:v>
      </x:c>
      <x:c r="S947" s="63" t="str">
        <x:v>无约束</x:v>
      </x:c>
      <x:c r="T947" s="63" t="str">
        <x:v>无</x:v>
      </x:c>
      <x:c r="U947" s="63" t="str">
        <x:v>无</x:v>
      </x:c>
      <x:c r="V947" s="63" t="str">
        <x:v>多层因果推理</x:v>
      </x:c>
    </x:row>
    <x:row r="948">
      <x:c r="A948" s="64" t="str">
        <x:v>​3105603945309196288</x:v>
      </x:c>
      <x:c r="B948" s="65" t="str">
        <x:v>中等题</x:v>
      </x:c>
      <x:c r="C948" s="65" t="str">
        <x:v>中等题</x:v>
      </x:c>
      <x:c r="D948" s="65" t="str">
        <x:v>中等题</x:v>
      </x:c>
      <x:c r="E948" s="65" t="str">
        <x:v>逐题复核后保留GPT裁定</x:v>
      </x:c>
      <x:c r="F948" s="65" t="str">
        <x:v>高</x:v>
      </x:c>
      <x:c r="G948" s="65" t="str">
        <x:v>中等题</x:v>
      </x:c>
      <x:c r="H948" s="65" t="str">
        <x:v>中等题</x:v>
      </x:c>
      <x:c r="I948" s="65" t="str">
        <x:v>存在约3—4步常规连续分析、共享过程或完整标准实验任务，关系仍显性。 题目证据：最高难选项实际有效推理为1步因果分析，整题围绕四个不同测量操作的误差方向展开辨析，每个选项都需要完成操作→物理变化→结果偏差方向的完整逻辑推导，属于多个独立但完整的误差分析任务。五维中知识量覆盖四个不同实验操作的误差分析，思维层次达到多层因果推理，过程/对象均为单操作单状态，无复杂计算与建模。</x:v>
      </x:c>
      <x:c r="J948" s="65" t="str">
        <x:v>三次运行错题并集逐题复核</x:v>
      </x:c>
      <x:c r="K948" s="63" t="str">
        <x:v>在物理测量中，由于操作不当引起的结果错误时有发生，小虎同学为了规避这些问题，做了一个总结。请你帮他检查一下，选出判断正确的是（ ）选项具体操作测量结果A排水法测石块体积，先浸没石块读数，再取出石块读数，两者相减偏大B在将水加热至沸腾时，用温度计测量沸水的温度时，温度计接触到了烧杯底部偏大C用体温计测量口腔温度，将体温计拿离口腔读数偏小D用拉得很紧的皮卷尺去测量某同学的跳远距离偏小</x:v>
      </x:c>
      <x:c r="L948" s="63" t="str">
        <x:v>A. A B. B C. C D. D</x:v>
      </x:c>
      <x:c r="M948" s="63" t="str">
        <x:v>A．排水法测石块体积时，先浸没石块读数，再取出石块读数，由于石块取出时会带出一部分水，导致第二次读数偏小，两者相减得出的石块体积就会偏大，故A正确；B．用温度计测量沸水温度时，温度计接触到烧杯底部，因为烧杯底部受酒精灯加热，温度高于水的沸点，所以会使测量结果偏大，故B正确；C．体温计的特殊构造使得它在离开人体后，水银柱不会下降，仍能保持原来的示数，所以用体温计测量口腔温度，将体温计拿离口腔读数，测量结果不会偏小，故C错误；D．用拉得很紧的皮卷尺去测量某同学的跳远距离，皮卷尺被拉长，刻度间的距离变大，测量出的长度就会比实际长度偏小，故D正确。故选ABD。</x:v>
      </x:c>
      <x:c r="N948" s="63" t="str">
        <x:v>https://k12static.xdf.cn/k12/image/externalized/8469954b-1c53-485f-acf6-25fe934e0912.png</x:v>
      </x:c>
      <x:c r="O948" s="63" t="str">
        <x:v>https://k12static.xdf.cn/k12/image/externalized/0879f929-f333-407c-b975-0b05e3310604.png</x:v>
      </x:c>
      <x:c r="P948" s="63" t="str">
        <x:v>1-2步</x:v>
      </x:c>
      <x:c r="Q948" s="63" t="str">
        <x:v>概念判断</x:v>
      </x:c>
      <x:c r="R948" s="63" t="str">
        <x:v>单状态</x:v>
      </x:c>
      <x:c r="S948" s="63" t="str">
        <x:v>无约束</x:v>
      </x:c>
      <x:c r="T948" s="63" t="str">
        <x:v>误差评价</x:v>
      </x:c>
      <x:c r="U948" s="63" t="str">
        <x:v>无</x:v>
      </x:c>
      <x:c r="V948" s="63" t="str">
        <x:v>多层因果推理</x:v>
      </x:c>
    </x:row>
    <x:row r="949">
      <x:c r="A949" s="64" t="str">
        <x:v>​3106518011410132992</x:v>
      </x:c>
      <x:c r="B949" s="65" t="str">
        <x:v>中等题</x:v>
      </x:c>
      <x:c r="C949" s="65" t="str">
        <x:v>中等题</x:v>
      </x:c>
      <x:c r="D949" s="65" t="str">
        <x:v>中等题</x:v>
      </x:c>
      <x:c r="E949" s="65" t="str">
        <x:v>逐题复核后保留GPT裁定</x:v>
      </x:c>
      <x:c r="F949" s="65" t="str">
        <x:v>高</x:v>
      </x:c>
      <x:c r="G949" s="65" t="str">
        <x:v>中等题</x:v>
      </x:c>
      <x:c r="H949" s="65" t="str">
        <x:v>中等题</x:v>
      </x:c>
      <x:c r="I949" s="65" t="str">
        <x:v>需要围绕教材概念与常规物理关系完成常规的3—4个有效决策，或完成一套完整标准实验/共享过程分析。关系仍显性、方法常规，没有决定性隐含转换、复杂边界筛选或多状态强耦合。</x:v>
      </x:c>
      <x:c r="J949" s="65" t="str">
        <x:v>三次运行错题并集逐题复核</x:v>
      </x:c>
      <x:c r="K949" s="63" t="str">
        <x:v>如图所示，光滑水平桌面上的弹性小球被弹出后经过A、B点，落到地面C点后多次被弹起，图中虚线为小球部分运动轨迹，第一次被弹起后运动至D点（图中未画出）开始下落。若不计空气阻力，下列说法正确的是（ ）</x:v>
      </x:c>
      <x:c r="L949" s="63" t="str">
        <x:v>A. D点可能高于B点 B. 小球在B点时受力平衡 C. 小球在A点时的机械能大于在B点时的机械能 D. 若小球在D点时受到的力全部消失，将保持静止</x:v>
      </x:c>
      <x:c r="M949" s="63" t="str">
        <x:v>A．不计空气阻力，弹性小球运动过程中，机械能守恒，则D点与B点等高，故A错误；B．光滑水平桌面上，小球不受摩擦力作用，小球在B点受重力与支持力的作用，此时小球受到的合力为0，则小球在B点时受力平衡，故B正确；C．小球从A点到B点受平衡力作用，小球的机械能不变，则小球在A点时的机械能等于在B点时的机械能，故C错误；D．若小球在D点时受到的力全部消失，由于小球在D点有水平方向的速度，则小球在D点将保匀速直线运动，故D错误。故选B。</x:v>
      </x:c>
      <x:c r="N949" s="63" t="str">
        <x:v>https://k12static.xdf.cn/k12/image/externalized/963f2b75-14a3-4fae-8087-44deec5cc581.png</x:v>
      </x:c>
      <x:c r="O949" s="63" t="str">
        <x:v>https://k12static.xdf.cn/k12/image/externalized/c1a81ff1-4db7-4761-8fcf-be6be4561d1f.png</x:v>
      </x:c>
      <x:c r="P949" s="63" t="str">
        <x:v>1-2步</x:v>
      </x:c>
      <x:c r="Q949" s="63" t="str">
        <x:v>概念判断</x:v>
      </x:c>
      <x:c r="R949" s="63" t="str">
        <x:v>单状态</x:v>
      </x:c>
      <x:c r="S949" s="63" t="str">
        <x:v>无约束</x:v>
      </x:c>
      <x:c r="T949" s="63" t="str">
        <x:v>无</x:v>
      </x:c>
      <x:c r="U949" s="63" t="str">
        <x:v>无</x:v>
      </x:c>
      <x:c r="V949" s="63" t="str">
        <x:v>简单因果推理</x:v>
      </x:c>
    </x:row>
    <x:row r="950">
      <x:c r="A950" s="64" t="str">
        <x:v>​3118556969622904832</x:v>
      </x:c>
      <x:c r="B950" s="65" t="str">
        <x:v>中等题</x:v>
      </x:c>
      <x:c r="C950" s="65" t="str">
        <x:v>中等题</x:v>
      </x:c>
      <x:c r="D950" s="65" t="str">
        <x:v>中等题</x:v>
      </x:c>
      <x:c r="E950" s="65" t="str">
        <x:v>保留原GPT裁定</x:v>
      </x:c>
      <x:c r="F950" s="65" t="str">
        <x:v>高</x:v>
      </x:c>
      <x:c r="G950" s="65" t="str">
        <x:v>中等题</x:v>
      </x:c>
      <x:c r="H950" s="65" t="str">
        <x:v>中等题</x:v>
      </x:c>
      <x:c r="I950" s="65" t="str">
        <x:v>题干、解析与结构证据支持中等题：step=1-2步，题型=实验探究，状态=单状态，约束=无约束，推理=多层因果推理。教师、盲评和多次模型证据中未形成足以推翻原裁定的同向结构证据。</x:v>
      </x:c>
      <x:c r="J950" s="65" t="str">
        <x:v>未进入三次错题并集；逐题结构一致性复核</x:v>
      </x:c>
      <x:c r="K950" s="63" t="str">
        <x:v>小侨要探究影响电阻大小的因素： （1）连接电路时开关应该 ；（2）小侨设计了甲、乙两种电路，如图，在M、N两点之间分别接入不同的导体进行测量，你认为哪种设计更合理 （选填“甲”或“乙”）；（3）实验中是通过 反映导体电阻大小的；（4）小侨选择更合理的方案进行实验，下表是她的实验数据记录表，为了研究电阻与材料的关系，应该比较次序 实验数据。次序材料长度/cm直径/mm电流/A1A镍铬合金600.360.222B镍铬合金600.510.243C康铜丝600.360.244D铁铬铝合金600.360.20</x:v>
      </x:c>
      <x:c r="L950" s="63" t="str"/>
      <x:c r="M950" s="63" t="str">
        <x:v>（1）[1]为了保护电路，连接电路时开关应该断开。（2）[2]图甲的电路中，灯泡和电流表串联，增大了电路电阻，使电路电流不至于太大，对电路起保护作用，另外，通过电流表示数的变化也可知电路电流的变化，所以甲图更合理；乙图没有保护电阻，容易烧毁电流表。（3）[3]实验中，电路中电阻的大小不能直接判断出来，可以通过比较电路中电流的大小来判断电阻的大小，即通过电流表的示数来判断导体电阻的大小。（4）[4]研究导体电阻与材料的关系，需保证电阻丝的长度和横截面积相同，材料不同，根据表中数据可知，应选1、3、4三次实验。</x:v>
      </x:c>
      <x:c r="N950" s="63" t="str">
        <x:v>https://k12static.xdf.cn/k12/image/externalized/221e483e-7b14-49fd-b22c-148e9b3a50c0.png</x:v>
      </x:c>
      <x:c r="O950" s="63" t="str">
        <x:v>https://k12static.xdf.cn/k12/image/externalized/20390e8a-b269-4751-829b-1f36bb328ad1.png</x:v>
      </x:c>
      <x:c r="P950" s="63" t="str">
        <x:v>1-2步</x:v>
      </x:c>
      <x:c r="Q950" s="63" t="str">
        <x:v>实验探究</x:v>
      </x:c>
      <x:c r="R950" s="63" t="str">
        <x:v>单状态</x:v>
      </x:c>
      <x:c r="S950" s="63" t="str">
        <x:v>无约束</x:v>
      </x:c>
      <x:c r="T950" s="63" t="str">
        <x:v>控制变量或故障分析</x:v>
      </x:c>
      <x:c r="U950" s="63" t="str">
        <x:v>多组比较归纳</x:v>
      </x:c>
      <x:c r="V950" s="63" t="str">
        <x:v>多层因果推理</x:v>
      </x:c>
    </x:row>
    <x:row r="951">
      <x:c r="A951" s="64" t="str">
        <x:v>​3119773121927741440</x:v>
      </x:c>
      <x:c r="B951" s="65" t="str">
        <x:v>拔高题</x:v>
      </x:c>
      <x:c r="C951" s="65" t="str">
        <x:v>拔高题</x:v>
      </x:c>
      <x:c r="D951" s="65" t="str">
        <x:v>拔高题</x:v>
      </x:c>
      <x:c r="E951" s="65" t="str">
        <x:v>保留原GPT裁定</x:v>
      </x:c>
      <x:c r="F951" s="65" t="str">
        <x:v>高</x:v>
      </x:c>
      <x:c r="G951" s="65" t="str">
        <x:v>拔高题</x:v>
      </x:c>
      <x:c r="H951" s="65" t="str">
        <x:v>拔高题</x:v>
      </x:c>
      <x:c r="I951" s="65" t="str">
        <x:v>题干、解析与结构证据支持拔高题：step=6-8步，题型=电路综合，状态=连续变化或临界状态，约束=多约束，推理=逆向推理或临界分析。教师、盲评和多次模型证据中未形成足以推翻原裁定的同向结构证据。</x:v>
      </x:c>
      <x:c r="J951" s="65" t="str">
        <x:v>未进入三次错题并集；逐题结构一致性复核</x:v>
      </x:c>
      <x:c r="K951" s="63" t="str">
        <x:v>如图所示的电路中，电源电压恒定，小灯泡L标有“6V，3.6W”字样（忽略温度变化对灯丝电阻的影响），滑动变阻器Rx，标有“200Ω，1.25A”字样，定值电阻R0阻值为20Ω，电流表的量程为0～3A，电压表的量程为0～15V，求：</x:v>
      </x:c>
      <x:c r="L951" s="63" t="str"/>
      <x:c r="M951" s="63" t="str"/>
      <x:c r="N951" s="63" t="str">
        <x:v>https://k12static.xdf.cn/k12/image/externalized/385821be-b9fa-4e86-aa69-3faf10c7df9b.png</x:v>
      </x:c>
      <x:c r="O951" s="63" t="str">
        <x:v>https://k12static.xdf.cn/k12/image/externalized/44cb143d-e147-4e01-b75b-17bd0826b1d4.png</x:v>
      </x:c>
      <x:c r="P951" s="63" t="str">
        <x:v>6-8步</x:v>
      </x:c>
      <x:c r="Q951" s="63" t="str">
        <x:v>电路综合</x:v>
      </x:c>
      <x:c r="R951" s="63" t="str">
        <x:v>连续变化或临界状态</x:v>
      </x:c>
      <x:c r="S951" s="63" t="str">
        <x:v>多约束</x:v>
      </x:c>
      <x:c r="T951" s="63" t="str">
        <x:v>无</x:v>
      </x:c>
      <x:c r="U951" s="63" t="str">
        <x:v>无</x:v>
      </x:c>
      <x:c r="V951" s="63" t="str">
        <x:v>逆向推理或临界分析</x:v>
      </x:c>
    </x:row>
    <x:row r="952">
      <x:c r="A952" s="64" t="str">
        <x:v>​3120657944649502720</x:v>
      </x:c>
      <x:c r="B952" s="65" t="str">
        <x:v>中等题</x:v>
      </x:c>
      <x:c r="C952" s="65" t="str">
        <x:v>中等题</x:v>
      </x:c>
      <x:c r="D952" s="65" t="str">
        <x:v>中等题</x:v>
      </x:c>
      <x:c r="E952" s="65" t="str">
        <x:v>保留原GPT裁定</x:v>
      </x:c>
      <x:c r="F952" s="65" t="str">
        <x:v>高</x:v>
      </x:c>
      <x:c r="G952" s="65" t="str">
        <x:v>中等题</x:v>
      </x:c>
      <x:c r="H952" s="65" t="str">
        <x:v>中等题</x:v>
      </x:c>
      <x:c r="I952" s="65" t="str">
        <x:v>题干、解析与结构证据支持中等题：step=3-5步，题型=电路综合，状态=双状态，约束=单一约束，推理=多层因果推理。教师、盲评和多次模型证据中未形成足以推翻原裁定的同向结构证据。</x:v>
      </x:c>
      <x:c r="J952" s="65" t="str">
        <x:v>未进入三次错题并集；逐题结构一致性复核</x:v>
      </x:c>
      <x:c r="K952" s="63" t="str">
        <x:v>如图，当开关S闭合后，滑动变阻器滑片P在B端时，电压表示数为9 V，电流表示数为0.15 A；滑片P在中点C时电压表的示数为6 V。求: （1）滑动变阻器R1的最大阻值；（2）电源的电压和R2的阻值。</x:v>
      </x:c>
      <x:c r="L952" s="63" t="str"/>
      <x:c r="M952" s="63" t="str">
        <x:v>解：（1）P在B点时，滑动变阻器全连入，利用欧姆定律求R1的最大阻值${{R}_{1大}}=\dfrac{{{U}_{1}}}{{{I}_{1}}}\text{=}\dfrac{9\text{V}}{0.15\text{A}}=60\text{ }\!\!\Omega\!\!\text{ }$电源的电压U=I1R2+9V=0.15A×R2+9V------①（2）当P在中点C时${{R}_{1}}=\dfrac{1}{2}\times 60\text{ }\!\!\Omega\!\!\text{ }=30\text{ }\!\!\Omega\!\!\text{ }$电路中的电流${{I}_{2}}=\dfrac{{{U}_{1}}}{{{R}_{1}}}\text{=}\dfrac{6\text{V}}{30\text{ }\!\!\Omega\!\!\text{ }}=0.2\text{A}$电源电压U=I2R2+6V=0.2A×R2+6V----②由①和②得R2=60Ω电源的电压U=0.15A×R2+9V=0.15A×60Ω+9V=18V答：（1）变阻器的最大阻值为60Ω。（2）电源电压为18V，R2的阻值是60Ω。</x:v>
      </x:c>
      <x:c r="N952" s="63" t="str">
        <x:v>https://k12static.xdf.cn/k12/image/externalized/81ff7660-cd00-4550-b395-f3f1df490452.png</x:v>
      </x:c>
      <x:c r="O952" s="63" t="str">
        <x:v>https://k12static.xdf.cn/k12/image/externalized/1116caa1-0042-40a7-80c0-54c7c869cbb3.png</x:v>
      </x:c>
      <x:c r="P952" s="63" t="str">
        <x:v>3-5步</x:v>
      </x:c>
      <x:c r="Q952" s="63" t="str">
        <x:v>电路综合</x:v>
      </x:c>
      <x:c r="R952" s="63" t="str">
        <x:v>双状态</x:v>
      </x:c>
      <x:c r="S952" s="63" t="str">
        <x:v>单一约束</x:v>
      </x:c>
      <x:c r="T952" s="63" t="str">
        <x:v>无</x:v>
      </x:c>
      <x:c r="U952" s="63" t="str">
        <x:v>无</x:v>
      </x:c>
      <x:c r="V952" s="63" t="str">
        <x:v>多层因果推理</x:v>
      </x:c>
    </x:row>
    <x:row r="953">
      <x:c r="A953" s="64" t="str">
        <x:v>​3123955526269939712</x:v>
      </x:c>
      <x:c r="B953" s="65" t="str">
        <x:v>拔高题</x:v>
      </x:c>
      <x:c r="C953" s="65" t="str">
        <x:v>拔高题</x:v>
      </x:c>
      <x:c r="D953" s="65" t="str">
        <x:v>拔高题</x:v>
      </x:c>
      <x:c r="E953" s="65" t="str">
        <x:v>逐题复核后保留GPT裁定</x:v>
      </x:c>
      <x:c r="F953" s="65" t="str">
        <x:v>高</x:v>
      </x:c>
      <x:c r="G953" s="65" t="str">
        <x:v>拔高题</x:v>
      </x:c>
      <x:c r="H953" s="65" t="str">
        <x:v>拔高题</x:v>
      </x:c>
      <x:c r="I953" s="65" t="str">
        <x:v>最高难任务在电路状态、图线/参数与安全约束中包含图线反推、状态转换、误差评价、几何/等效转换、方程联立或参数反求等决定性卡点，整体约5—6个有效决策；尚未形成压轴所需的完整复杂约束网络。</x:v>
      </x:c>
      <x:c r="J953" s="65" t="str">
        <x:v>三次运行错题并集逐题复核</x:v>
      </x:c>
      <x:c r="K953" s="63" t="str">
        <x:v>图甲为一款测量液体密度的装置设计图。电源电压为12V，R₀为一定值电阻，MN间是足够长的轻质导线，金属棒竖直固定且粗细均匀。一弹簧上端固定，滑片P固定在弹簧下端，与金属棒之间无摩擦且接触良好。已知金属棒接入电路的阻值R与弹簧所受拉力F的关系如图乙所示。容积为40cm³的小桶通过轻绳挂在弹簧下端，闭合开关S，桶内未装液体时，电流表示数为0.2A；测量密度时，需在桶内装满待测液体，通过读取电流表示数可得出液体密度。（不计弹簧、滑片及小桶的质量）</x:v>
      </x:c>
      <x:c r="L953" s="63" t="str"/>
      <x:c r="M953" s="63" t="str"/>
      <x:c r="N953" s="63" t="str">
        <x:v>https://k12static.xdf.cn/k12/image/externalized/18f0dccb-0ebb-49e1-be8b-32f5b2bbeb6c.png</x:v>
      </x:c>
      <x:c r="O953" s="63" t="str">
        <x:v>https://k12static.xdf.cn/k12/image/externalized/e44b936a-8459-4caa-a80d-d2635d41c282.png</x:v>
      </x:c>
      <x:c r="P953" s="63" t="str">
        <x:v>3-5步</x:v>
      </x:c>
      <x:c r="Q953" s="63" t="str">
        <x:v>跨模块综合</x:v>
      </x:c>
      <x:c r="R953" s="63" t="str">
        <x:v>双状态</x:v>
      </x:c>
      <x:c r="S953" s="63" t="str">
        <x:v>单一约束</x:v>
      </x:c>
      <x:c r="T953" s="63" t="str">
        <x:v>无</x:v>
      </x:c>
      <x:c r="U953" s="63" t="str">
        <x:v>直接读数</x:v>
      </x:c>
      <x:c r="V953" s="63" t="str">
        <x:v>多层因果推理</x:v>
      </x:c>
    </x:row>
    <x:row r="954">
      <x:c r="A954" s="64" t="str">
        <x:v>​3128329543225544704</x:v>
      </x:c>
      <x:c r="B954" s="65" t="str">
        <x:v>中等题</x:v>
      </x:c>
      <x:c r="C954" s="65" t="str">
        <x:v>中等题</x:v>
      </x:c>
      <x:c r="D954" s="65" t="str">
        <x:v>中等题</x:v>
      </x:c>
      <x:c r="E954" s="65" t="str">
        <x:v>逐题复核后保留GPT裁定</x:v>
      </x:c>
      <x:c r="F954" s="65" t="str">
        <x:v>高</x:v>
      </x:c>
      <x:c r="G954" s="65" t="str">
        <x:v>中等题</x:v>
      </x:c>
      <x:c r="H954" s="65" t="str">
        <x:v>中等题</x:v>
      </x:c>
      <x:c r="I954" s="65" t="str">
        <x:v>需要围绕图表信息提取与关系反推完成常规的3—4个有效决策，或完成一套完整标准实验/共享过程分析。关系仍显性、方法常规，没有决定性隐含转换、复杂边界筛选或多状态强耦合。</x:v>
      </x:c>
      <x:c r="J954" s="65" t="str">
        <x:v>三次运行错题并集逐题复核</x:v>
      </x:c>
      <x:c r="K954" s="63" t="str">
        <x:v>如图所示，是人和蝙蝠的听觉频率范围，下列说法正确的是（ ）</x:v>
      </x:c>
      <x:c r="L954" s="63" t="str">
        <x:v>A. 人有可能听到频率为10kHz的声波 B. 人不可能听得到乙图的声波 C. 200Hz的声波只要振幅足够大，蝙蝠有可能听得见 D. 地震、海啸的预警中利用了频率高于20000Hz的超声波来传递信息</x:v>
      </x:c>
      <x:c r="M954" s="63" t="str">
        <x:v>A．由图可知，人耳的听觉频率范围是$20\sim 20000\mathrm{Hz}$，所以人有可能听到频率为10kHz（$10000\mathrm{Hz}$）的声波，故A正确；B．乙图的声波每毫秒振动一次，频率为$f=\dfrac{1}{0.001}\mathrm{Hz}=1000\mathrm{Hz}$人耳的听觉频率范围是$20\sim 20000\mathrm{Hz}$，所以人能听得到乙图的声波，故B错误；C．由图可知，蝙蝠的听觉频率范围是$1000\sim 120000\mathrm{Hz}$，所以蝙蝠听不见200Hz的声波，故C错误；D．地震、海啸的预警中利用了频率低于20Hz的次声波来传递信息，故D错误。故选A。</x:v>
      </x:c>
      <x:c r="N954" s="63" t="str">
        <x:v>https://k12static.xdf.cn/k12/image/externalized/30f3c05b-c468-444e-96e3-00febc899603.png</x:v>
      </x:c>
      <x:c r="O954" s="63" t="str">
        <x:v>https://k12static.xdf.cn/k12/image/externalized/15a3582c-6bb9-4852-8c78-43c9d67d9289.png</x:v>
      </x:c>
      <x:c r="P954" s="63" t="str">
        <x:v>1-2步</x:v>
      </x:c>
      <x:c r="Q954" s="63" t="str">
        <x:v>概念判断</x:v>
      </x:c>
      <x:c r="R954" s="63" t="str">
        <x:v>单状态</x:v>
      </x:c>
      <x:c r="S954" s="63" t="str">
        <x:v>无约束</x:v>
      </x:c>
      <x:c r="T954" s="63" t="str">
        <x:v>无</x:v>
      </x:c>
      <x:c r="U954" s="63" t="str">
        <x:v>直接读数</x:v>
      </x:c>
      <x:c r="V954" s="63" t="str">
        <x:v>多层因果推理</x:v>
      </x:c>
    </x:row>
    <x:row r="955">
      <x:c r="A955" s="64" t="str">
        <x:v>​3134021322196172800</x:v>
      </x:c>
      <x:c r="B955" s="65" t="str">
        <x:v>基础题</x:v>
      </x:c>
      <x:c r="C955" s="65" t="str">
        <x:v>基础题</x:v>
      </x:c>
      <x:c r="D955" s="65" t="str">
        <x:v>基础题</x:v>
      </x:c>
      <x:c r="E955" s="65" t="str">
        <x:v>保留原GPT裁定</x:v>
      </x:c>
      <x:c r="F955" s="65" t="str">
        <x:v>高</x:v>
      </x:c>
      <x:c r="G955" s="65" t="str">
        <x:v>基础题</x:v>
      </x:c>
      <x:c r="H955" s="65" t="str">
        <x:v>基础题</x:v>
      </x:c>
      <x:c r="I955" s="65" t="str">
        <x:v>题干、解析与结构证据支持基础题：step=1-2步，题型=概念判断，状态=单状态，约束=无约束，推理=简单因果推理。教师、盲评和多次模型证据中未形成足以推翻原裁定的同向结构证据。</x:v>
      </x:c>
      <x:c r="J955" s="65" t="str">
        <x:v>未进入三次错题并集；逐题结构一致性复核</x:v>
      </x:c>
      <x:c r="K955" s="63" t="str">
        <x:v>有四位同学，使用同一把刻度尺来测量同一本作业本的长度。四次测量的记录分别为L1=18.82cm，L2=18.83cm。L3=18.81cm，L4=18.80cm。则该作业本的长度应该记为（ ）</x:v>
      </x:c>
      <x:c r="L955" s="63" t="str">
        <x:v>A. 18.81cm B. 18.815cm C. 18.82cm D. 18.8cm</x:v>
      </x:c>
      <x:c r="M955" s="63" t="str">
        <x:v>这本作业本长度是4次有效测量数据的算术平均值，即$L=\dfrac{L_{1}+L_{2}+L_{3}+L_{4}}{4}=\dfrac{18.82\mathrm{cm}+18.83\mathrm{cm}+18.81\mathrm{cm}+18.80\mathrm{cm}}{4}=18.815\mathrm{cm}\approx 18.82\mathrm{cm}$故C符合题意，ABD不符合题意。故选C。</x:v>
      </x:c>
      <x:c r="N955" s="63" t="str">
        <x:v>https://k12static.xdf.cn/k12/image/externalized/af3c3cc0-7897-4d6e-87ee-2c2f1600c6e3.png</x:v>
      </x:c>
      <x:c r="O955" s="63" t="str">
        <x:v>https://k12static.xdf.cn/k12/image/externalized/81ca1147-4629-4ab6-84ef-eead609cae29.png</x:v>
      </x:c>
      <x:c r="P955" s="63" t="str">
        <x:v>1-2步</x:v>
      </x:c>
      <x:c r="Q955" s="63" t="str">
        <x:v>概念判断</x:v>
      </x:c>
      <x:c r="R955" s="63" t="str">
        <x:v>单状态</x:v>
      </x:c>
      <x:c r="S955" s="63" t="str">
        <x:v>无约束</x:v>
      </x:c>
      <x:c r="T955" s="63" t="str">
        <x:v>基础操作或读数</x:v>
      </x:c>
      <x:c r="U955" s="63" t="str">
        <x:v>无</x:v>
      </x:c>
      <x:c r="V955" s="63" t="str">
        <x:v>简单因果推理</x:v>
      </x:c>
    </x:row>
    <x:row r="956">
      <x:c r="A956" s="64" t="str">
        <x:v>​3135959210371682304</x:v>
      </x:c>
      <x:c r="B956" s="65" t="str">
        <x:v>压轴题</x:v>
      </x:c>
      <x:c r="C956" s="65" t="str">
        <x:v>压轴题</x:v>
      </x:c>
      <x:c r="D956" s="65" t="str">
        <x:v>压轴题</x:v>
      </x:c>
      <x:c r="E956" s="65" t="str">
        <x:v>保留原GPT裁定</x:v>
      </x:c>
      <x:c r="F956" s="65" t="str">
        <x:v>高</x:v>
      </x:c>
      <x:c r="G956" s="65" t="str">
        <x:v>压轴题</x:v>
      </x:c>
      <x:c r="H956" s="65" t="str">
        <x:v>压轴题</x:v>
      </x:c>
      <x:c r="I956" s="65" t="str">
        <x:v>题干、解析与结构证据支持压轴题：step=9-12步，题型=跨模块综合，状态=多状态，约束=多约束，推理=逆向推理或临界分析。教师、盲评和多次模型证据中未形成足以推翻原裁定的同向结构证据。</x:v>
      </x:c>
      <x:c r="J956" s="65" t="str">
        <x:v>未进入三次错题并集；逐题结构一致性复核</x:v>
      </x:c>
      <x:c r="K956" s="63" t="str">
        <x:v>阅读短文，回答问题；登月服2025年2月，我国望宇登月服进入初样研制阶段。望宇登月服主体由多层结构组成，包括内衣舒适层、保暖层、通风服和水冷服、气密限制层、隔热层和外保护层等。某科技小组为检测模拟登月服的气密性，设计了气压检测装置，其电路如图甲，$R_{0}$的阻值为30Ω，恒流电源输出电流恒为1A.当气压$p\leq 1.25\times 10^{3}$Pa时，压敏电阻$R_{\mathrm{g}}$的阻值随气压p的变化关系如图乙（为方便计算，图象已作近似处理）。测试时，如图丙，将充满空气的模拟登月服M和检测装置放入空腔N中，将N抽成真空后密封（不计此过程中M漏气）。启动检测装置，开始计时，此时M内的气压为$1\times 10^{5}$Pa。已知M漏气速度越来越慢，经过8h，若M漏出空气的质量小于充气质量的10%，则M的气密性达标。M、N内的气压与各自内部空气的密度成正比，且比例系数相同；容积$V_{\mathrm{M}}\colon V_{\mathrm{N}}=1\colon 5$。不计检测装置的体积、M的厚度以及M和N容积的变化。</x:v>
      </x:c>
      <x:c r="L956" s="63" t="str"/>
      <x:c r="M956" s="63" t="str"/>
      <x:c r="N956" s="63" t="str">
        <x:v>https://k12static.xdf.cn/k12/image/externalized/3ae5064a-2242-4a12-b7b4-82fcc1eae3cd.png</x:v>
      </x:c>
      <x:c r="O956" s="63" t="str">
        <x:v>https://k12static.xdf.cn/k12/image/externalized/5380fbbb-7bc7-4e6b-8369-e47d6a4f39fd.png</x:v>
      </x:c>
      <x:c r="P956" s="63" t="str">
        <x:v>9-12步</x:v>
      </x:c>
      <x:c r="Q956" s="63" t="str">
        <x:v>跨模块综合</x:v>
      </x:c>
      <x:c r="R956" s="63" t="str">
        <x:v>多状态</x:v>
      </x:c>
      <x:c r="S956" s="63" t="str">
        <x:v>多约束</x:v>
      </x:c>
      <x:c r="T956" s="63" t="str">
        <x:v>方案设计或误差评价</x:v>
      </x:c>
      <x:c r="U956" s="63" t="str">
        <x:v>图像反推或外推</x:v>
      </x:c>
      <x:c r="V956" s="63" t="str">
        <x:v>逆向推理或临界分析</x:v>
      </x:c>
    </x:row>
    <x:row r="957">
      <x:c r="A957" s="64" t="str">
        <x:v>​3135988570013143040</x:v>
      </x:c>
      <x:c r="B957" s="65" t="str">
        <x:v>中等题</x:v>
      </x:c>
      <x:c r="C957" s="65" t="str">
        <x:v>中等题</x:v>
      </x:c>
      <x:c r="D957" s="65" t="str">
        <x:v>中等题</x:v>
      </x:c>
      <x:c r="E957" s="65" t="str">
        <x:v>保留原GPT裁定</x:v>
      </x:c>
      <x:c r="F957" s="65" t="str">
        <x:v>高</x:v>
      </x:c>
      <x:c r="G957" s="65" t="str">
        <x:v>中等题</x:v>
      </x:c>
      <x:c r="H957" s="65" t="str">
        <x:v>中等题</x:v>
      </x:c>
      <x:c r="I957" s="65" t="str">
        <x:v>题干、解析与结构证据支持中等题：step=1-2步，题型=热学综合，状态=单状态，约束=无约束，推理=简单因果推理。教师、盲评和多次模型证据中未形成足以推翻原裁定的同向结构证据。</x:v>
      </x:c>
      <x:c r="J957" s="65" t="str">
        <x:v>未进入三次错题并集；逐题结构一致性复核</x:v>
      </x:c>
      <x:c r="K957" s="63" t="str">
        <x:v>物理学家焦耳于1840年最先精确的确定电流产生的热量跟电流、电阻和通电时间的关系。探究电流产生的热量多少与电阻大小关系的实验装置如图所示，将其接到电源两端，通电后，装置元件始终完好，则相同时间内定值电阻$R_{1}、R_{2}$产生的热量之比$Q_{1}\colon Q_{2}=$ 。远距离输电过程中，电流的热效应会引起电能的损耗。若某段时间内，从某发电厂采用$110\mathrm{kV}$的高压向目的地输电时，输电线路损耗的电能为$W_{1}$；在输电线路可承受范围内，保持发电厂输送功率和输电线路不变，不计温度对导线电阻的影响，将输送电压提高到$220\mathrm{kV}$后，相同时间内输电线路损耗的电能为$W_{2}$，则$W_{1}\colon W_{2}=$ 。</x:v>
      </x:c>
      <x:c r="L957" s="63" t="str"/>
      <x:c r="M957" s="63" t="str">
        <x:v>[1]相同时间内定值电阻$R_{1}、R_{2}$产生的热量之比$\dfrac{Q_{1}}{Q_{2}}=\dfrac{I^{2}R_{1}t}{I^{2}R_{2}t}=\dfrac{R_{1}}{R_{2}}=\dfrac{5\Omega }{10\Omega }=\dfrac{1}{2}$[2]某发电厂输出的总功率相同，相同时间内输电线路损耗的电能之比为$\dfrac{W_{1}}{W_{2}}=\dfrac{I_{1}^{2}Rt}{I_{1}^{2}Rt}=\left(\dfrac{\hspace{0pt}I_{1}}{I_{2}}\right)^{2}=\left(\dfrac{\dfrac{P}{110\mathrm{kV}}}{\dfrac{P}{220\mathrm{kV}}}\right)^{2}=\dfrac{4}{1}$</x:v>
      </x:c>
      <x:c r="N957" s="63" t="str">
        <x:v>https://k12static.xdf.cn/k12/image/externalized/71b56793-0f42-41b2-933d-86da8635dd05.png</x:v>
      </x:c>
      <x:c r="O957" s="63" t="str">
        <x:v>https://k12static.xdf.cn/k12/image/externalized/dd4a4a24-406d-469f-9106-87affdf868b8.png</x:v>
      </x:c>
      <x:c r="P957" s="63" t="str">
        <x:v>1-2步</x:v>
      </x:c>
      <x:c r="Q957" s="63" t="str">
        <x:v>热学综合</x:v>
      </x:c>
      <x:c r="R957" s="63" t="str">
        <x:v>单状态</x:v>
      </x:c>
      <x:c r="S957" s="63" t="str">
        <x:v>无约束</x:v>
      </x:c>
      <x:c r="T957" s="63" t="str">
        <x:v>无</x:v>
      </x:c>
      <x:c r="U957" s="63" t="str">
        <x:v>无</x:v>
      </x:c>
      <x:c r="V957" s="63" t="str">
        <x:v>简单因果推理</x:v>
      </x:c>
    </x:row>
    <x:row r="958">
      <x:c r="A958" s="64" t="str">
        <x:v>​3137330865838821376</x:v>
      </x:c>
      <x:c r="B958" s="65" t="str">
        <x:v>中等题</x:v>
      </x:c>
      <x:c r="C958" s="65" t="str">
        <x:v>中等题</x:v>
      </x:c>
      <x:c r="D958" s="65" t="str">
        <x:v>中等题</x:v>
      </x:c>
      <x:c r="E958" s="65" t="str">
        <x:v>保留原GPT裁定</x:v>
      </x:c>
      <x:c r="F958" s="65" t="str">
        <x:v>高</x:v>
      </x:c>
      <x:c r="G958" s="65" t="str">
        <x:v>中等题</x:v>
      </x:c>
      <x:c r="H958" s="65" t="str">
        <x:v>中等题</x:v>
      </x:c>
      <x:c r="I958" s="65" t="str">
        <x:v>题干、解析与结构证据支持中等题：step=3-5步，题型=力学综合，状态=单状态，约束=单一约束，推理=多层因果推理。教师、盲评和多次模型证据中未形成足以推翻原裁定的同向结构证据。</x:v>
      </x:c>
      <x:c r="J958" s="65" t="str">
        <x:v>未进入三次错题并集；逐题结构一致性复核</x:v>
      </x:c>
      <x:c r="K958" s="63" t="str">
        <x:v>在建筑领域中，盘圆钢筋主要用于承担混凝土构件的支撑和加固作用。每卷盘圆钢筋重力为15000N，如图所示，一辆卡车装载18卷盘圆钢筋匀速行驶，空车自重为6×104N，匀速直线行驶时受到的阻力为总重力的0.05 倍。（g取10 N/kg）求：（不考虑司机的质量）（1）该卡车安装较多车轮，其目的是为了 ；（2）若此卡车空车时匀速直线行驶，受到的牵引力多大？ （3）行驶途中遇到一座桥，桥头标志牌上有“30 t”字样，请你根据题干信息，计算司机能否从该桥通过？</x:v>
      </x:c>
      <x:c r="L958" s="63" t="str"/>
      <x:c r="M958" s="63" t="str">
        <x:v>解： （1）[1]该卡车安装较多车轮，在压力一定时，增大了受力面积，减小了对地面的压强。（2）[2]此卡车空车自重6×104N，匀速行驶时的阻力是总重力的0.05 倍，若此卡车空车时匀速直线行驶，受到的牵引力为$f=0.05G_{\mathrm{车}}=0.05\times 6\times 10^{4}\mathrm{N}=3000\mathrm{N}$因为匀速直线行驶，受到的牵引力与阻力相等F=f=3000N（3）[3]一卷盘圆钢筋重力为15000N，则18卷圆盘钢筋总重力为G钢=18G=18×15000N=2.7×105N卡车和钢筋总重为$G_{\mathrm{总}}=G_{\mathrm{车}}+G_{\mathrm{钢}}=6\times 10^{4}\mathrm{N}+2.7\times 10^{5}\mathrm{N}=3.3\times 10^{5}\mathrm{N}$卡车和钢筋总质量为$m_{\mathrm{总}}=\dfrac{G_{\mathrm{总}}}{g}=\dfrac{3.3\times 10^{5}\mathrm{N}}{10\mathrm{N}/\mathrm{kg}}=3.3\times 10^{4}\mathrm{kg}=33\mathrm{t}$因为33 t&gt;30 t，所以该卡车不能从桥上通行。答：（1）该卡车安装较多车轮，其目的是为了减小了对地面的压强；（2）若此卡车空车时匀速直线行驶，受到的牵引力为3000N；（3）该卡车不能从桥上通行。</x:v>
      </x:c>
      <x:c r="N958" s="63" t="str">
        <x:v>https://k12static.xdf.cn/k12/image/externalized/8c92203e-3a83-4899-a635-e509b3f5d08a.png</x:v>
      </x:c>
      <x:c r="O958" s="63" t="str">
        <x:v>https://k12static.xdf.cn/k12/image/externalized/f6abbccf-9568-4d06-bc44-472d106166ce.png</x:v>
      </x:c>
      <x:c r="P958" s="63" t="str">
        <x:v>3-5步</x:v>
      </x:c>
      <x:c r="Q958" s="63" t="str">
        <x:v>力学综合</x:v>
      </x:c>
      <x:c r="R958" s="63" t="str">
        <x:v>单状态</x:v>
      </x:c>
      <x:c r="S958" s="63" t="str">
        <x:v>单一约束</x:v>
      </x:c>
      <x:c r="T958" s="63" t="str">
        <x:v>无</x:v>
      </x:c>
      <x:c r="U958" s="63" t="str">
        <x:v>无</x:v>
      </x:c>
      <x:c r="V958" s="63" t="str">
        <x:v>多层因果推理</x:v>
      </x:c>
    </x:row>
    <x:row r="959">
      <x:c r="A959" s="64" t="str">
        <x:v>​3141561967276511232</x:v>
      </x:c>
      <x:c r="B959" s="65" t="str">
        <x:v>中等题</x:v>
      </x:c>
      <x:c r="C959" s="65" t="str">
        <x:v>中等题</x:v>
      </x:c>
      <x:c r="D959" s="65" t="str">
        <x:v>中等题</x:v>
      </x:c>
      <x:c r="E959" s="65" t="str">
        <x:v>保留原GPT裁定</x:v>
      </x:c>
      <x:c r="F959" s="65" t="str">
        <x:v>高</x:v>
      </x:c>
      <x:c r="G959" s="65" t="str">
        <x:v>中等题</x:v>
      </x:c>
      <x:c r="H959" s="65" t="str">
        <x:v>中等题</x:v>
      </x:c>
      <x:c r="I959" s="65" t="str">
        <x:v>题干、解析与结构证据支持中等题：step=3-5步，题型=概念判断，状态=单状态，约束=无约束，推理=多层因果推理。教师、盲评和多次模型证据中未形成足以推翻原裁定的同向结构证据。</x:v>
      </x:c>
      <x:c r="J959" s="65" t="str">
        <x:v>未进入三次错题并集；逐题结构一致性复核</x:v>
      </x:c>
      <x:c r="K959" s="63" t="str">
        <x:v>图甲是四冲程汽油机某冲程的示意图，图乙是空气压缩引火仪，图丙是对试管中的水加热一段时间后而塞“飞出”。下列说法正确的是（ ）</x:v>
      </x:c>
      <x:c r="L959" s="63" t="str">
        <x:v>A. 三个过程中改变气体内能的方式相同 B. 三个过程中气体内能大小的变化情况相同 C. 图甲是做功冲程，其能量转化与图丙中的能量转化相同 D. 若该汽油机每秒可完成10个图甲冲程，则其飞轮转速为600r/min</x:v>
      </x:c>
      <x:c r="M959" s="63" t="str">
        <x:v>ABC．图甲，两气门关闭，活塞上行，为压缩冲程，活塞压缩缸内气体，对气体做功，气体内能增大，通过做功改变缸内气体内能，机械能转化为内能；图乙，向下压活塞，活塞压缩筒内气体，对气体做功，气体内能增大，通过做功改变筒内气体内能，机械能转化为内能；图丙，试管内气体推动塞子做功，气体内能减小，通过做功改变缸内气体内能，内能转化为机械能；故A正确，BC错误；D．汽油机一个工作循环包括四个冲程，其中只有一个压缩冲程，飞轮转两周；若该汽油机每秒可完成10个图甲冲程，即压缩冲程，则其飞轮转速为20r/s=1200r/min，故D错误。故选A。</x:v>
      </x:c>
      <x:c r="N959" s="63" t="str">
        <x:v>https://k12static.xdf.cn/k12/image/externalized/7d2f01a7-7180-4780-aff7-b602de346926.png</x:v>
      </x:c>
      <x:c r="O959" s="63" t="str">
        <x:v>https://k12static.xdf.cn/k12/image/externalized/1e6abec1-84a0-4f04-a430-887451e3cbde.png</x:v>
      </x:c>
      <x:c r="P959" s="63" t="str">
        <x:v>3-5步</x:v>
      </x:c>
      <x:c r="Q959" s="63" t="str">
        <x:v>概念判断</x:v>
      </x:c>
      <x:c r="R959" s="63" t="str">
        <x:v>单状态</x:v>
      </x:c>
      <x:c r="S959" s="63" t="str">
        <x:v>无约束</x:v>
      </x:c>
      <x:c r="T959" s="63" t="str">
        <x:v>无</x:v>
      </x:c>
      <x:c r="U959" s="63" t="str">
        <x:v>无</x:v>
      </x:c>
      <x:c r="V959" s="63" t="str">
        <x:v>多层因果推理</x:v>
      </x:c>
    </x:row>
    <x:row r="960">
      <x:c r="A960" s="64" t="str">
        <x:v>​3143015212558934016</x:v>
      </x:c>
      <x:c r="B960" s="65" t="str">
        <x:v>压轴题</x:v>
      </x:c>
      <x:c r="C960" s="65" t="str">
        <x:v>压轴题</x:v>
      </x:c>
      <x:c r="D960" s="65" t="str">
        <x:v>压轴题</x:v>
      </x:c>
      <x:c r="E960" s="65" t="str">
        <x:v>逐题复核后保留GPT裁定</x:v>
      </x:c>
      <x:c r="F960" s="65" t="str">
        <x:v>高</x:v>
      </x:c>
      <x:c r="G960" s="65" t="str">
        <x:v>压轴题</x:v>
      </x:c>
      <x:c r="H960" s="65" t="str">
        <x:v>压轴题</x:v>
      </x:c>
      <x:c r="I960" s="65" t="str">
        <x:v>题目把电路状态、图线/参数与安全约束组织成多对象、多状态、多约束的共享模型网络，后续任务依赖前述状态/参数，并要求分类、临界/边界、有效解筛选或可行性验证，属于7步以上的完整耦合链。</x:v>
      </x:c>
      <x:c r="J960" s="65" t="str">
        <x:v>三次运行错题并集逐题复核</x:v>
      </x:c>
      <x:c r="K960" s="63" t="str">
        <x:v>小王同学在科技创新活动中设计了一个可以测量金属滑片旋转角度的电路。如图所示，把电阻丝EF弯成半圆形（电阻丝的电阻与其长度成正比），O为圆心，OP为一能够绕圆心O转动的金属滑片，P与EF接触良好，转动OP，电流表示数改变，则可在电流表上直接读出OP的旋转角度。现将滑动变阻器R的滑片移到最左端，闭合开关S，当把OP转到F端时，电流表的示数为I1=12mA，电压表的示数为U1；保持滑动变阻器滑片位置不变，将OP转到电阻丝EF的中点时，电流表示数为I2，已知：电压表示数变化了0.4V，I1：I2=3：5，电流表的量程为0～60mA，且电源电压不变，则：</x:v>
      </x:c>
      <x:c r="L960" s="63" t="str"/>
      <x:c r="M960" s="63" t="str"/>
      <x:c r="N960" s="63" t="str">
        <x:v>https://k12static.xdf.cn/k12/image/externalized/7717eff4-67a9-434c-ac88-b3d3e7858b68.png</x:v>
      </x:c>
      <x:c r="O960" s="63" t="str">
        <x:v>https://k12static.xdf.cn/k12/image/externalized/98b738b1-3197-422e-b708-a16ebab81bf1.png</x:v>
      </x:c>
      <x:c r="P960" s="63" t="str">
        <x:v>6-8步</x:v>
      </x:c>
      <x:c r="Q960" s="63" t="str">
        <x:v>电路综合</x:v>
      </x:c>
      <x:c r="R960" s="63" t="str">
        <x:v>多状态</x:v>
      </x:c>
      <x:c r="S960" s="63" t="str">
        <x:v>多约束</x:v>
      </x:c>
      <x:c r="T960" s="63" t="str">
        <x:v>无</x:v>
      </x:c>
      <x:c r="U960" s="63" t="str">
        <x:v>无</x:v>
      </x:c>
      <x:c r="V960" s="63" t="str">
        <x:v>多层因果推理</x:v>
      </x:c>
    </x:row>
    <x:row r="961">
      <x:c r="A961" s="64" t="str">
        <x:v>​3168985149885153280</x:v>
      </x:c>
      <x:c r="B961" s="65" t="str">
        <x:v>基础题</x:v>
      </x:c>
      <x:c r="C961" s="65" t="str">
        <x:v>基础题</x:v>
      </x:c>
      <x:c r="D961" s="65" t="str">
        <x:v>基础题</x:v>
      </x:c>
      <x:c r="E961" s="65" t="str">
        <x:v>保留原GPT裁定</x:v>
      </x:c>
      <x:c r="F961" s="65" t="str">
        <x:v>高</x:v>
      </x:c>
      <x:c r="G961" s="65" t="str">
        <x:v>基础题</x:v>
      </x:c>
      <x:c r="H961" s="65" t="str">
        <x:v>基础题</x:v>
      </x:c>
      <x:c r="I961" s="65" t="str">
        <x:v>题干、解析与结构证据支持基础题：step=1-2步，题型=电路综合，状态=单状态，约束=单一约束，推理=简单因果推理。教师、盲评和多次模型证据中未形成足以推翻原裁定的同向结构证据。</x:v>
      </x:c>
      <x:c r="J961" s="65" t="str">
        <x:v>未进入三次错题并集；逐题结构一致性复核</x:v>
      </x:c>
      <x:c r="K961" s="63" t="str">
        <x:v>楼道内路灯电路设计要求如下：白天光控开关断开，夜晚光线暗时，光控开关闭合；当有人进入楼道内时，红外感应开关闭合，没人时红外感应开关断开，下列关于楼道内路灯电路设计合理的是（ ）</x:v>
      </x:c>
      <x:c r="L961" s="63" t="str"/>
      <x:c r="M961" s="63" t="str">
        <x:v>光控开关：白天光控开关断开，夜晚光线暗时，光控开关闭合，即光控开关的作用是根据光线的强弱来控制电路的通断。 红外感应开关：当有人进入楼道内时，红外感应开关闭合，没人时红外感应开关断开，即红外感应开关的作用是根据是否有人来控制电路的通断。要使路灯在夜晚且有人时才亮，那么光控开关和红外感应开关需要串联在电路中。白天时，光控开关断开，无论红外感应开关是否闭合，整个电路都是断开的，路灯不亮，符合白天路灯不亮的要求。 夜晚光线暗时，光控开关闭合，此时如果没人进入楼道，红外感应开关断开，电路仍然是断开的，路灯不亮；当有人进入楼道时，红外感应开关闭合，此时光控开关和红外感应开关都闭合，电路导通，路灯亮起，符合夜晚有人时路灯亮的要求。对比各图，故D符合题意，ABC不符合题意。故选D。</x:v>
      </x:c>
      <x:c r="N961" s="63" t="str">
        <x:v>https://k12static.xdf.cn/k12/image/externalized/021217ea-f66a-4377-bf8d-20966de4118c.png</x:v>
      </x:c>
      <x:c r="O961" s="63" t="str">
        <x:v>https://k12static.xdf.cn/k12/image/externalized/bd61f7f4-2f0f-4f48-96e6-b6086def7180.png</x:v>
      </x:c>
      <x:c r="P961" s="63" t="str">
        <x:v>1-2步</x:v>
      </x:c>
      <x:c r="Q961" s="63" t="str">
        <x:v>电路综合</x:v>
      </x:c>
      <x:c r="R961" s="63" t="str">
        <x:v>单状态</x:v>
      </x:c>
      <x:c r="S961" s="63" t="str">
        <x:v>单一约束</x:v>
      </x:c>
      <x:c r="T961" s="63" t="str">
        <x:v>无</x:v>
      </x:c>
      <x:c r="U961" s="63" t="str">
        <x:v>无</x:v>
      </x:c>
      <x:c r="V961" s="63" t="str">
        <x:v>简单因果推理</x:v>
      </x:c>
    </x:row>
    <x:row r="962">
      <x:c r="A962" s="64" t="str">
        <x:v>​3196142323774267392</x:v>
      </x:c>
      <x:c r="B962" s="65" t="str">
        <x:v>中等题</x:v>
      </x:c>
      <x:c r="C962" s="65" t="str">
        <x:v>中等题</x:v>
      </x:c>
      <x:c r="D962" s="65" t="str">
        <x:v>中等题</x:v>
      </x:c>
      <x:c r="E962" s="65" t="str">
        <x:v>逐题复核后保留GPT裁定</x:v>
      </x:c>
      <x:c r="F962" s="65" t="str">
        <x:v>高</x:v>
      </x:c>
      <x:c r="G962" s="65" t="str">
        <x:v>中等题</x:v>
      </x:c>
      <x:c r="H962" s="65" t="str">
        <x:v>中等题</x:v>
      </x:c>
      <x:c r="I962" s="65" t="str">
        <x:v>存在约3—4步常规连续分析、共享过程或完整标准实验任务，关系仍显性。 题目证据：最高难选项实际有效推理为2步：第一步需要区分水面成像的反射规律和水中部分的折射规律，第二步需要根据“像位置偏高”和“反射像关于水面对称”两个结论判断选项是否符合。核心任务是同时应用光的反射（平面镜成像）和光的折射两个知识点判断正确光路，两个知识点在同一判断中提供条件，不存在全链耦合或决定性转换。</x:v>
      </x:c>
      <x:c r="J962" s="65" t="str">
        <x:v>三次运行错题并集逐题复核</x:v>
      </x:c>
      <x:c r="K962" s="63" t="str">
        <x:v>小明将发光的荧光棒斜插入水中，由于光的反射和折射，荧光棒成了两个像，能较真实地反映从侧面观察到的情景的图是（ ）</x:v>
      </x:c>
      <x:c r="L962" s="63" t="str">
        <x:v>A. " style="width: 120px; height: 97px;" /&gt; B. " style="width: 98px; height: 105px;" /&gt; C. " style="width: 130px; height: 77px;" /&gt; D. " style="width: 130px; height: 107px;" /&gt;</x:v>
      </x:c>
      <x:c r="M962" s="63" t="str">
        <x:v>AB：水面上荧光棒部分在水中的像与水面上荧光棒关于水面对称，我们看到的荧光棒位置在折射光线的反向延长线上，像的位置比实际位置偏高，看起来荧光棒向上弯折，故 A 正确，B 错误； CD：水面上荧光棒部分在水中的像没有与水面上荧光棒关于水面对称，故 CD 错误。 故选：A。</x:v>
      </x:c>
      <x:c r="N962" s="63" t="str">
        <x:v>https://k12static.xdf.cn/k12/image/externalized/bf0c3954-37a5-4034-b36d-ed15d524006e.png</x:v>
      </x:c>
      <x:c r="O962" s="63" t="str">
        <x:v>https://k12static.xdf.cn/k12/image/externalized/ce17a205-d322-4684-afcf-1203b9f629d3.png</x:v>
      </x:c>
      <x:c r="P962" s="63" t="str">
        <x:v>1-2步</x:v>
      </x:c>
      <x:c r="Q962" s="63" t="str">
        <x:v>光学声学综合</x:v>
      </x:c>
      <x:c r="R962" s="63" t="str">
        <x:v>单状态</x:v>
      </x:c>
      <x:c r="S962" s="63" t="str">
        <x:v>无约束</x:v>
      </x:c>
      <x:c r="T962" s="63" t="str">
        <x:v>无</x:v>
      </x:c>
      <x:c r="U962" s="63" t="str">
        <x:v>无</x:v>
      </x:c>
      <x:c r="V962" s="63" t="str">
        <x:v>简单因果推理</x:v>
      </x:c>
    </x:row>
    <x:row r="963">
      <x:c r="A963" s="64" t="str">
        <x:v>​3202677262463561728</x:v>
      </x:c>
      <x:c r="B963" s="65" t="str">
        <x:v>中等题</x:v>
      </x:c>
      <x:c r="C963" s="65" t="str">
        <x:v>中等题</x:v>
      </x:c>
      <x:c r="D963" s="65" t="str">
        <x:v>中等题</x:v>
      </x:c>
      <x:c r="E963" s="65" t="str">
        <x:v>保留原GPT裁定</x:v>
      </x:c>
      <x:c r="F963" s="65" t="str">
        <x:v>高</x:v>
      </x:c>
      <x:c r="G963" s="65" t="str">
        <x:v>中等题</x:v>
      </x:c>
      <x:c r="H963" s="65" t="str">
        <x:v>中等题</x:v>
      </x:c>
      <x:c r="I963" s="65" t="str">
        <x:v>题干、解析与结构证据支持中等题：step=3-5步，题型=电学综合，状态=单状态，约束=单一约束，推理=多层因果推理。教师、盲评和多次模型证据中未形成足以推翻原裁定的同向结构证据。</x:v>
      </x:c>
      <x:c r="J963" s="65" t="str">
        <x:v>未进入三次错题并集；逐题结构一致性复核</x:v>
      </x:c>
      <x:c r="K963" s="63" t="str">
        <x:v>电阻是导体本身的一种 ，利用欧姆定律可以进行电阻的计算。甲、乙两地相距50km，在甲乙两地之间沿直线架设了两条输电线，已知输电线每千米的电阻为0.2Ω，现输电线在某处发生了短路，为确定短路位置，检修员在甲地利用电压表、电流表和电源接成如图所示电路进行测量．当电压表的示数为3V时，电流表的示数为0.5A，则短路位置离甲地的距离是 km。</x:v>
      </x:c>
      <x:c r="L963" s="63" t="str"/>
      <x:c r="M963" s="63" t="str">
        <x:v>[1]电阻是物体固有的、本质的性质。[2]甲地到短路位置的总电阻$R=\dfrac{U}{I}=\dfrac{3\mathrm{V}}{0.5\mathrm{A}}=6\Omega$甲地到短路位置导线的总长度$L=\dfrac{R}{0.2\Omega /\mathrm{km}}=\dfrac{6\Omega }{0.2\Omega /\mathrm{km}}=30\mathrm{km}$发生短路的位置离甲地的距离$s=\dfrac{L}{2}=\dfrac{30\mathrm{km}}{2}=15\mathrm{km}$</x:v>
      </x:c>
      <x:c r="N963" s="63" t="str">
        <x:v>https://k12static.xdf.cn/k12/image/externalized/a75bcb72-2b9e-4ab5-9b81-894072c19016.png</x:v>
      </x:c>
      <x:c r="O963" s="63" t="str">
        <x:v>https://k12static.xdf.cn/k12/image/externalized/d62752d6-487f-487d-84ba-4834332d87ef.png</x:v>
      </x:c>
      <x:c r="P963" s="63" t="str">
        <x:v>3-5步</x:v>
      </x:c>
      <x:c r="Q963" s="63" t="str">
        <x:v>电学综合</x:v>
      </x:c>
      <x:c r="R963" s="63" t="str">
        <x:v>单状态</x:v>
      </x:c>
      <x:c r="S963" s="63" t="str">
        <x:v>单一约束</x:v>
      </x:c>
      <x:c r="T963" s="63" t="str">
        <x:v>无</x:v>
      </x:c>
      <x:c r="U963" s="63" t="str">
        <x:v>无</x:v>
      </x:c>
      <x:c r="V963" s="63" t="str">
        <x:v>多层因果推理</x:v>
      </x:c>
    </x:row>
    <x:row r="964">
      <x:c r="A964" s="64" t="str">
        <x:v>​3226566664426684416</x:v>
      </x:c>
      <x:c r="B964" s="65" t="str">
        <x:v>压轴题</x:v>
      </x:c>
      <x:c r="C964" s="65" t="str">
        <x:v>压轴题</x:v>
      </x:c>
      <x:c r="D964" s="65" t="str">
        <x:v>压轴题</x:v>
      </x:c>
      <x:c r="E964" s="65" t="str">
        <x:v>逐题复核后保留GPT裁定</x:v>
      </x:c>
      <x:c r="F964" s="65" t="str">
        <x:v>高</x:v>
      </x:c>
      <x:c r="G964" s="65" t="str">
        <x:v>压轴题</x:v>
      </x:c>
      <x:c r="H964" s="65" t="str">
        <x:v>压轴题</x:v>
      </x:c>
      <x:c r="I964" s="65" t="str">
        <x:v>题目把实验方案、误差/评价或改进任务组织成多对象、多状态、多约束的共享模型网络，后续任务依赖前述状态/参数，并要求分类、临界/边界、有效解筛选或可行性验证，属于7步以上的完整耦合链。</x:v>
      </x:c>
      <x:c r="J964" s="65" t="str">
        <x:v>三次运行错题并集逐题复核</x:v>
      </x:c>
      <x:c r="K964" s="63" t="str">
        <x:v>阅读短文，回答问题。跨学科实践——制作智能垃圾箱模型【任务要求】为保护环境、节约资源，同学们设计制作智能垃圾箱模型，实现对可回收垃圾的收集、自动称量、压缩的目的。【设计制作】任务一：设计制作称重系统。图甲是称重的原理图，电源为恒流源，能始终提供大小恒定的电流，压力传感器的电阻$R_{\mathrm{F}}$的阻值与压力的关系图线如图乙所示。某次测试中，将1kg的物体放在压力传感器上，电压表示数为8V。电压表示数能反映回收垃圾质量的大小，可在电压表上标注对应的质量值。（g取10N/kg）任务二：设计制作压缩系统。图丙是设计制作的工作流程图。图丁为压缩系统的模型图。当雷达监测到回收物高度超过预设值时，压缩系统启动，电动机通过减速机带动转换结构中的螺杆转动，螺杆将转动转化为推拉杆向下的直线运动。从而使压板在收集箱内移动。压缩系统的部分参数如下表，“导程”指螺杆每旋转一周推拉杆移动的直线距离，“减速机的速比”指电动机的转速与减速机的输出转速的比值，“电动机效率”指电动机将电能转化为机械能的效率。设电动机的输出功率等于减速机的输出转速、导程以及推拉杆的推力三者的乘积。电动机额定功率/W60导程/（m·r-1）1.2×10-2电动机的额定转速/（r·s-1）60减速机的速比20电动机的效率/%90压板的质量/kg10【交流评价】同学间交流，对模型制作过程中遇到的问题、使用效果和创新改进等方面进行评价。</x:v>
      </x:c>
      <x:c r="L964" s="63" t="str"/>
      <x:c r="M964" s="63" t="str"/>
      <x:c r="N964" s="63" t="str">
        <x:v>https://k12static.xdf.cn/k12/image/externalized/e48e0c08-addb-43b9-b098-43e058b29a35.png</x:v>
      </x:c>
      <x:c r="O964" s="63" t="str">
        <x:v>https://k12static.xdf.cn/k12/image/externalized/f42a1a28-180d-420a-b348-d0f5a214a2b4.png</x:v>
      </x:c>
      <x:c r="P964" s="63" t="str">
        <x:v>3-5步</x:v>
      </x:c>
      <x:c r="Q964" s="63" t="str">
        <x:v>跨模块综合</x:v>
      </x:c>
      <x:c r="R964" s="63" t="str">
        <x:v>单状态</x:v>
      </x:c>
      <x:c r="S964" s="63" t="str">
        <x:v>单一约束</x:v>
      </x:c>
      <x:c r="T964" s="63" t="str">
        <x:v>方案设计或误差评价</x:v>
      </x:c>
      <x:c r="U964" s="63" t="str">
        <x:v>图像反推或外推</x:v>
      </x:c>
      <x:c r="V964" s="63" t="str">
        <x:v>多层因果推理</x:v>
      </x:c>
    </x:row>
    <x:row r="965">
      <x:c r="A965" s="64" t="str">
        <x:v>​3237329604618788864</x:v>
      </x:c>
      <x:c r="B965" s="65" t="str">
        <x:v>基础题</x:v>
      </x:c>
      <x:c r="C965" s="65" t="str">
        <x:v>基础题</x:v>
      </x:c>
      <x:c r="D965" s="65" t="str">
        <x:v>基础题</x:v>
      </x:c>
      <x:c r="E965" s="65" t="str">
        <x:v>保留原GPT裁定</x:v>
      </x:c>
      <x:c r="F965" s="65" t="str">
        <x:v>高</x:v>
      </x:c>
      <x:c r="G965" s="65" t="str">
        <x:v>基础题</x:v>
      </x:c>
      <x:c r="H965" s="65" t="str">
        <x:v>基础题</x:v>
      </x:c>
      <x:c r="I965" s="65" t="str">
        <x:v>题干、解析与结构证据支持基础题：step=1-2步，题型=概念判断，状态=单状态，约束=无约束，推理=简单因果推理。教师、盲评和多次模型证据中未形成足以推翻原裁定的同向结构证据。</x:v>
      </x:c>
      <x:c r="J965" s="65" t="str">
        <x:v>未进入三次错题并集；逐题结构一致性复核</x:v>
      </x:c>
      <x:c r="K965" s="63" t="str">
        <x:v>如图所示，下列关于温度计和刻度尺的使用，说法错误的是（ ）</x:v>
      </x:c>
      <x:c r="L965" s="63" t="str">
        <x:v>A. 甲图温度计是根据液体热胀冷缩的原理制成的 B. 甲图按照a所示进行读数，测量结果会偏大 C. 甲图按用b所示进行读数，测量结果也有误差 D. 乙图视线改为正对刻度线，可以读出正确测量结果</x:v>
      </x:c>
      <x:c r="M965" s="63" t="str">
        <x:v>A．温度计通常利用液体的热胀冷缩原理工作，故A正确，不符合题意；B．a的视线是仰视，会导致读数偏大，故B正确，不符合题意；C．b的视线是平视，误差小，但也有误差，因为任何读数方式都可能存在误差，故C正确，不符合题意；D．视线改为正对刻度线，可以减小误差,使读数尽可能准确。但读不出正确测量结果，因为还是存在误差，故D错误，符合题意。故选D。</x:v>
      </x:c>
      <x:c r="N965" s="63" t="str">
        <x:v>https://k12static.xdf.cn/k12/image/externalized/5f85b78b-ac48-4beb-800c-1146ddf76b17.png</x:v>
      </x:c>
      <x:c r="O965" s="63" t="str">
        <x:v>https://k12static.xdf.cn/k12/image/externalized/6f9997eb-d1f9-4154-81a3-ab58490a060b.png</x:v>
      </x:c>
      <x:c r="P965" s="63" t="str">
        <x:v>1-2步</x:v>
      </x:c>
      <x:c r="Q965" s="63" t="str">
        <x:v>概念判断</x:v>
      </x:c>
      <x:c r="R965" s="63" t="str">
        <x:v>单状态</x:v>
      </x:c>
      <x:c r="S965" s="63" t="str">
        <x:v>无约束</x:v>
      </x:c>
      <x:c r="T965" s="63" t="str">
        <x:v>基础操作或读数</x:v>
      </x:c>
      <x:c r="U965" s="63" t="str">
        <x:v>无</x:v>
      </x:c>
      <x:c r="V965" s="63" t="str">
        <x:v>简单因果推理</x:v>
      </x:c>
    </x:row>
    <x:row r="966">
      <x:c r="A966" s="64" t="str">
        <x:v>​3246137992375525376</x:v>
      </x:c>
      <x:c r="B966" s="65" t="str">
        <x:v>中等题</x:v>
      </x:c>
      <x:c r="C966" s="65" t="str">
        <x:v>中等题</x:v>
      </x:c>
      <x:c r="D966" s="65" t="str">
        <x:v>中等题</x:v>
      </x:c>
      <x:c r="E966" s="65" t="str">
        <x:v>逐题复核后保留GPT裁定</x:v>
      </x:c>
      <x:c r="F966" s="65" t="str">
        <x:v>高</x:v>
      </x:c>
      <x:c r="G966" s="65" t="str">
        <x:v>中等题</x:v>
      </x:c>
      <x:c r="H966" s="65" t="str">
        <x:v>中等题</x:v>
      </x:c>
      <x:c r="I966" s="65" t="str">
        <x:v>存在约3—4步常规连续分析、共享过程或完整标准实验任务，关系仍显性。 题目证据：保留原标。最长有效链为1-2步、题型为概念判断、推理为简单因果推理，与中等题边界一致。 复核证据：教师标签与独立盲评一致；三次模型运行使用相近提示词，仅作为辅助证据，不足以推翻两者一致结论。。</x:v>
      </x:c>
      <x:c r="J966" s="65" t="str">
        <x:v>三次运行错题并集逐题复核</x:v>
      </x:c>
      <x:c r="K966" s="63" t="str">
        <x:v>如图所示，是目前世界上能实现可控飞行的最小无线机器人。该机器人由两部分组成，一部分是用3D打印出来的主体结构，由四个螺旋桨叶片和一个平衡环组成，质量为14.7mg；另一部分是小永磁体，质量为6.3mg。根据设计的飞行路径，向机器人发射电磁波，在变化的磁场作用下，小永磁体被吸引和排斥，带动螺旋桨旋转并产生足够升力，让机器人完成离地飞行、悬停等动作。下列说法中错误的是（g取10N/kg）（ ）</x:v>
      </x:c>
      <x:c r="L966" s="63" t="str">
        <x:v>A. 该机器人重$2.1\times 10^{\mathrm{﹣}4}$N B. 电磁波传播的是周期性变化的电磁场 C. 该机器人在真空中也能飞行 D. 该机器人悬停时受到平衡力作用</x:v>
      </x:c>
      <x:c r="M966" s="63" t="str">
        <x:v>A．已知该机器人由两部分组成，主体结构的质量m1=14.7mg，小永磁体质量m2=6.3mg，则机器人总质量$m=m_{1}+m_{2}=14.7\mathrm{mg}+6.3\mathrm{mg}=21\mathrm{mg}$则该机器人重力为$G=mg=21\times 10^{-6}\mathrm{kg}\times 10\mathrm{N}/\mathrm{kg}=2.1\times 10^{-4}\mathrm{N}$，故A正确，不符合题意；B．电磁波是由周期性变化的电场和磁场相互激发而形成的，所以电磁波传播的是周期性变化的电磁场，故B正确，不符合题意；C．机器人是通过小永磁体在变化的磁场作用下，带动螺旋桨旋转并产生足够升力来飞行的。而螺旋桨旋转产生升力是利用空气的流动，真空环境中没有空气，螺旋桨无法产生升力，所以机器人在真空中不能飞行，故C错误，符合题意；D．机器人悬停时静止，处于平衡状态，平衡状态下的物体受到平衡力的作用，所以机器人悬停时受到平衡力作用，故D正确，不符合题意。故选C。</x:v>
      </x:c>
      <x:c r="N966" s="63" t="str">
        <x:v>https://k12static.xdf.cn/k12/image/externalized/de1a3d3c-f735-4291-8bb1-4fe38adcce5e.png</x:v>
      </x:c>
      <x:c r="O966" s="63" t="str">
        <x:v>https://k12static.xdf.cn/k12/image/externalized/c9df032f-0925-4956-b68f-8d12951b1642.png</x:v>
      </x:c>
      <x:c r="P966" s="63" t="str">
        <x:v>1-2步</x:v>
      </x:c>
      <x:c r="Q966" s="63" t="str">
        <x:v>概念判断</x:v>
      </x:c>
      <x:c r="R966" s="63" t="str">
        <x:v>单状态</x:v>
      </x:c>
      <x:c r="S966" s="63" t="str">
        <x:v>无约束</x:v>
      </x:c>
      <x:c r="T966" s="63" t="str">
        <x:v>无</x:v>
      </x:c>
      <x:c r="U966" s="63" t="str">
        <x:v>无</x:v>
      </x:c>
      <x:c r="V966" s="63" t="str">
        <x:v>简单因果推理</x:v>
      </x:c>
    </x:row>
    <x:row r="967">
      <x:c r="A967" s="64" t="str">
        <x:v>​3258789626952314880</x:v>
      </x:c>
      <x:c r="B967" s="65" t="str">
        <x:v>中等题</x:v>
      </x:c>
      <x:c r="C967" s="65" t="str">
        <x:v>中等题</x:v>
      </x:c>
      <x:c r="D967" s="65" t="str">
        <x:v>中等题</x:v>
      </x:c>
      <x:c r="E967" s="65" t="str">
        <x:v>保留原GPT裁定</x:v>
      </x:c>
      <x:c r="F967" s="65" t="str">
        <x:v>高</x:v>
      </x:c>
      <x:c r="G967" s="65" t="str">
        <x:v>中等题</x:v>
      </x:c>
      <x:c r="H967" s="65" t="str">
        <x:v>中等题</x:v>
      </x:c>
      <x:c r="I967" s="65" t="str">
        <x:v>题干、解析与结构证据支持中等题：step=3-5步，题型=概念判断，状态=单状态，约束=无约束，推理=多层因果推理。教师、盲评和多次模型证据中未形成足以推翻原裁定的同向结构证据。</x:v>
      </x:c>
      <x:c r="J967" s="65" t="str">
        <x:v>未进入三次错题并集；逐题结构一致性复核</x:v>
      </x:c>
      <x:c r="K967" s="63" t="str">
        <x:v>质量相同的水和铜块，分别吸收相同的热量后将铜块投入水中，（$c_水＞c_铜$，不计热损失）则（ ）</x:v>
      </x:c>
      <x:c r="L967" s="63" t="str">
        <x:v>A. 温度由铜传给水 B. 水增加的内能和铜块减少的内能相同 C. 水的温度降低，铜的温度升高 D. 他们之间可能不发生热传递</x:v>
      </x:c>
      <x:c r="M967" s="63" t="str">
        <x:v>解：已知$c_水＞c_铜$，由$Q_吸=cm&amp;Delta;t$可知，质量相同的水和铜，吸收相同的热量时，铜的比热容较小，则铜升高的温度多；但不知道铜和水的初温是多少，因此不能确定热传递的方向，它们之间可能不发生热传递，故D正确。 故选：D。</x:v>
      </x:c>
      <x:c r="N967" s="63" t="str">
        <x:v>https://k12static.xdf.cn/k12/image/externalized/6a23cc0e-85b3-4938-a96b-3e31ea51e81d.png</x:v>
      </x:c>
      <x:c r="O967" s="63" t="str">
        <x:v>https://k12static.xdf.cn/k12/image/externalized/9ba82801-b836-4986-bade-9120039a679e.png</x:v>
      </x:c>
      <x:c r="P967" s="63" t="str">
        <x:v>3-5步</x:v>
      </x:c>
      <x:c r="Q967" s="63" t="str">
        <x:v>概念判断</x:v>
      </x:c>
      <x:c r="R967" s="63" t="str">
        <x:v>单状态</x:v>
      </x:c>
      <x:c r="S967" s="63" t="str">
        <x:v>无约束</x:v>
      </x:c>
      <x:c r="T967" s="63" t="str">
        <x:v>无</x:v>
      </x:c>
      <x:c r="U967" s="63" t="str">
        <x:v>无</x:v>
      </x:c>
      <x:c r="V967" s="63" t="str">
        <x:v>多层因果推理</x:v>
      </x:c>
    </x:row>
    <x:row r="968">
      <x:c r="A968" s="64" t="str">
        <x:v>​3269095496007565312</x:v>
      </x:c>
      <x:c r="B968" s="65" t="str">
        <x:v>基础题</x:v>
      </x:c>
      <x:c r="C968" s="65" t="str">
        <x:v>基础题</x:v>
      </x:c>
      <x:c r="D968" s="65" t="str">
        <x:v>基础题</x:v>
      </x:c>
      <x:c r="E968" s="65" t="str">
        <x:v>保留原GPT裁定</x:v>
      </x:c>
      <x:c r="F968" s="65" t="str">
        <x:v>高</x:v>
      </x:c>
      <x:c r="G968" s="65" t="str">
        <x:v>基础题</x:v>
      </x:c>
      <x:c r="H968" s="65" t="str">
        <x:v>基础题</x:v>
      </x:c>
      <x:c r="I968" s="65" t="str">
        <x:v>题干、解析与结构证据支持基础题：step=1-2步，题型=概念判断，状态=单状态，约束=无约束，推理=简单因果推理。教师、盲评和多次模型证据中未形成足以推翻原裁定的同向结构证据。</x:v>
      </x:c>
      <x:c r="J968" s="65" t="str">
        <x:v>未进入三次错题并集；逐题结构一致性复核</x:v>
      </x:c>
      <x:c r="K968" s="63" t="str">
        <x:v>雨、雪、雾、霜——大自然像“魔术师”，通过水循环，维持生态系统的平衡，图所示的自然界中水的物态变化说法不正确的是（ ） " style="width:100%;margin-top:5px"&gt;</x:v>
      </x:c>
      <x:c r="L968" s="63" t="str">
        <x:v>A. 春季融雪，积雪消融形成水流，是熔化 B. 夏季降雨，水蒸气凝结降落成雨，是液化 C. 秋季成霜，水滴降温附着成冰，是凝固 D. 冬季下雪，水蒸气降温凝成冰晶，是凝华</x:v>
      </x:c>
      <x:c r="M968" s="63" t="str">
        <x:v>A．春季，积雪消融形成水流，这是固态的冰变成液态的水的过程，属于熔化现象。故A正确，不符合题意； B．夏季，水蒸气凝结降落成雨，这是气态的水蒸气变成液态的水的过程，属于液化现象。故B正确，不符合题意； C．霜的形成是水蒸气直接变成固态冰的现象，属于凝华现象。故C错误，符合题意； D．冬季下雪，雪是空气中的水蒸气在温度极低的条件下直接变成固态的冰晶的现象。这是气态直接变成固态的过程，属于凝华现象。故D正确，不符合题意。 故选C。</x:v>
      </x:c>
      <x:c r="N968" s="63" t="str">
        <x:v>https://k12static.xdf.cn/k12/image/externalized/004624ff-1add-49b1-8315-1c364be1d2c3.png</x:v>
      </x:c>
      <x:c r="O968" s="63" t="str">
        <x:v>https://k12static.xdf.cn/k12/image/externalized/c57ab49d-9dfd-4fb9-a9d0-a56709cc6fa3.png</x:v>
      </x:c>
      <x:c r="P968" s="63" t="str">
        <x:v>1-2步</x:v>
      </x:c>
      <x:c r="Q968" s="63" t="str">
        <x:v>概念判断</x:v>
      </x:c>
      <x:c r="R968" s="63" t="str">
        <x:v>单状态</x:v>
      </x:c>
      <x:c r="S968" s="63" t="str">
        <x:v>无约束</x:v>
      </x:c>
      <x:c r="T968" s="63" t="str">
        <x:v>无</x:v>
      </x:c>
      <x:c r="U968" s="63" t="str">
        <x:v>无</x:v>
      </x:c>
      <x:c r="V968" s="63" t="str">
        <x:v>简单因果推理</x:v>
      </x:c>
    </x:row>
    <x:row r="969">
      <x:c r="A969" s="64" t="str">
        <x:v>​3277711317789675520</x:v>
      </x:c>
      <x:c r="B969" s="65" t="str">
        <x:v>中等题</x:v>
      </x:c>
      <x:c r="C969" s="65" t="str">
        <x:v>中等题</x:v>
      </x:c>
      <x:c r="D969" s="65" t="str">
        <x:v>中等题</x:v>
      </x:c>
      <x:c r="E969" s="65" t="str">
        <x:v>保留原GPT裁定</x:v>
      </x:c>
      <x:c r="F969" s="65" t="str">
        <x:v>高</x:v>
      </x:c>
      <x:c r="G969" s="65" t="str">
        <x:v>中等题</x:v>
      </x:c>
      <x:c r="H969" s="65" t="str">
        <x:v>中等题</x:v>
      </x:c>
      <x:c r="I969" s="65" t="str">
        <x:v>题干、解析与结构证据支持中等题：step=3-5步，题型=力学综合，状态=双状态，约束=单一约束，推理=多层因果推理。教师、盲评和多次模型证据中未形成足以推翻原裁定的同向结构证据。</x:v>
      </x:c>
      <x:c r="J969" s="65" t="str">
        <x:v>未进入三次错题并集；逐题结构一致性复核</x:v>
      </x:c>
      <x:c r="K969" s="63" t="str">
        <x:v>如图所示，用动滑轮将重180N的木箱在5s内沿竖直方向匀速提升2m，所用拉力为100N，不计绳重和摩擦。此过程中木箱上升的速度为 m/s，有用功是 J，拉力的功率是 W；若用此装置沿竖直方向匀速提升380N重物时，机械效率为 %。</x:v>
      </x:c>
      <x:c r="L969" s="63" t="str"/>
      <x:c r="M969" s="63" t="str">
        <x:v>[1]木箱在5s内沿竖直方向匀速提升2m，木箱上升的速度为$v=\dfrac{s}{t}=\dfrac{2\mathrm{m}}{5\mathrm{s}}=0.4~ \mathrm{m}/\mathrm{s}$[2]有用功W有=Gh=180N×2m=360J[3]由图可知n=2，则绳子自由端移动的距离s=nh=2×2m=4m拉力做的总功W总=Fs=100N×4m=400J拉力做功的功率$P=\dfrac{W_{\mathrm{总}}}{t}=\dfrac{400\mathrm{J}}{5\mathrm{s}}=80\mathrm{W}$[4]W额=W总﹣W有=400J﹣360J=40J由于不计绳重和摩擦，则额外功就是克服动滑轮重力所做的功，即W额=G动h=40J可得$G_{\mathrm{动}}=\dfrac{W_{\mathrm{额}}}{h}=\dfrac{40\mathrm{J}}{2\mathrm{m}}=20\mathrm{N}$由于不计绳重和摩擦，若用此装置沿竖直方向匀速提升380N重物时，滑轮组的机械效率$\eta =\dfrac{W_{\mathrm{有}}}{W_{\mathrm{总}}}\times 100\mathrm{\% }=\dfrac{G_{\mathrm{物}}h}{G_{\mathrm{物}}h+G_{\mathrm{动}}h}\times 100\mathrm{\% }=\dfrac{380\mathrm{N}}{380\mathrm{N}+20\mathrm{N}}\times 100\mathrm{\% }=95\mathrm{\% }$</x:v>
      </x:c>
      <x:c r="N969" s="63" t="str">
        <x:v>https://k12static.xdf.cn/k12/image/externalized/8c8e175c-4cef-4083-910b-7ab61189b95c.png</x:v>
      </x:c>
      <x:c r="O969" s="63" t="str">
        <x:v>https://k12static.xdf.cn/k12/image/externalized/26d397c0-acde-4ca3-88f4-4af9be3fef29.png</x:v>
      </x:c>
      <x:c r="P969" s="63" t="str">
        <x:v>3-5步</x:v>
      </x:c>
      <x:c r="Q969" s="63" t="str">
        <x:v>力学综合</x:v>
      </x:c>
      <x:c r="R969" s="63" t="str">
        <x:v>双状态</x:v>
      </x:c>
      <x:c r="S969" s="63" t="str">
        <x:v>单一约束</x:v>
      </x:c>
      <x:c r="T969" s="63" t="str">
        <x:v>无</x:v>
      </x:c>
      <x:c r="U969" s="63" t="str">
        <x:v>无</x:v>
      </x:c>
      <x:c r="V969" s="63" t="str">
        <x:v>多层因果推理</x:v>
      </x:c>
    </x:row>
    <x:row r="970">
      <x:c r="A970" s="64" t="str">
        <x:v>​3283436847558144000</x:v>
      </x:c>
      <x:c r="B970" s="65" t="str">
        <x:v>基础题</x:v>
      </x:c>
      <x:c r="C970" s="65" t="str">
        <x:v>基础题</x:v>
      </x:c>
      <x:c r="D970" s="65" t="str">
        <x:v>基础题</x:v>
      </x:c>
      <x:c r="E970" s="65" t="str">
        <x:v>保留原GPT裁定</x:v>
      </x:c>
      <x:c r="F970" s="65" t="str">
        <x:v>高</x:v>
      </x:c>
      <x:c r="G970" s="65" t="str">
        <x:v>基础题</x:v>
      </x:c>
      <x:c r="H970" s="65" t="str">
        <x:v>基础题</x:v>
      </x:c>
      <x:c r="I970" s="65" t="str">
        <x:v>题干、解析与结构证据支持基础题：step=1-2步，题型=概念判断，状态=单状态，约束=无约束，推理=简单因果推理。教师、盲评和多次模型证据中未形成足以推翻原裁定的同向结构证据。</x:v>
      </x:c>
      <x:c r="J970" s="65" t="str">
        <x:v>未进入三次错题并集；逐题结构一致性复核</x:v>
      </x:c>
      <x:c r="K970" s="63" t="str">
        <x:v>如图所示，小明用抹布擦桌子，当他按住抹布向左擦时，桌面对抹布的弹力的方向、桌面受到的摩擦力的方向分别为 （ ）</x:v>
      </x:c>
      <x:c r="L970" s="63" t="str">
        <x:v>A. 垂直桌面向上、向右 B. 垂直桌面向上、向左 C. 沿胳膊方向斜向上、向右 D. 沿胳膊方向斜向上、向左</x:v>
      </x:c>
      <x:c r="M970" s="63" t="str">
        <x:v>弹力方向：物体间弹力方向垂直于接触面，指向被支持物体。抹布与桌面接触，桌面对抹布的弹力方向为$垂直桌面向上 摩擦力方向：抹布相对于桌面向左运动，桌面施加的摩擦力阻碍此相对运动，方向向右。根据牛顿第三定律，桌面受到的摩擦力方向与抹布受到的摩擦力方向相反，即向左。 综上，选项B正确。</x:v>
      </x:c>
      <x:c r="N970" s="63" t="str">
        <x:v>https://k12static.xdf.cn/k12/image/externalized/004e5521-6c39-42b0-aa7d-6cc229fbf215.png</x:v>
      </x:c>
      <x:c r="O970" s="63" t="str">
        <x:v>https://k12static.xdf.cn/k12/image/externalized/a6353f17-7013-4e82-b885-24e4ed6d351b.png</x:v>
      </x:c>
      <x:c r="P970" s="63" t="str">
        <x:v>1-2步</x:v>
      </x:c>
      <x:c r="Q970" s="63" t="str">
        <x:v>概念判断</x:v>
      </x:c>
      <x:c r="R970" s="63" t="str">
        <x:v>单状态</x:v>
      </x:c>
      <x:c r="S970" s="63" t="str">
        <x:v>无约束</x:v>
      </x:c>
      <x:c r="T970" s="63" t="str">
        <x:v>无</x:v>
      </x:c>
      <x:c r="U970" s="63" t="str">
        <x:v>无</x:v>
      </x:c>
      <x:c r="V970" s="63" t="str">
        <x:v>简单因果推理</x:v>
      </x:c>
    </x:row>
    <x:row r="971">
      <x:c r="A971" s="64" t="str">
        <x:v>​3316850585861619712</x:v>
      </x:c>
      <x:c r="B971" s="65" t="str">
        <x:v>中等题</x:v>
      </x:c>
      <x:c r="C971" s="65" t="str">
        <x:v>中等题</x:v>
      </x:c>
      <x:c r="D971" s="65" t="str">
        <x:v>中等题</x:v>
      </x:c>
      <x:c r="E971" s="65" t="str">
        <x:v>保留原GPT裁定</x:v>
      </x:c>
      <x:c r="F971" s="65" t="str">
        <x:v>高</x:v>
      </x:c>
      <x:c r="G971" s="65" t="str">
        <x:v>中等题</x:v>
      </x:c>
      <x:c r="H971" s="65" t="str">
        <x:v>中等题</x:v>
      </x:c>
      <x:c r="I971" s="65" t="str">
        <x:v>题干、解析与结构证据支持中等题：step=3-5步，题型=力学综合，状态=单状态，约束=单一约束，推理=多层因果推理。教师、盲评和多次模型证据中未形成足以推翻原裁定的同向结构证据。</x:v>
      </x:c>
      <x:c r="J971" s="65" t="str">
        <x:v>未进入三次错题并集；逐题结构一致性复核</x:v>
      </x:c>
      <x:c r="K971" s="63" t="str">
        <x:v>家电“国补”政策拉动了消费，给市民带来了实惠。某小区业主购买了一台100英寸电视机，由于楼梯、电梯空间不足，工人师傅采取室外吊装方式上楼。已知电视机及包装箱总重720N，竖放时与水平地面的接触面积为$6\times 10^{3}\mathrm{cm}^{2}$。吊装时工人师傅用滑轮组在100s内将包装箱匀速提高20m，示意图如图所示。每个滑轮重80N，不计绳重及摩擦，g取10N/kg。求：</x:v>
      </x:c>
      <x:c r="L971" s="63" t="str"/>
      <x:c r="M971" s="63" t="str"/>
      <x:c r="N971" s="63" t="str">
        <x:v>https://k12static.xdf.cn/k12/image/externalized/efd41382-2801-48f0-9328-13148ee38ad0.png</x:v>
      </x:c>
      <x:c r="O971" s="63" t="str">
        <x:v>https://k12static.xdf.cn/k12/image/externalized/e624555b-449f-4638-a38b-65b8c07addcb.png</x:v>
      </x:c>
      <x:c r="P971" s="63" t="str">
        <x:v>3-5步</x:v>
      </x:c>
      <x:c r="Q971" s="63" t="str">
        <x:v>力学综合</x:v>
      </x:c>
      <x:c r="R971" s="63" t="str">
        <x:v>单状态</x:v>
      </x:c>
      <x:c r="S971" s="63" t="str">
        <x:v>单一约束</x:v>
      </x:c>
      <x:c r="T971" s="63" t="str">
        <x:v>无</x:v>
      </x:c>
      <x:c r="U971" s="63" t="str">
        <x:v>无</x:v>
      </x:c>
      <x:c r="V971" s="63" t="str">
        <x:v>多层因果推理</x:v>
      </x:c>
    </x:row>
    <x:row r="972">
      <x:c r="A972" s="64" t="str">
        <x:v>​3378807117252669440</x:v>
      </x:c>
      <x:c r="B972" s="65" t="str">
        <x:v>中等题</x:v>
      </x:c>
      <x:c r="C972" s="65" t="str">
        <x:v>中等题</x:v>
      </x:c>
      <x:c r="D972" s="65" t="str">
        <x:v>中等题</x:v>
      </x:c>
      <x:c r="E972" s="65" t="str">
        <x:v>保留原GPT裁定</x:v>
      </x:c>
      <x:c r="F972" s="65" t="str">
        <x:v>高</x:v>
      </x:c>
      <x:c r="G972" s="65" t="str">
        <x:v>中等题</x:v>
      </x:c>
      <x:c r="H972" s="65" t="str">
        <x:v>中等题</x:v>
      </x:c>
      <x:c r="I972" s="65" t="str">
        <x:v>题干、解析与结构证据支持中等题：step=3-5步，题型=电学综合，状态=单状态，约束=单一约束，推理=多层因果推理。教师、盲评和多次模型证据中未形成足以推翻原裁定的同向结构证据。</x:v>
      </x:c>
      <x:c r="J972" s="65" t="str">
        <x:v>未进入三次错题并集；逐题结构一致性复核</x:v>
      </x:c>
      <x:c r="K972" s="63" t="str">
        <x:v>某电热水壶有甲、乙两根电热丝，若把甲电热丝接入某恒压电路，烧开一壶水要$6\min$；若把乙电热丝接入原电路，烧开一壶水要$3\min$，不考虑热损失，则下列判断正确的是（ ）</x:v>
      </x:c>
      <x:c r="L972" s="63" t="str">
        <x:v>A. 甲、乙电热丝的电阻之比为$1\colon 2$ B. 甲、乙电热丝的电阻之比为$3\colon 1$ C. 若把甲、乙电热丝并联后接入原电路，则烧开这壶水需要的时间是$2\min$ D. 若把甲、乙电热丝并联后接入原电路，则烧开这壶水需要的时间是$1.5\min$</x:v>
      </x:c>
      <x:c r="M972" s="63" t="str">
        <x:v>AB．烧开同一壶水所需的热量Q相同，电压U不变，根据焦耳定律可知$Q=W=\dfrac{U^{2}}{R}t$，$R=\dfrac{U^{2}t}{Q}$，加热时间$t_{\mathrm{甲}}=6\min$，$t_{\mathrm{乙}}=3\min$，甲、乙电阻之比$\dfrac{R_{\mathrm{甲}}}{R_{\mathrm{乙}}}=\dfrac{\dfrac{U^{2}t_{\mathrm{甲}}}{Q}}{\dfrac{U^{2}t_{\mathrm{乙}}}{Q}}=\dfrac{t_{\mathrm{甲}}}{t_{\mathrm{乙}}}=\dfrac{6\min }{3\min }=\dfrac{2}{1}$故A错误，B错误。CD．并联时总电阻：$R_{\mathrm{并}}=\dfrac{R_{\mathrm{甲}}R_{\mathrm{乙}}}{R_{\mathrm{甲}}+R_{\mathrm{乙}}}=\dfrac{2R_{\mathrm{乙}}\cdot R_{\mathrm{乙}}}{2R_{\mathrm{乙}}+R_{\mathrm{乙}}}=\dfrac{2}{3}R_{\mathrm{乙}}$甲、乙电热丝并联和乙电热丝烧开这壶水需要的热量Q相同，则$Q=\dfrac{U^{2}}{R_{\mathrm{并}}}t_{\mathrm{并}}=\dfrac{U^{2}}{R_{\mathrm{乙}}}t_{\mathrm{乙}}$$t_{\mathrm{并}}=\dfrac{R_{\mathrm{并}}}{R_{\mathrm{乙}}}\times t_{\mathrm{乙}}=\dfrac{\dfrac{2}{3}\times R_{\mathrm{乙}}}{R_{\mathrm{乙}}}\times t_{\mathrm{乙}}=\dfrac{2}{3}\times 3\min =2\min$故C正确，D错误。故选C。</x:v>
      </x:c>
      <x:c r="N972" s="63" t="str">
        <x:v>https://k12static.xdf.cn/k12/image/externalized/6cc80f7d-4420-4fdc-9da4-443d7d21e7f0.png</x:v>
      </x:c>
      <x:c r="O972" s="63" t="str">
        <x:v>https://k12static.xdf.cn/k12/image/externalized/6041c3a1-8d4f-4946-bc2e-d3288812623f.png</x:v>
      </x:c>
      <x:c r="P972" s="63" t="str">
        <x:v>3-5步</x:v>
      </x:c>
      <x:c r="Q972" s="63" t="str">
        <x:v>电学综合</x:v>
      </x:c>
      <x:c r="R972" s="63" t="str">
        <x:v>单状态</x:v>
      </x:c>
      <x:c r="S972" s="63" t="str">
        <x:v>单一约束</x:v>
      </x:c>
      <x:c r="T972" s="63" t="str">
        <x:v>无</x:v>
      </x:c>
      <x:c r="U972" s="63" t="str">
        <x:v>无</x:v>
      </x:c>
      <x:c r="V972" s="63" t="str">
        <x:v>多层因果推理</x:v>
      </x:c>
    </x:row>
    <x:row r="973">
      <x:c r="A973" s="64" t="str">
        <x:v>​3392515249995276288</x:v>
      </x:c>
      <x:c r="B973" s="65" t="str">
        <x:v>中等题</x:v>
      </x:c>
      <x:c r="C973" s="65" t="str">
        <x:v>中等题</x:v>
      </x:c>
      <x:c r="D973" s="65" t="str">
        <x:v>中等题</x:v>
      </x:c>
      <x:c r="E973" s="65" t="str">
        <x:v>逐题复核后保留GPT裁定</x:v>
      </x:c>
      <x:c r="F973" s="65" t="str">
        <x:v>高</x:v>
      </x:c>
      <x:c r="G973" s="65" t="str">
        <x:v>中等题</x:v>
      </x:c>
      <x:c r="H973" s="65" t="str">
        <x:v>中等题</x:v>
      </x:c>
      <x:c r="I973" s="65" t="str">
        <x:v>存在约3—4步常规连续分析、共享过程或完整标准实验任务，关系仍显性。 题目证据：最高难选项实际有效推理约3步，五维锚定：知识量2-3个关联知识点（浮力产生原因、失重特点、浮沉条件），过程/对象为单状态但需要结合太空失重情境重构浮力产生逻辑，数学工具无复杂运算，情境为熟悉的天宫课堂背景需要拆解物理要素，思维层次为常规分析。任务核心是辨析失重环境下浮力产生的压力差条件，四个选项围绕同一核心结论进行边界判断。</x:v>
      </x:c>
      <x:c r="J973" s="65" t="str">
        <x:v>三次运行错题并集逐题复核</x:v>
      </x:c>
      <x:c r="K973" s="63" t="str">
        <x:v>在“天宫课堂”中，“太空教师”在中国空间站为广大青少年带来了一场精彩的太空科普课。如图是演示“浮力消失”实验的情景。下列说法中正确的是（ ）</x:v>
      </x:c>
      <x:c r="L973" s="63" t="str">
        <x:v>A. 乒乓球在水中受到了浮力 B. 乒乓球在水中静止时所受的重力与浮力平衡 C. 乒乓球下表面所受的压力等于上表面所受的压力 D. 若此时在水中放一个实心铁球，铁球不会沉入水中</x:v>
      </x:c>
      <x:c r="M973" s="63" t="str">
        <x:v>A．在太空中，物体都处于失重状态，没有受到重力的作用，乒乓球在水中静止时，它的上下表面都没有受到水的压力，所以它不受浮力的作用，故A错误；B．乒乓球既不受浮力，且在失重环境中重力的表现形式也发生变化，不存在“重力与浮力平衡”的情况，故B错误；C．失重时液体内部无压强差，乒乓球上下表面所受的压力相等均为0或相等的微小压力，故C正确；D．由于浮力消失，实心铁球在水中不受浮力，也不会因重力“沉入水中”，失重环境中重力的作用效果改变，因此铁球不会沉入水中，故D正确。故选CD。</x:v>
      </x:c>
      <x:c r="N973" s="63" t="str">
        <x:v>https://k12static.xdf.cn/k12/image/externalized/e74d577b-1ab3-4eff-b2b2-bc67f1cabaeb.png</x:v>
      </x:c>
      <x:c r="O973" s="63" t="str">
        <x:v>https://k12static.xdf.cn/k12/image/externalized/a3e4dedc-0923-4f5e-91ba-2b1456516570.png</x:v>
      </x:c>
      <x:c r="P973" s="63" t="str">
        <x:v>1-2步</x:v>
      </x:c>
      <x:c r="Q973" s="63" t="str">
        <x:v>概念判断</x:v>
      </x:c>
      <x:c r="R973" s="63" t="str">
        <x:v>单状态</x:v>
      </x:c>
      <x:c r="S973" s="63" t="str">
        <x:v>无约束</x:v>
      </x:c>
      <x:c r="T973" s="63" t="str">
        <x:v>无</x:v>
      </x:c>
      <x:c r="U973" s="63" t="str">
        <x:v>无</x:v>
      </x:c>
      <x:c r="V973" s="63" t="str">
        <x:v>多层因果推理</x:v>
      </x:c>
    </x:row>
    <x:row r="974">
      <x:c r="A974" s="64" t="str">
        <x:v>​3407714353294630912</x:v>
      </x:c>
      <x:c r="B974" s="65" t="str">
        <x:v>基础题</x:v>
      </x:c>
      <x:c r="C974" s="65" t="str">
        <x:v>基础题</x:v>
      </x:c>
      <x:c r="D974" s="65" t="str">
        <x:v>基础题</x:v>
      </x:c>
      <x:c r="E974" s="65" t="str">
        <x:v>保留原GPT裁定</x:v>
      </x:c>
      <x:c r="F974" s="65" t="str">
        <x:v>高</x:v>
      </x:c>
      <x:c r="G974" s="65" t="str">
        <x:v>基础题</x:v>
      </x:c>
      <x:c r="H974" s="65" t="str">
        <x:v>基础题</x:v>
      </x:c>
      <x:c r="I974" s="65" t="str">
        <x:v>题干、解析与结构证据支持基础题：step=1-2步，题型=概念判断，状态=单状态，约束=无约束，推理=简单因果推理。教师、盲评和多次模型证据中未形成足以推翻原裁定的同向结构证据。</x:v>
      </x:c>
      <x:c r="J974" s="65" t="str">
        <x:v>未进入三次错题并集；逐题结构一致性复核</x:v>
      </x:c>
      <x:c r="K974" s="63" t="str">
        <x:v>近年来智慧手写板逐渐走入深圳课堂，如图所示，小余将一张白纸铺在板上，用板上的架子牢牢固定，并使用手写笔在纸上书写，下列说法正确的是（ ）</x:v>
      </x:c>
      <x:c r="L974" s="63" t="str">
        <x:v>A. 正确书写横向笔画“一”时，白纸受到笔的摩擦力方向向左 B. 若想使笔画更粗，小余可将笔适当倾斜，其余条件不变，笔对纸的压强变大 C. 书写完毕，小余将笔放在手写板的白纸上，此时笔、白纸、手写板的重力和桌面对手写板的支持力是平衡力 D. 作答完毕，老师利用蓝牙将小余的答案投屏在教室屏幕上，该操作在太空中也可以完成</x:v>
      </x:c>
      <x:c r="M974" s="63" t="str">
        <x:v>A．书写横向笔画“一”时，笔相对白纸向右运动，所以白纸受到笔的摩擦力方向应向右，故A错误；B．将笔适当倾斜，压力不变，受力面积变大，根据$p=\dfrac{F}{S}$可知，笔对纸的压强变小，故B错误；C．笔、白纸、手写板的重力和桌面对手写板的支持力这四个力中，桌面对手写板的支持力大小等于笔、白纸和手写板的重力之和，这三个力的合力与桌面对手写板的支持力是平衡力，但不能说这四个力是平衡力，故C错误；D．电磁波可以传递信息的，在太空中可以传播，所以老师利用蓝牙将小余的答案投屏在教室屏幕上，利用电磁波传递信息，该操作在太空中也可以完成，故D正确。故选D。</x:v>
      </x:c>
      <x:c r="N974" s="63" t="str">
        <x:v>https://k12static.xdf.cn/k12/image/externalized/d19d4241-fcbb-4280-9f2a-84041d4335fe.png</x:v>
      </x:c>
      <x:c r="O974" s="63" t="str">
        <x:v>https://k12static.xdf.cn/k12/image/externalized/508f5dcf-6709-45c2-af05-b454889833c5.png</x:v>
      </x:c>
      <x:c r="P974" s="63" t="str">
        <x:v>1-2步</x:v>
      </x:c>
      <x:c r="Q974" s="63" t="str">
        <x:v>概念判断</x:v>
      </x:c>
      <x:c r="R974" s="63" t="str">
        <x:v>单状态</x:v>
      </x:c>
      <x:c r="S974" s="63" t="str">
        <x:v>无约束</x:v>
      </x:c>
      <x:c r="T974" s="63" t="str">
        <x:v>无</x:v>
      </x:c>
      <x:c r="U974" s="63" t="str">
        <x:v>无</x:v>
      </x:c>
      <x:c r="V974" s="63" t="str">
        <x:v>简单因果推理</x:v>
      </x:c>
    </x:row>
    <x:row r="975">
      <x:c r="A975" s="64" t="str">
        <x:v>​3416553197168324608</x:v>
      </x:c>
      <x:c r="B975" s="65" t="str">
        <x:v>中等题</x:v>
      </x:c>
      <x:c r="C975" s="65" t="str">
        <x:v>中等题</x:v>
      </x:c>
      <x:c r="D975" s="65" t="str">
        <x:v>中等题</x:v>
      </x:c>
      <x:c r="E975" s="65" t="str">
        <x:v>保留原GPT裁定</x:v>
      </x:c>
      <x:c r="F975" s="65" t="str">
        <x:v>高</x:v>
      </x:c>
      <x:c r="G975" s="65" t="str">
        <x:v>中等题</x:v>
      </x:c>
      <x:c r="H975" s="65" t="str">
        <x:v>中等题</x:v>
      </x:c>
      <x:c r="I975" s="65" t="str">
        <x:v>题干、解析与结构证据支持中等题：step=1-2步，题型=概念判断，状态=单状态，约束=单一约束，推理=多层因果推理。教师、盲评和多次模型证据中未形成足以推翻原裁定的同向结构证据。</x:v>
      </x:c>
      <x:c r="J975" s="65" t="str">
        <x:v>未进入三次错题并集；逐题结构一致性复核</x:v>
      </x:c>
      <x:c r="K975" s="63" t="str">
        <x:v>杠杆受到两个拉力，忽略杆重，下列选项中，杠杆能保持水平静止且两个力臂相等的是（）</x:v>
      </x:c>
      <x:c r="L975" s="63" t="str"/>
      <x:c r="M975" s="63" t="str">
        <x:v>解：A、左右的力臂都是3格，力臂相等，但力不等，杠杆不能平衡，故A错误； B、左侧作用力与杠杆的夹角的锐角是30度，则力臂等于杠杆长的一半，即2格，故力臂相等，但力也相等，杠杆能平衡，故B正确； C、左右力臂不等，故不符合题意，故C错误； D、左右作用力都使得杠杆逆时针转动，没有阻力，不可能平衡，故D错误。 故选B</x:v>
      </x:c>
      <x:c r="N975" s="63" t="str">
        <x:v>https://k12static.xdf.cn/k12/image/externalized/32d01709-2da7-4d46-857a-f35bcb486b4e.png</x:v>
      </x:c>
      <x:c r="O975" s="63" t="str">
        <x:v>https://k12static.xdf.cn/k12/image/externalized/dbe14705-2f4e-4b05-94fc-a295ea881499.png</x:v>
      </x:c>
      <x:c r="P975" s="63" t="str">
        <x:v>1-2步</x:v>
      </x:c>
      <x:c r="Q975" s="63" t="str">
        <x:v>概念判断</x:v>
      </x:c>
      <x:c r="R975" s="63" t="str">
        <x:v>单状态</x:v>
      </x:c>
      <x:c r="S975" s="63" t="str">
        <x:v>单一约束</x:v>
      </x:c>
      <x:c r="T975" s="63" t="str">
        <x:v>无</x:v>
      </x:c>
      <x:c r="U975" s="63" t="str">
        <x:v>无</x:v>
      </x:c>
      <x:c r="V975" s="63" t="str">
        <x:v>多层因果推理</x:v>
      </x:c>
    </x:row>
    <x:row r="976">
      <x:c r="A976" s="64" t="str">
        <x:v>​3419307025420296192</x:v>
      </x:c>
      <x:c r="B976" s="65" t="str">
        <x:v>基础题</x:v>
      </x:c>
      <x:c r="C976" s="65" t="str">
        <x:v>基础题</x:v>
      </x:c>
      <x:c r="D976" s="65" t="str">
        <x:v>基础题</x:v>
      </x:c>
      <x:c r="E976" s="65" t="str">
        <x:v>保留原GPT裁定</x:v>
      </x:c>
      <x:c r="F976" s="65" t="str">
        <x:v>高</x:v>
      </x:c>
      <x:c r="G976" s="65" t="str">
        <x:v>基础题</x:v>
      </x:c>
      <x:c r="H976" s="65" t="str">
        <x:v>基础题</x:v>
      </x:c>
      <x:c r="I976" s="65" t="str">
        <x:v>题干、解析与结构证据支持基础题：step=1-2步，题型=力学综合，状态=单状态，约束=无约束，推理=简单因果推理。教师、盲评和多次模型证据中未形成足以推翻原裁定的同向结构证据。</x:v>
      </x:c>
      <x:c r="J976" s="65" t="str">
        <x:v>未进入三次错题并集；逐题结构一致性复核</x:v>
      </x:c>
      <x:c r="K976" s="63" t="str">
        <x:v>某铁路大桥全长4.8千米，一列长为200米的火车匀速行驶，行驶1千米需要50秒，求：</x:v>
      </x:c>
      <x:c r="L976" s="63" t="str"/>
      <x:c r="M976" s="63" t="str"/>
      <x:c r="N976" s="63" t="str">
        <x:v>https://k12static.xdf.cn/k12/image/externalized/932c3009-0c7d-4d33-ba75-be867972366c.png</x:v>
      </x:c>
      <x:c r="O976" s="63" t="str">
        <x:v>https://k12static.xdf.cn/k12/image/externalized/bf5d2626-d812-4966-9291-a2c6f052ed31.png</x:v>
      </x:c>
      <x:c r="P976" s="63" t="str">
        <x:v>1-2步</x:v>
      </x:c>
      <x:c r="Q976" s="63" t="str">
        <x:v>力学综合</x:v>
      </x:c>
      <x:c r="R976" s="63" t="str">
        <x:v>单状态</x:v>
      </x:c>
      <x:c r="S976" s="63" t="str">
        <x:v>无约束</x:v>
      </x:c>
      <x:c r="T976" s="63" t="str">
        <x:v>无</x:v>
      </x:c>
      <x:c r="U976" s="63" t="str">
        <x:v>无</x:v>
      </x:c>
      <x:c r="V976" s="63" t="str">
        <x:v>简单因果推理</x:v>
      </x:c>
    </x:row>
    <x:row r="977">
      <x:c r="A977" s="64" t="str">
        <x:v>​3426687427685425152</x:v>
      </x:c>
      <x:c r="B977" s="65" t="str">
        <x:v>基础题</x:v>
      </x:c>
      <x:c r="C977" s="65" t="str">
        <x:v>基础题</x:v>
      </x:c>
      <x:c r="D977" s="65" t="str">
        <x:v>基础题</x:v>
      </x:c>
      <x:c r="E977" s="65" t="str">
        <x:v>保留原GPT裁定</x:v>
      </x:c>
      <x:c r="F977" s="65" t="str">
        <x:v>高</x:v>
      </x:c>
      <x:c r="G977" s="65" t="str">
        <x:v>基础题</x:v>
      </x:c>
      <x:c r="H977" s="65" t="str">
        <x:v>基础题</x:v>
      </x:c>
      <x:c r="I977" s="65" t="str">
        <x:v>题干、解析与结构证据支持基础题：step=1-2步，题型=概念判断，状态=单状态，约束=无约束，推理=简单因果推理。教师、盲评和多次模型证据中未形成足以推翻原裁定的同向结构证据。</x:v>
      </x:c>
      <x:c r="J977" s="65" t="str">
        <x:v>未进入三次错题并集；逐题结构一致性复核</x:v>
      </x:c>
      <x:c r="K977" s="63" t="str">
        <x:v>2025年11月14日，神舟二十一号载人飞船返回舱成功着陆东风着陆场。返回舱在落地前的某段时间内沿竖直方向匀速下落，如图所示，这一过程中，关于返回舱的说法正确的是（ ）</x:v>
      </x:c>
      <x:c r="L977" s="63" t="str">
        <x:v>A. 只受到重力的作用 B. 对地球有吸引力 C. 所受拉力的施力物体是降落伞 D. 重力与所受空气阻力是一对平衡力</x:v>
      </x:c>
      <x:c r="M977" s="63" t="str">
        <x:v>A．返回舱沿竖直方向匀速下落，处于平衡状态，若只受重力，合力不为零，无法匀速运动。实际上它还受绳子的拉力、空气阻力等，故A错误；B．力的作用是相互的，地球对返回舱有吸引力，同时返回舱也对地球有吸引力，故B正确；C．返回舱通过绳子与降落伞连接，是绳子对返回舱施加了拉力，所以返回舱所受拉力的施力物体是绳子，而不是降落伞，故C错误；D．返回舱匀速下落，处于平衡状态，竖直方向受重力、绳子的拉力、空气阻力。重力与空气阻力大小不相等（还有拉力参与平衡），不是一对平衡力，故D错误。故选B。</x:v>
      </x:c>
      <x:c r="N977" s="63" t="str">
        <x:v>https://k12static.xdf.cn/k12/image/externalized/08d5d958-9d57-4ab3-8574-ea2d2bf22648.png</x:v>
      </x:c>
      <x:c r="O977" s="63" t="str">
        <x:v>https://k12static.xdf.cn/k12/image/externalized/db0ae56c-e78f-47a1-b10f-02a733d5f1e0.png</x:v>
      </x:c>
      <x:c r="P977" s="63" t="str">
        <x:v>1-2步</x:v>
      </x:c>
      <x:c r="Q977" s="63" t="str">
        <x:v>概念判断</x:v>
      </x:c>
      <x:c r="R977" s="63" t="str">
        <x:v>单状态</x:v>
      </x:c>
      <x:c r="S977" s="63" t="str">
        <x:v>无约束</x:v>
      </x:c>
      <x:c r="T977" s="63" t="str">
        <x:v>无</x:v>
      </x:c>
      <x:c r="U977" s="63" t="str">
        <x:v>无</x:v>
      </x:c>
      <x:c r="V977" s="63" t="str">
        <x:v>简单因果推理</x:v>
      </x:c>
    </x:row>
    <x:row r="978">
      <x:c r="A978" s="64" t="str">
        <x:v>​3431931022725890048</x:v>
      </x:c>
      <x:c r="B978" s="65" t="str">
        <x:v>中等题</x:v>
      </x:c>
      <x:c r="C978" s="65" t="str">
        <x:v>中等题</x:v>
      </x:c>
      <x:c r="D978" s="65" t="str">
        <x:v>中等题</x:v>
      </x:c>
      <x:c r="E978" s="65" t="str">
        <x:v>保留原GPT裁定</x:v>
      </x:c>
      <x:c r="F978" s="65" t="str">
        <x:v>高</x:v>
      </x:c>
      <x:c r="G978" s="65" t="str">
        <x:v>中等题</x:v>
      </x:c>
      <x:c r="H978" s="65" t="str">
        <x:v>中等题</x:v>
      </x:c>
      <x:c r="I978" s="65" t="str">
        <x:v>题干、解析与结构证据支持中等题：step=3-5步，题型=概念判断，状态=单状态，约束=单一约束，推理=多层因果推理。教师、盲评和多次模型证据中未形成足以推翻原裁定的同向结构证据。</x:v>
      </x:c>
      <x:c r="J978" s="65" t="str">
        <x:v>未进入三次错题并集；逐题结构一致性复核</x:v>
      </x:c>
      <x:c r="K978" s="63" t="str">
        <x:v>如下列图片所示，同一物块在不同的力F的作用下，分别在不同的水平桌面上沿水平方向做匀速直线运动（忽略空气阻力的影响），则下列说法正确的是（ ）</x:v>
      </x:c>
      <x:c r="L978" s="63" t="str">
        <x:v>A. 比较图甲、乙，若$F_{1}=2F_{2}$，且速度$v_{2}=2v_{1}$，则物块受到的摩擦力$f_{1}=f_{2}$ B. 比较图乙、丁，若物块受到的摩擦力$f_{2}=f_{4}$，则$F_{2}=F_{4}$ C. 分析图甲，若重力消失，则物块仍会水平向左做匀速直线运动 D. 分析图丙，若水平桌面是粗糙的，该物块可能会做匀速直线运动</x:v>
      </x:c>
      <x:c r="M978" s="63" t="str">
        <x:v>A.同一物块在不同的力F的作用下，分别在不同的水平桌面上沿水平方向做匀速直线运动，物块受力平衡。比较图甲、乙，若$F_{1}=2F_{2}$，物块在水平方向上受力平衡，则$F_{1}=f_{1}$，$F_{2}=f_{2}$，物块受到的摩擦力$f_{1}=2f_{2}$，故A错误；B.比较图乙、丁，若物块受到的摩擦力$f_{2}=f_{4}$，则物块在水平方向上受力平衡，$F_{4}$要大于物块受到的滑动摩擦力，所以$F_{2}，故B错误；C.分析图甲，若重力消失，物块对水平桌面无压力，受到的摩擦力为0，则物块在$F_{1}$的作用下会水平向左做加速直线运动，故C错误；D.分析图丙，若水平桌面是粗糙的，当$F_{3}$等于重力时，该物块会受到平衡力的作用，可能做匀速直线运动，故D正确。故选D。</x:v>
      </x:c>
      <x:c r="N978" s="63" t="str">
        <x:v>https://k12static.xdf.cn/k12/image/externalized/f612917b-8452-48de-94ec-84fa97ad88a2.png</x:v>
      </x:c>
      <x:c r="O978" s="63" t="str">
        <x:v>https://k12static.xdf.cn/k12/image/externalized/9f54f6b9-d0a6-47b6-a8f5-035b2a1ccaf7.png</x:v>
      </x:c>
      <x:c r="P978" s="63" t="str">
        <x:v>3-5步</x:v>
      </x:c>
      <x:c r="Q978" s="63" t="str">
        <x:v>概念判断</x:v>
      </x:c>
      <x:c r="R978" s="63" t="str">
        <x:v>单状态</x:v>
      </x:c>
      <x:c r="S978" s="63" t="str">
        <x:v>单一约束</x:v>
      </x:c>
      <x:c r="T978" s="63" t="str">
        <x:v>无</x:v>
      </x:c>
      <x:c r="U978" s="63" t="str">
        <x:v>无</x:v>
      </x:c>
      <x:c r="V978" s="63" t="str">
        <x:v>多层因果推理</x:v>
      </x:c>
    </x:row>
    <x:row r="979">
      <x:c r="A979" s="64" t="str">
        <x:v>​3453225179846823936</x:v>
      </x:c>
      <x:c r="B979" s="65" t="str">
        <x:v>中等题</x:v>
      </x:c>
      <x:c r="C979" s="65" t="str">
        <x:v>中等题</x:v>
      </x:c>
      <x:c r="D979" s="65" t="str">
        <x:v>中等题</x:v>
      </x:c>
      <x:c r="E979" s="65" t="str">
        <x:v>逐题复核后保留GPT裁定</x:v>
      </x:c>
      <x:c r="F979" s="65" t="str">
        <x:v>高</x:v>
      </x:c>
      <x:c r="G979" s="65" t="str">
        <x:v>中等题</x:v>
      </x:c>
      <x:c r="H979" s="65" t="str">
        <x:v>中等题</x:v>
      </x:c>
      <x:c r="I979" s="65" t="str">
        <x:v>存在约3—4步常规连续分析、共享过程或完整标准实验任务，关系仍显性。 题目证据：最长连续链实际有效物理决策3步，五维锚定结果为中等题。三个小问分别考查三种不同运动路程的识别，核心是区分"人通过隧道"、"火车完全通过隧道"、"火车完全在桥上"三种不同情况的路程计算规则，需要分别判断路程与隧道/桥长、火车长的关系，不存在答案依赖，属于三个独立的常规分析任务。</x:v>
      </x:c>
      <x:c r="J979" s="65" t="str">
        <x:v>三次运行错题并集逐题复核</x:v>
      </x:c>
      <x:c r="K979" s="63" t="str">
        <x:v>暑假期间，小明从武汉乘火车到北京旅游，他乘坐的火车长500m。途中当该火车以$20\mathrm{m}/\mathrm{s}$的速度匀速穿过一条直隧道时，小明测出自己通过该隧道的时间为70s。求：</x:v>
      </x:c>
      <x:c r="L979" s="63" t="str"/>
      <x:c r="M979" s="63" t="str"/>
      <x:c r="N979" s="63" t="str">
        <x:v>https://k12static.xdf.cn/k12/image/externalized/ce4b378f-24e7-4e06-828f-18fc3498397a.png</x:v>
      </x:c>
      <x:c r="O979" s="63" t="str">
        <x:v>https://k12static.xdf.cn/k12/image/externalized/ebe673f3-70b6-4b5f-bcd1-b4e470ebd889.png</x:v>
      </x:c>
      <x:c r="P979" s="63" t="str">
        <x:v>1-2步</x:v>
      </x:c>
      <x:c r="Q979" s="63" t="str">
        <x:v>力学综合</x:v>
      </x:c>
      <x:c r="R979" s="63" t="str">
        <x:v>单状态</x:v>
      </x:c>
      <x:c r="S979" s="63" t="str">
        <x:v>无约束</x:v>
      </x:c>
      <x:c r="T979" s="63" t="str">
        <x:v>无</x:v>
      </x:c>
      <x:c r="U979" s="63" t="str">
        <x:v>无</x:v>
      </x:c>
      <x:c r="V979" s="63" t="str">
        <x:v>多层因果推理</x:v>
      </x:c>
    </x:row>
    <x:row r="980">
      <x:c r="A980" s="64" t="str">
        <x:v>​3463085103651799040</x:v>
      </x:c>
      <x:c r="B980" s="65" t="str">
        <x:v>中等题</x:v>
      </x:c>
      <x:c r="C980" s="65" t="str">
        <x:v>中等题</x:v>
      </x:c>
      <x:c r="D980" s="65" t="str">
        <x:v>中等题</x:v>
      </x:c>
      <x:c r="E980" s="65" t="str">
        <x:v>保留原GPT裁定</x:v>
      </x:c>
      <x:c r="F980" s="65" t="str">
        <x:v>高</x:v>
      </x:c>
      <x:c r="G980" s="65" t="str">
        <x:v>中等题</x:v>
      </x:c>
      <x:c r="H980" s="65" t="str">
        <x:v>中等题</x:v>
      </x:c>
      <x:c r="I980" s="65" t="str">
        <x:v>题干、解析与结构证据支持中等题：step=3-5步，题型=概念判断，状态=多状态，约束=单一约束，推理=多层因果推理。教师、盲评和多次模型证据中未形成足以推翻原裁定的同向结构证据。</x:v>
      </x:c>
      <x:c r="J980" s="65" t="str">
        <x:v>未进入三次错题并集；逐题结构一致性复核</x:v>
      </x:c>
      <x:c r="K980" s="63" t="str">
        <x:v>将体积为$0.5\mathrm{dm}^{3}$的铝球放入盛有足量水的容器中，则该球受到的浮力（ ）</x:v>
      </x:c>
      <x:c r="L980" s="63" t="str">
        <x:v>A. 等于4.9N B. 小于4.9N C. 大于4.9N D. 无法确定</x:v>
      </x:c>
      <x:c r="M980" s="63" t="str">
        <x:v>计算完全浸没时的浮力铝球体积$V=0.5\mathrm{dm}^{3}=0.5\times 10^{-3}\mathrm{m}^{3}$。根据阿基米德原理，若铝球完全浸没在水中，排开水的体积等于自身体积，此时浮力为：$F_{\mathrm{浮}}=\rho _{\mathrm{水}}gV_{\mathrm{排}}=1.0\times 10^{3}\mathrm{kg}/\mathrm{m}^{3}\times 9.8\mathrm{N}/\mathrm{kg}\times 0.5\times 10^{-3}\mathrm{m}^{3}=4.9\mathrm{N}$。若铝球是实心的，其重力 $G=\rho _{\mathrm{铝}}gV=2.7\times 10^{3}\mathrm{kg}/\mathrm{m}^{3}\times 9.8\mathrm{N}/\mathrm{kg}\times 0.5\times 10^{-3}\mathrm{m}^{3}=13.23\mathrm{N}$，远大于浮力，会下沉并完全浸没，浮力为 4.9N。若铝球是空心的：当空心部分较大，使铝球平均密度小于水的密度时，铝球会漂浮，此时浮力等于重力，因此浮力也小于 4.9N。当空心部分恰好使铝球平均密度等于水的密度时，铝球会悬浮，此时浮力等于重力，也等于 4.9N。由于题目未说明铝球是实心还是空心，其浮力可能等于 4.9N，也可能小于 4.9N，因此无法确定，故ABC错误，D正确。故选D。</x:v>
      </x:c>
      <x:c r="N980" s="63" t="str">
        <x:v>https://k12static.xdf.cn/k12/image/externalized/bd79caea-fe8a-4ce3-b3a0-d6a701205231.png</x:v>
      </x:c>
      <x:c r="O980" s="63" t="str">
        <x:v>https://k12static.xdf.cn/k12/image/externalized/75ad20a0-a413-4da1-b429-cce2538f2e4e.png</x:v>
      </x:c>
      <x:c r="P980" s="63" t="str">
        <x:v>3-5步</x:v>
      </x:c>
      <x:c r="Q980" s="63" t="str">
        <x:v>概念判断</x:v>
      </x:c>
      <x:c r="R980" s="63" t="str">
        <x:v>多状态</x:v>
      </x:c>
      <x:c r="S980" s="63" t="str">
        <x:v>单一约束</x:v>
      </x:c>
      <x:c r="T980" s="63" t="str">
        <x:v>无</x:v>
      </x:c>
      <x:c r="U980" s="63" t="str">
        <x:v>无</x:v>
      </x:c>
      <x:c r="V980" s="63" t="str">
        <x:v>多层因果推理</x:v>
      </x:c>
    </x:row>
    <x:row r="981">
      <x:c r="A981" s="64" t="str">
        <x:v>​3537461224466554880</x:v>
      </x:c>
      <x:c r="B981" s="65" t="str">
        <x:v>送分题</x:v>
      </x:c>
      <x:c r="C981" s="65" t="str">
        <x:v>送分题</x:v>
      </x:c>
      <x:c r="D981" s="65" t="str">
        <x:v>送分题</x:v>
      </x:c>
      <x:c r="E981" s="65" t="str">
        <x:v>保留原GPT裁定</x:v>
      </x:c>
      <x:c r="F981" s="65" t="str">
        <x:v>高</x:v>
      </x:c>
      <x:c r="G981" s="65" t="str">
        <x:v>送分题</x:v>
      </x:c>
      <x:c r="H981" s="65" t="str">
        <x:v>送分题</x:v>
      </x:c>
      <x:c r="I981" s="65" t="str">
        <x:v>题干、解析与结构证据支持送分题：step=1-2步，题型=概念判断，状态=单状态，约束=无约束，推理=直接套用。教师、盲评和多次模型证据中未形成足以推翻原裁定的同向结构证据。</x:v>
      </x:c>
      <x:c r="J981" s="65" t="str">
        <x:v>未进入三次错题并集；逐题结构一致性复核</x:v>
      </x:c>
      <x:c r="K981" s="63" t="str">
        <x:v>如图所示，在2026年春晚《武BOT》表演中，工作人员通过程序调节机器人发声部件的振动快慢，让机器人发出偏高的提示音。调节振动快慢，本质是改变了声音的（ ）</x:v>
      </x:c>
      <x:c r="L981" s="63" t="str">
        <x:v>A. 响度 B. 音调 C. 音色 D. 振幅</x:v>
      </x:c>
      <x:c r="M981" s="63" t="str">
        <x:v>声音的音调由发声体振动的快慢（频率）决定：振动越快，频率越高，音调越高。调节发声部件的振动快慢，本质就是改变声音的音调。 响度由振动的振幅决定，音色由发声体的材料、结构决定，故ACD不符合题意，B符合题意。故选B。</x:v>
      </x:c>
      <x:c r="N981" s="63" t="str">
        <x:v>https://k12static.xdf.cn/k12/image/externalized/49f11477-bf88-4915-8988-e6d6ade5e212.png</x:v>
      </x:c>
      <x:c r="O981" s="63" t="str">
        <x:v>https://k12static.xdf.cn/k12/image/externalized/df4be9f5-7d86-499d-9708-30270ea0894b.png</x:v>
      </x:c>
      <x:c r="P981" s="63" t="str">
        <x:v>1-2步</x:v>
      </x:c>
      <x:c r="Q981" s="63" t="str">
        <x:v>概念判断</x:v>
      </x:c>
      <x:c r="R981" s="63" t="str">
        <x:v>单状态</x:v>
      </x:c>
      <x:c r="S981" s="63" t="str">
        <x:v>无约束</x:v>
      </x:c>
      <x:c r="T981" s="63" t="str">
        <x:v>无</x:v>
      </x:c>
      <x:c r="U981" s="63" t="str">
        <x:v>无</x:v>
      </x:c>
      <x:c r="V981" s="63" t="str">
        <x:v>直接套用</x:v>
      </x:c>
    </x:row>
    <x:row r="982">
      <x:c r="A982" s="64" t="str">
        <x:v>​3572004624985788416</x:v>
      </x:c>
      <x:c r="B982" s="65" t="str">
        <x:v>中等题</x:v>
      </x:c>
      <x:c r="C982" s="65" t="str">
        <x:v>中等题</x:v>
      </x:c>
      <x:c r="D982" s="65" t="str">
        <x:v>中等题</x:v>
      </x:c>
      <x:c r="E982" s="65" t="str">
        <x:v>保留原GPT裁定</x:v>
      </x:c>
      <x:c r="F982" s="65" t="str">
        <x:v>高</x:v>
      </x:c>
      <x:c r="G982" s="65" t="str">
        <x:v>中等题</x:v>
      </x:c>
      <x:c r="H982" s="65" t="str">
        <x:v>中等题</x:v>
      </x:c>
      <x:c r="I982" s="65" t="str">
        <x:v>题干、解析与结构证据支持中等题：step=3-5步，题型=概念判断，状态=多状态，约束=无约束，推理=多层因果推理。教师、盲评和多次模型证据中未形成足以推翻原裁定的同向结构证据。</x:v>
      </x:c>
      <x:c r="J982" s="65" t="str">
        <x:v>未进入三次错题并集；逐题结构一致性复核</x:v>
      </x:c>
      <x:c r="K982" s="63" t="str">
        <x:v>如图所示，小明在做模拟“蹦极”的小实验，一根橡皮筋一端系一个小石块，另一端固定在A点，B点是橡皮筋不系小石块自然下垂时下端所在的位置，C点是小石块从A点自由释放后所能达到的最低点，不计空气阻力，关于小石块从A点到C点运动过程的说法正确的是（ ）</x:v>
      </x:c>
      <x:c r="L982" s="63" t="str">
        <x:v>A. 从A点下落到B点的过程中，小石块仅受到重力的作用 B. 小石块在C点时，速度为零是因为受到平衡力的作用 C. 从B点下落到C点的过程中，小石块的动能先增大后减小 D. 小石块过B点后，动能和重力势能都减小，橡皮筋的弹性势能增大</x:v>
      </x:c>
      <x:c r="M982" s="63" t="str">
        <x:v>A．不计空气阻力的情况下，从A点下落到B点过程中，橡皮筋没有发生形变，小石块只受到重力的作用，故A正确。B．小石块在C点时，虽然速度为零，但橡皮筋的弹力大于小石块的重力，所以小石块受力不平衡，故B错误。C．小石块从B点到C点的过程中，速度先增大后变小，故其动能先增大后减小，故C正确。D．小石块经过B点后，速度先增大后减小，所以动能是先增大后减小，重力势能随高度的减小而减小，橡皮筋在此过程中弹力越来越大，弹性势能增大，故D错误。故选AC。</x:v>
      </x:c>
      <x:c r="N982" s="63" t="str">
        <x:v>https://k12static.xdf.cn/k12/image/externalized/f3d55efc-c278-4f26-ae53-d0a22e9aae14.png</x:v>
      </x:c>
      <x:c r="O982" s="63" t="str">
        <x:v>https://k12static.xdf.cn/k12/image/externalized/a88620c1-75f9-49c0-b2d8-3521f4d437d8.png</x:v>
      </x:c>
      <x:c r="P982" s="63" t="str">
        <x:v>3-5步</x:v>
      </x:c>
      <x:c r="Q982" s="63" t="str">
        <x:v>概念判断</x:v>
      </x:c>
      <x:c r="R982" s="63" t="str">
        <x:v>多状态</x:v>
      </x:c>
      <x:c r="S982" s="63" t="str">
        <x:v>无约束</x:v>
      </x:c>
      <x:c r="T982" s="63" t="str">
        <x:v>无</x:v>
      </x:c>
      <x:c r="U982" s="63" t="str">
        <x:v>无</x:v>
      </x:c>
      <x:c r="V982" s="63" t="str">
        <x:v>多层因果推理</x:v>
      </x:c>
    </x:row>
    <x:row r="983">
      <x:c r="A983" s="64" t="str">
        <x:v>​3581126944598011904</x:v>
      </x:c>
      <x:c r="B983" s="65" t="str">
        <x:v>基础题</x:v>
      </x:c>
      <x:c r="C983" s="65" t="str">
        <x:v>基础题</x:v>
      </x:c>
      <x:c r="D983" s="65" t="str">
        <x:v>基础题</x:v>
      </x:c>
      <x:c r="E983" s="65" t="str">
        <x:v>保留原GPT裁定</x:v>
      </x:c>
      <x:c r="F983" s="65" t="str">
        <x:v>高</x:v>
      </x:c>
      <x:c r="G983" s="65" t="str">
        <x:v>基础题</x:v>
      </x:c>
      <x:c r="H983" s="65" t="str">
        <x:v>基础题</x:v>
      </x:c>
      <x:c r="I983" s="65" t="str">
        <x:v>题干、解析与结构证据支持基础题：step=1-2步，题型=概念判断，状态=单状态，约束=无约束，推理=简单因果推理。教师、盲评和多次模型证据中未形成足以推翻原裁定的同向结构证据。</x:v>
      </x:c>
      <x:c r="J983" s="65" t="str">
        <x:v>未进入三次错题并集；逐题结构一致性复核</x:v>
      </x:c>
      <x:c r="K983" s="63" t="str">
        <x:v>关于以下科技产品中的电磁现象，说法正确的是（ ）</x:v>
      </x:c>
      <x:c r="L983" s="63" t="str">
        <x:v>A. 手机无线充电利用了电磁感应原理 B. 5G通信信号的传播速度比4G快 C. 电磁铁的磁性强弱与线圈匝数无关 D. 电动机工作时将电能转化为机械能</x:v>
      </x:c>
      <x:c r="M983" s="63" t="str">
        <x:v>A．手机无线充电通过发射端产生变化磁场，接收端感应出电流实现充电，利用了电磁感应原理，故A正确；B．5G和4G通信信号都属于电磁波，电磁波在同种介质中传播速度相同（均等于光速），故B错误；C．电磁铁的磁性强弱与线圈匝数有关，其它条件相同时，线圈匝数越多，电磁铁的磁性越强，故C错误；D．电动机利用通电导体在磁场中受力运动而工作，工作过程中将电能转化为机械能，故D正确。故选AD。</x:v>
      </x:c>
      <x:c r="N983" s="63" t="str">
        <x:v>https://k12static.xdf.cn/k12/image/externalized/da1ef95f-9374-4140-8d53-fb2fa3219f9a.png</x:v>
      </x:c>
      <x:c r="O983" s="63" t="str">
        <x:v>https://k12static.xdf.cn/k12/image/externalized/d1a8708e-74a7-44a1-8a82-db7507c1e970.png</x:v>
      </x:c>
      <x:c r="P983" s="63" t="str">
        <x:v>1-2步</x:v>
      </x:c>
      <x:c r="Q983" s="63" t="str">
        <x:v>概念判断</x:v>
      </x:c>
      <x:c r="R983" s="63" t="str">
        <x:v>单状态</x:v>
      </x:c>
      <x:c r="S983" s="63" t="str">
        <x:v>无约束</x:v>
      </x:c>
      <x:c r="T983" s="63" t="str">
        <x:v>无</x:v>
      </x:c>
      <x:c r="U983" s="63" t="str">
        <x:v>无</x:v>
      </x:c>
      <x:c r="V983" s="63" t="str">
        <x:v>简单因果推理</x:v>
      </x:c>
    </x:row>
    <x:row r="984">
      <x:c r="A984" s="64" t="str">
        <x:v>​3583484353160990720</x:v>
      </x:c>
      <x:c r="B984" s="65" t="str">
        <x:v>压轴题</x:v>
      </x:c>
      <x:c r="C984" s="65" t="str">
        <x:v>压轴题</x:v>
      </x:c>
      <x:c r="D984" s="65" t="str">
        <x:v>压轴题</x:v>
      </x:c>
      <x:c r="E984" s="65" t="str">
        <x:v>逐题复核后保留GPT裁定</x:v>
      </x:c>
      <x:c r="F984" s="65" t="str">
        <x:v>高</x:v>
      </x:c>
      <x:c r="G984" s="65" t="str">
        <x:v>压轴题</x:v>
      </x:c>
      <x:c r="H984" s="65" t="str">
        <x:v>压轴题</x:v>
      </x:c>
      <x:c r="I984" s="65" t="str">
        <x:v>题目把电路状态、图线/参数与安全约束组织成多对象、多状态、多约束的共享模型网络，后续任务依赖前述状态/参数，并要求分类、临界/边界、有效解筛选或可行性验证，属于7步以上的完整耦合链。</x:v>
      </x:c>
      <x:c r="J984" s="65" t="str">
        <x:v>三次运行错题并集逐题复核</x:v>
      </x:c>
      <x:c r="K984" s="63" t="str">
        <x:v>如图甲所示电路中，电源电压不变，R1=20Ω，滑动变阻器R2的最大电阻为50Ω，电流表使用的量程为0～0.6A。小灯泡L的额定电压为3.8V，其电流随电压的变化规律如乙图所示。当只闭合S2时，电流表的示数为0.25A。求：</x:v>
      </x:c>
      <x:c r="L984" s="63" t="str"/>
      <x:c r="M984" s="63" t="str"/>
      <x:c r="N984" s="63" t="str">
        <x:v>https://k12static.xdf.cn/k12/image/externalized/683ee6db-4898-4b0f-8ad3-27c3e5a4d9c4.png</x:v>
      </x:c>
      <x:c r="O984" s="63" t="str">
        <x:v>https://k12static.xdf.cn/k12/image/externalized/204980b5-ed32-407b-9a6d-30750db30a0e.png</x:v>
      </x:c>
      <x:c r="P984" s="63" t="str">
        <x:v>3-5步</x:v>
      </x:c>
      <x:c r="Q984" s="63" t="str">
        <x:v>电路综合</x:v>
      </x:c>
      <x:c r="R984" s="63" t="str">
        <x:v>多状态</x:v>
      </x:c>
      <x:c r="S984" s="63" t="str">
        <x:v>单一约束</x:v>
      </x:c>
      <x:c r="T984" s="63" t="str">
        <x:v>无</x:v>
      </x:c>
      <x:c r="U984" s="63" t="str">
        <x:v>直接读数</x:v>
      </x:c>
      <x:c r="V984" s="63" t="str">
        <x:v>多层因果推理</x:v>
      </x:c>
    </x:row>
    <x:row r="985">
      <x:c r="A985" s="64" t="str">
        <x:v>​3611023986108964864</x:v>
      </x:c>
      <x:c r="B985" s="65" t="str">
        <x:v>压轴题</x:v>
      </x:c>
      <x:c r="C985" s="65" t="str">
        <x:v>压轴题</x:v>
      </x:c>
      <x:c r="D985" s="65" t="str">
        <x:v>压轴题</x:v>
      </x:c>
      <x:c r="E985" s="65" t="str">
        <x:v>逐题复核后保留GPT裁定</x:v>
      </x:c>
      <x:c r="F985" s="65" t="str">
        <x:v>高</x:v>
      </x:c>
      <x:c r="G985" s="65" t="str">
        <x:v>压轴题</x:v>
      </x:c>
      <x:c r="H985" s="65" t="str">
        <x:v>压轴题</x:v>
      </x:c>
      <x:c r="I985" s="65" t="str">
        <x:v>题目把受力、浮力/压强与状态变化组织成多对象、多状态、多约束的共享模型网络，后续任务依赖前述状态/参数，并要求分类、临界/边界、有效解筛选或可行性验证，属于7步以上的完整耦合链。</x:v>
      </x:c>
      <x:c r="J985" s="65" t="str">
        <x:v>三次运行错题并集逐题复核</x:v>
      </x:c>
      <x:c r="K985" s="63" t="str">
        <x:v>“国之重器”中的起重船在我国很多伟大的工程中发挥着重要作用。起重船的工作就是将重物起吊移至指定位置。如图甲所示，一艘起重船自身质量$m_{1}=10^{7}\mathrm{kg}$，要吊装的重物质量$m_{2}=10^{6}\mathrm{kg}$。为了防止起重船吊装重物时发生倾斜，在起重船的船体两侧建造了由许多小舱室组成的水舱。起重船吊起重物后，就通过抽水机将一侧水舱里的水抽向另一侧水舱来保持起重船平衡，示意图如图乙所示。小海设计了一种用力传感器感知抽水量的长方体水舱模型，其底面积为$2\mathrm{m}^{2}$，示意图如图丙所示，其中A是固定的力传感器，能够显示B对它的压力或拉力的大小；B是质量和体积均可忽略的细直杆，B的上端固定在A上，下端固定在物体C上；物体C是质量为 $\rm20kg$ 、高度为 $\rm2m$ 的圆柱体。水舱中装有$4.2\mathrm{m}^{3}$的水，抽水机将水抽出的过程中，力传感器示数 $F$ 的大小随抽出水的体积 $V$ 变化的图像如图丁所示。求：</x:v>
      </x:c>
      <x:c r="L985" s="63" t="str"/>
      <x:c r="M985" s="63" t="str"/>
      <x:c r="N985" s="63" t="str">
        <x:v>https://k12static.xdf.cn/k12/image/externalized/1a3dbfc6-17ef-41e0-9b72-f9491cc5db23.png</x:v>
      </x:c>
      <x:c r="O985" s="63" t="str">
        <x:v>https://k12static.xdf.cn/k12/image/externalized/d2ab7a72-0fcd-43ce-8096-08ebffa201b1.png</x:v>
      </x:c>
      <x:c r="P985" s="63" t="str">
        <x:v>3-5步</x:v>
      </x:c>
      <x:c r="Q985" s="63" t="str">
        <x:v>力学综合</x:v>
      </x:c>
      <x:c r="R985" s="63" t="str">
        <x:v>多状态</x:v>
      </x:c>
      <x:c r="S985" s="63" t="str">
        <x:v>单一约束</x:v>
      </x:c>
      <x:c r="T985" s="63" t="str">
        <x:v>无</x:v>
      </x:c>
      <x:c r="U985" s="63" t="str">
        <x:v>多组比较归纳</x:v>
      </x:c>
      <x:c r="V985" s="63" t="str">
        <x:v>多层因果推理</x:v>
      </x:c>
    </x:row>
    <x:row r="986">
      <x:c r="A986" s="64" t="str">
        <x:v>​3649024799539011584</x:v>
      </x:c>
      <x:c r="B986" s="65" t="str">
        <x:v>拔高题</x:v>
      </x:c>
      <x:c r="C986" s="65" t="str">
        <x:v>拔高题</x:v>
      </x:c>
      <x:c r="D986" s="65" t="str">
        <x:v>拔高题</x:v>
      </x:c>
      <x:c r="E986" s="65" t="str">
        <x:v>保留原GPT裁定</x:v>
      </x:c>
      <x:c r="F986" s="65" t="str">
        <x:v>高</x:v>
      </x:c>
      <x:c r="G986" s="65" t="str">
        <x:v>拔高题</x:v>
      </x:c>
      <x:c r="H986" s="65" t="str">
        <x:v>拔高题</x:v>
      </x:c>
      <x:c r="I986" s="65" t="str">
        <x:v>题干、解析与结构证据支持拔高题：step=3-5步，题型=电路综合，状态=双状态，约束=多约束，推理=多层因果推理。教师、盲评和多次模型证据中未形成足以推翻原裁定的同向结构证据。</x:v>
      </x:c>
      <x:c r="J986" s="65" t="str">
        <x:v>未进入三次错题并集；逐题结构一致性复核</x:v>
      </x:c>
      <x:c r="K986" s="63" t="str">
        <x:v>小丽同学在实验室设计了一款测量物体重力的装置，其示意图如图甲，物体放在有弹簧支撑的托盘上，弹簧底部固定，该装置可以通过电表示数转换测出重力大小。图乙是变阻器接入电路中的阻值Rp与被测物体重力G的关系图像。电源电压恒为24V，定值电阻R0为30Ω，电流表量程为0~0.6A，电压表量程为0~15V， 变阻器标有“50Ω 1A”。</x:v>
      </x:c>
      <x:c r="L986" s="63" t="str"/>
      <x:c r="M986" s="63" t="str"/>
      <x:c r="N986" s="63" t="str">
        <x:v>https://k12static.xdf.cn/k12/image/externalized/de5f246e-bf28-428a-87db-8c66363a4a6a.png</x:v>
      </x:c>
      <x:c r="O986" s="63" t="str">
        <x:v>https://k12static.xdf.cn/k12/image/externalized/8fe5cec8-400d-4f8e-8763-b391a65a0427.png</x:v>
      </x:c>
      <x:c r="P986" s="63" t="str">
        <x:v>3-5步</x:v>
      </x:c>
      <x:c r="Q986" s="63" t="str">
        <x:v>电路综合</x:v>
      </x:c>
      <x:c r="R986" s="63" t="str">
        <x:v>双状态</x:v>
      </x:c>
      <x:c r="S986" s="63" t="str">
        <x:v>多约束</x:v>
      </x:c>
      <x:c r="T986" s="63" t="str">
        <x:v>无</x:v>
      </x:c>
      <x:c r="U986" s="63" t="str">
        <x:v>直接读数</x:v>
      </x:c>
      <x:c r="V986" s="63" t="str">
        <x:v>多层因果推理</x:v>
      </x:c>
    </x:row>
    <x:row r="987">
      <x:c r="A987" s="64" t="str">
        <x:v>​3650567768273911808</x:v>
      </x:c>
      <x:c r="B987" s="65" t="str">
        <x:v>压轴题</x:v>
      </x:c>
      <x:c r="C987" s="65" t="str">
        <x:v>压轴题</x:v>
      </x:c>
      <x:c r="D987" s="65" t="str">
        <x:v>压轴题</x:v>
      </x:c>
      <x:c r="E987" s="65" t="str">
        <x:v>逐题复核后保留GPT裁定</x:v>
      </x:c>
      <x:c r="F987" s="65" t="str">
        <x:v>高</x:v>
      </x:c>
      <x:c r="G987" s="65" t="str">
        <x:v>压轴题</x:v>
      </x:c>
      <x:c r="H987" s="65" t="str">
        <x:v>压轴题</x:v>
      </x:c>
      <x:c r="I987" s="65" t="str">
        <x:v>题目把电路状态、图线/参数与安全约束组织成多对象、多状态、多约束的共享模型网络，后续任务依赖前述状态/参数，并要求分类、临界/边界、有效解筛选或可行性验证，属于7步以上的完整耦合链。</x:v>
      </x:c>
      <x:c r="J987" s="65" t="str">
        <x:v>三次运行错题并集逐题复核</x:v>
      </x:c>
      <x:c r="K987" s="63" t="str">
        <x:v>现利用图1所示的器材制作“电子浮力秤”，用电压表（测量范围$0\sim U_{0}$）的示数表示所称物体质量的大小。圆柱形薄壁外筒内装有适量水，带有秤盘的圆柱形浮体竖直漂浮在水中，秤盘通过轻质绝缘硬杆与滑动变阻器的滑片P连接。称量前滑片P位于A端；当秤盘上所放物体的质量达到最大称量值时，滑片P位于B端，此时浮体刚好浸没且未触底，称量过程中水未溢出。请根据下表中的评价指标完成电路部分的设计。等级评价指标合格良好优秀称量物体的质量越大，电压表的示数越大满足合格要求且称量时电压表的示数变化范围为$\dfrac{1}{3}U_{0}\sim U_{0}$满足良好要求且电压表的示数随所称物体质量的变化而均匀变化</x:v>
      </x:c>
      <x:c r="L987" s="63" t="str"/>
      <x:c r="M987" s="63" t="str"/>
      <x:c r="N987" s="63" t="str">
        <x:v>https://k12static.xdf.cn/k12/image/externalized/6bd491f2-0083-4217-8ac0-88dad2f63935.png</x:v>
      </x:c>
      <x:c r="O987" s="63" t="str">
        <x:v>https://k12static.xdf.cn/k12/image/externalized/f4634cc5-93c8-4715-abb3-73f001335dea.png</x:v>
      </x:c>
      <x:c r="P987" s="63" t="str">
        <x:v>6-8步</x:v>
      </x:c>
      <x:c r="Q987" s="63" t="str">
        <x:v>跨模块综合</x:v>
      </x:c>
      <x:c r="R987" s="63" t="str">
        <x:v>双状态</x:v>
      </x:c>
      <x:c r="S987" s="63" t="str">
        <x:v>多约束</x:v>
      </x:c>
      <x:c r="T987" s="63" t="str">
        <x:v>方案设计或误差评价</x:v>
      </x:c>
      <x:c r="U987" s="63" t="str">
        <x:v>无</x:v>
      </x:c>
      <x:c r="V987" s="63" t="str">
        <x:v>逆向推理或临界分析</x:v>
      </x:c>
    </x:row>
    <x:row r="988">
      <x:c r="A988" s="64" t="str">
        <x:v>​3650594176350093312</x:v>
      </x:c>
      <x:c r="B988" s="65" t="str">
        <x:v>基础题</x:v>
      </x:c>
      <x:c r="C988" s="65" t="str">
        <x:v>基础题</x:v>
      </x:c>
      <x:c r="D988" s="65" t="str">
        <x:v>基础题</x:v>
      </x:c>
      <x:c r="E988" s="65" t="str">
        <x:v>保留原GPT裁定</x:v>
      </x:c>
      <x:c r="F988" s="65" t="str">
        <x:v>高</x:v>
      </x:c>
      <x:c r="G988" s="65" t="str">
        <x:v>基础题</x:v>
      </x:c>
      <x:c r="H988" s="65" t="str">
        <x:v>基础题</x:v>
      </x:c>
      <x:c r="I988" s="65" t="str">
        <x:v>题干、解析与结构证据支持基础题：step=1-2步，题型=概念判断，状态=单状态，约束=无约束，推理=简单因果推理。教师、盲评和多次模型证据中未形成足以推翻原裁定的同向结构证据。</x:v>
      </x:c>
      <x:c r="J988" s="65" t="str">
        <x:v>未进入三次错题并集；逐题结构一致性复核</x:v>
      </x:c>
      <x:c r="K988" s="63" t="str">
        <x:v>中国空间站为人类探索宇宙提供了太空科学平台，下列测量不能在空间站完成的是（ ）</x:v>
      </x:c>
      <x:c r="L988" s="63" t="str">
        <x:v>A. 用刻度尺测量长度 B. 用秒表测量时间 C. 用弹簧测力计测量重力 D. 用电流表测量电流</x:v>
      </x:c>
      <x:c r="M988" s="63" t="str">
        <x:v>中国空间站在轨运行时处于失重状态。A．刻度尺测量长度依靠的是物体长度与刻度的对应关系，该过程与重力无关，在空间站的失重环境中可以完成，故A不符合题意； B．秒表测量时间是利用计时装置的机械或电子计时原理，不受重力影响，在空间站中能够完成，故B不符合题意； C．弹簧测力计测量重力的原理是利用二力平衡，即物体的重力等于弹簧受到的拉力，但在空间站中物体处于失重状态，物体对弹簧测力计无拉力作用，无法测量重力，故C符合题意； D．电流表测量电流是利用通电导体在磁场中受到力的作用，与重力无关，在空间站中可以完成，故D不符合题意。故选C。</x:v>
      </x:c>
      <x:c r="N988" s="63" t="str">
        <x:v>https://k12static.xdf.cn/k12/image/externalized/87d41b6a-7ffc-46d1-af9a-e1c1b38dfab8.png</x:v>
      </x:c>
      <x:c r="O988" s="63" t="str">
        <x:v>https://k12static.xdf.cn/k12/image/externalized/2e4c1ede-245b-4cab-87e9-6e9e4af689fe.png</x:v>
      </x:c>
      <x:c r="P988" s="63" t="str">
        <x:v>1-2步</x:v>
      </x:c>
      <x:c r="Q988" s="63" t="str">
        <x:v>概念判断</x:v>
      </x:c>
      <x:c r="R988" s="63" t="str">
        <x:v>单状态</x:v>
      </x:c>
      <x:c r="S988" s="63" t="str">
        <x:v>无约束</x:v>
      </x:c>
      <x:c r="T988" s="63" t="str">
        <x:v>无</x:v>
      </x:c>
      <x:c r="U988" s="63" t="str">
        <x:v>无</x:v>
      </x:c>
      <x:c r="V988" s="63" t="str">
        <x:v>简单因果推理</x:v>
      </x:c>
    </x:row>
    <x:row r="989">
      <x:c r="A989" s="64" t="str">
        <x:v>​3650594178713079808</x:v>
      </x:c>
      <x:c r="B989" s="65" t="str">
        <x:v>基础题</x:v>
      </x:c>
      <x:c r="C989" s="65" t="str">
        <x:v>基础题</x:v>
      </x:c>
      <x:c r="D989" s="65" t="str">
        <x:v>基础题</x:v>
      </x:c>
      <x:c r="E989" s="65" t="str">
        <x:v>保留原GPT裁定</x:v>
      </x:c>
      <x:c r="F989" s="65" t="str">
        <x:v>高</x:v>
      </x:c>
      <x:c r="G989" s="65" t="str">
        <x:v>基础题</x:v>
      </x:c>
      <x:c r="H989" s="65" t="str">
        <x:v>基础题</x:v>
      </x:c>
      <x:c r="I989" s="65" t="str">
        <x:v>题干、解析与结构证据支持基础题：step=1-2步，题型=概念判断，状态=单状态，约束=无约束，推理=简单因果推理。教师、盲评和多次模型证据中未形成足以推翻原裁定的同向结构证据。</x:v>
      </x:c>
      <x:c r="J989" s="65" t="str">
        <x:v>未进入三次错题并集；逐题结构一致性复核</x:v>
      </x:c>
      <x:c r="K989" s="63" t="str">
        <x:v>油条是餐桌上的常见食品，关于它的制作过程，下列说法正确的是（ ）</x:v>
      </x:c>
      <x:c r="L989" s="63" t="str">
        <x:v>A. 抻拉面团时，面团发生了弹性形变 B. 炸油条是通过热传递的方式使其内能增加的 C. 当油条漂浮在油面上时，它受到的浮力大于重力 D. 刚出锅的油条很烫是因为它含有很多的热量</x:v>
      </x:c>
      <x:c r="M989" s="63" t="str">
        <x:v>A．抻拉面团后面团无法恢复原状，属于塑性形变，故A错误；B．炸油条时，油将热量传递给油条，是通过热传递增加油条的内能，故B正确；C．物体漂浮时处于平衡状态，受到的浮力等于自身重力，故C错误；D．热量是过程量，只能描述为“吸收/放出热量”，不能说物体“含有热量”，油条很烫是因为它的温度高，故D错误。故选B。</x:v>
      </x:c>
      <x:c r="N989" s="63" t="str">
        <x:v>https://k12static.xdf.cn/k12/image/externalized/4c1768ee-a2d7-401d-b797-4c1167a005d0.png</x:v>
      </x:c>
      <x:c r="O989" s="63" t="str">
        <x:v>https://k12static.xdf.cn/k12/image/externalized/0dd783dc-2f20-4497-b3d1-a054e59fb221.png</x:v>
      </x:c>
      <x:c r="P989" s="63" t="str">
        <x:v>1-2步</x:v>
      </x:c>
      <x:c r="Q989" s="63" t="str">
        <x:v>概念判断</x:v>
      </x:c>
      <x:c r="R989" s="63" t="str">
        <x:v>单状态</x:v>
      </x:c>
      <x:c r="S989" s="63" t="str">
        <x:v>无约束</x:v>
      </x:c>
      <x:c r="T989" s="63" t="str">
        <x:v>无</x:v>
      </x:c>
      <x:c r="U989" s="63" t="str">
        <x:v>无</x:v>
      </x:c>
      <x:c r="V989" s="63" t="str">
        <x:v>简单因果推理</x:v>
      </x:c>
    </x:row>
    <x:row r="990">
      <x:c r="A990" s="64" t="str">
        <x:v>​3650594256891260928</x:v>
      </x:c>
      <x:c r="B990" s="65" t="str">
        <x:v>基础题</x:v>
      </x:c>
      <x:c r="C990" s="65" t="str">
        <x:v>基础题</x:v>
      </x:c>
      <x:c r="D990" s="65" t="str">
        <x:v>基础题</x:v>
      </x:c>
      <x:c r="E990" s="65" t="str">
        <x:v>保留原GPT裁定</x:v>
      </x:c>
      <x:c r="F990" s="65" t="str">
        <x:v>高</x:v>
      </x:c>
      <x:c r="G990" s="65" t="str">
        <x:v>基础题</x:v>
      </x:c>
      <x:c r="H990" s="65" t="str">
        <x:v>基础题</x:v>
      </x:c>
      <x:c r="I990" s="65" t="str">
        <x:v>题干、解析与结构证据支持基础题：step=1-2步，题型=概念判断，状态=单状态，约束=无约束，推理=简单因果推理。教师、盲评和多次模型证据中未形成足以推翻原裁定的同向结构证据。</x:v>
      </x:c>
      <x:c r="J990" s="65" t="str">
        <x:v>未进入三次错题并集；逐题结构一致性复核</x:v>
      </x:c>
      <x:c r="K990" s="63" t="str">
        <x:v>大气压与我们的生活息息相关，下列实例没有利用大气压的是（ ）</x:v>
      </x:c>
      <x:c r="L990" s="63" t="str">
        <x:v>A. U形“反水管” B. 拔火罐 C. 用吸盘搬玻璃 D. 用吸管喝水</x:v>
      </x:c>
      <x:c r="M990" s="63" t="str">
        <x:v>A．U形“反水管”属于连通器，其原理是利用管内的存水来阻隔下水道的异味，与大气压无关，故A符合题意； B．拔火罐时排出罐内空气使气压减小，在外界大气压作用下将罐吸附在皮肤上，利用了大气压，故B不符合题意； C．吸盘搬玻璃时挤出内部空气，利用外界大气压将吸盘紧压在玻璃上，利用了大气压，故C不符合题意； D．用吸管喝水时吸气使管内气压减小，饮料在外界大气压作用下被压入嘴中，利用了大气压，故D不符合题意。 故选A。</x:v>
      </x:c>
      <x:c r="N990" s="63" t="str">
        <x:v>https://k12static.xdf.cn/k12/image/externalized/cd3c37dd-7882-471e-b2a8-6f8fbcc5377f.png</x:v>
      </x:c>
      <x:c r="O990" s="63" t="str">
        <x:v>https://k12static.xdf.cn/k12/image/externalized/20f2a45f-01ca-4d61-864a-856a961cbf4a.png</x:v>
      </x:c>
      <x:c r="P990" s="63" t="str">
        <x:v>1-2步</x:v>
      </x:c>
      <x:c r="Q990" s="63" t="str">
        <x:v>概念判断</x:v>
      </x:c>
      <x:c r="R990" s="63" t="str">
        <x:v>单状态</x:v>
      </x:c>
      <x:c r="S990" s="63" t="str">
        <x:v>无约束</x:v>
      </x:c>
      <x:c r="T990" s="63" t="str">
        <x:v>无</x:v>
      </x:c>
      <x:c r="U990" s="63" t="str">
        <x:v>无</x:v>
      </x:c>
      <x:c r="V990" s="63" t="str">
        <x:v>简单因果推理</x:v>
      </x:c>
    </x:row>
    <x:row r="991">
      <x:c r="A991" s="64" t="str">
        <x:v>​3650594264293400576</x:v>
      </x:c>
      <x:c r="B991" s="65" t="str">
        <x:v>拔高题</x:v>
      </x:c>
      <x:c r="C991" s="65" t="str">
        <x:v>拔高题</x:v>
      </x:c>
      <x:c r="D991" s="65" t="str">
        <x:v>拔高题</x:v>
      </x:c>
      <x:c r="E991" s="65" t="str">
        <x:v>保留原GPT裁定</x:v>
      </x:c>
      <x:c r="F991" s="65" t="str">
        <x:v>高</x:v>
      </x:c>
      <x:c r="G991" s="65" t="str">
        <x:v>拔高题</x:v>
      </x:c>
      <x:c r="H991" s="65" t="str">
        <x:v>拔高题</x:v>
      </x:c>
      <x:c r="I991" s="65" t="str">
        <x:v>题干、解析与结构证据支持拔高题：step=3-5步，题型=力学综合，状态=双状态，约束=单一约束，推理=多层因果推理。教师、盲评和多次模型证据中未形成足以推翻原裁定的同向结构证据。</x:v>
      </x:c>
      <x:c r="J991" s="65" t="str">
        <x:v>未进入三次错题并集；逐题结构一致性复核</x:v>
      </x:c>
      <x:c r="K991" s="63" t="str">
        <x:v>为了防暑降温，小明制作了一些冰块放在长方形容器中，并将盛有水的圆柱形杯子放置在冰块上，当容器中的冰完全熔化后，盛水的杯子漂浮在水面上，容器中水的深度为10cm。已知容器的底面积为$600\mathrm{~ cm}^{2}$，杯子的底面积为$100\mathrm{~ cm}^{2}$，杯子的质量为100g，杯中水的质量始终为500g，忽略杯子的厚度，不考虑水的蒸发。则冰熔化后，杯子所受的浮力为 N，杯子内外液面的高度差为 cm；熔化前，容器内冰块的体积为 $\mathrm{cm}^{3}$。（水的密度为$1.0\times 10^{3}\mathrm{~ kg}/\mathrm{m}^{3}$，冰的密度为$0.9\times 10^{3}\mathrm{~ kg}/\mathrm{m}^{3}$，$g$取$10\mathrm{~ N}/\mathrm{kg}$）</x:v>
      </x:c>
      <x:c r="L991" s="63" t="str"/>
      <x:c r="M991" s="63" t="str">
        <x:v>根据漂浮条件，盛水的杯子漂浮在水面上，浮力等于杯子与杯中水的总重力。杯子所受的浮力$F_{\mathrm{浮}}=G_{\mathrm{总}}=m_{\mathrm{总}}g=\left(100+500\right)\times 10^{-3}\mathrm{kg}\times 10\mathrm{N}/\mathrm{kg}=6\mathrm{N}$杯子排开水的体积$V_{\mathrm{排}}=\dfrac{F_{\mathrm{浮}}}{\rho _{\mathrm{水}}g}=\dfrac{6\mathrm{N}}{1.0\times 10^{3}\mathrm{kg}/\mathrm{m}^{3}\times 10\mathrm{N}/\mathrm{kg}}=600\mathrm{cm}^{3}$杯子浸入水中的深度$h_{\mathrm{浸}}=\dfrac{V_{\mathrm{排}}}{S_{\mathrm{杯}}}=\dfrac{600\mathrm{cm}^{3}}{100\mathrm{cm}^{2}}=6\mathrm{cm}$杯中水的体积$V_{\mathrm{水}}=\dfrac{m_{\mathrm{水}}}{\rho _{\mathrm{水}}}=\dfrac{500\mathrm{g}}{1\mathrm{g}/\mathrm{cm}^{3}}=500\mathrm{cm}^{3}$杯子内水的深度$h_{\mathrm{内}}=\dfrac{V_{\mathrm{水}}}{S_{\mathrm{杯}}}=\dfrac{500\mathrm{cm}^{3}}{100\mathrm{cm}^{2}}=5\mathrm{cm}$内外液面高度差$\Delta h=h_{\mathrm{浸}}-h_{\mathrm{内}}=6\mathrm{cm}-5\mathrm{cm}=1\mathrm{cm}$冰熔化后容器中水面以下总体积$V_{\mathrm{总容}}=S_{\mathrm{容}}H=600\mathrm{cm}^{2}\times 10\mathrm{cm}=6000\mathrm{cm}^{3}$冰熔化的水的体积$V_{\mathrm{冰化水}}=V_{\mathrm{总容}}-V_{\mathrm{排}}=6000\mathrm{cm}^{3}-600\mathrm{cm}^{3}=5400\mathrm{cm}^{3}$冰熔化前后质量不变，由$\rho _{\mathrm{冰}}V_{\mathrm{冰}}=\rho _{\mathrm{水}}V_{\mathrm{冰化水}}$可得$V_{\mathrm{冰}}=\dfrac{\rho _{\mathrm{水}}V_{\mathrm{冰化水}}}{\rho _{\mathrm{冰}}}=\dfrac{1\mathrm{g}/\mathrm{cm}^{3}\times 5400\mathrm{cm}^{3}}{0.9\mathrm{g}/\mathrm{cm}^{3}}=6000\mathrm{cm}^{3}$</x:v>
      </x:c>
      <x:c r="N991" s="63" t="str">
        <x:v>https://k12static.xdf.cn/k12/image/externalized/05d20e20-e685-4361-af24-296c02b5c3d4.png</x:v>
      </x:c>
      <x:c r="O991" s="63" t="str">
        <x:v>https://k12static.xdf.cn/k12/image/externalized/43475119-901d-4692-b351-7525a40df8cc.png</x:v>
      </x:c>
      <x:c r="P991" s="63" t="str">
        <x:v>3-5步</x:v>
      </x:c>
      <x:c r="Q991" s="63" t="str">
        <x:v>力学综合</x:v>
      </x:c>
      <x:c r="R991" s="63" t="str">
        <x:v>双状态</x:v>
      </x:c>
      <x:c r="S991" s="63" t="str">
        <x:v>单一约束</x:v>
      </x:c>
      <x:c r="T991" s="63" t="str">
        <x:v>无</x:v>
      </x:c>
      <x:c r="U991" s="63" t="str">
        <x:v>无</x:v>
      </x:c>
      <x:c r="V991" s="63" t="str">
        <x:v>多层因果推理</x:v>
      </x:c>
    </x:row>
    <x:row r="992">
      <x:c r="A992" s="64" t="str">
        <x:v>​3650594278298988544</x:v>
      </x:c>
      <x:c r="B992" s="65" t="str">
        <x:v>基础题</x:v>
      </x:c>
      <x:c r="C992" s="65" t="str">
        <x:v>基础题</x:v>
      </x:c>
      <x:c r="D992" s="65" t="str">
        <x:v>基础题</x:v>
      </x:c>
      <x:c r="E992" s="65" t="str">
        <x:v>保留原GPT裁定</x:v>
      </x:c>
      <x:c r="F992" s="65" t="str">
        <x:v>高</x:v>
      </x:c>
      <x:c r="G992" s="65" t="str">
        <x:v>基础题</x:v>
      </x:c>
      <x:c r="H992" s="65" t="str">
        <x:v>基础题</x:v>
      </x:c>
      <x:c r="I992" s="65" t="str">
        <x:v>题干、解析与结构证据支持基础题：step=1-2步，题型=概念判断，状态=单状态，约束=无约束，推理=直接套用。教师、盲评和多次模型证据中未形成足以推翻原裁定的同向结构证据。</x:v>
      </x:c>
      <x:c r="J992" s="65" t="str">
        <x:v>未进入三次错题并集；逐题结构一致性复核</x:v>
      </x:c>
      <x:c r="K992" s="63" t="str">
        <x:v>如图所示是动圈式话筒和扬声器两个装置连接使用的简化示意图。其中动圈式话筒的工作原理是 ，扬声器的工作原理与 （选填“电动机”或“发电机”）相同。若某一时刻扬声器中电流的方向如图所示，此时扬声器线圈的左端是 极。</x:v>
      </x:c>
      <x:c r="L992" s="63" t="str"/>
      <x:c r="M992" s="63" t="str">
        <x:v>动圈式话筒的工作原理是电磁感应；对着话筒讲话时，膜片振动带动线圈在磁场中做切割磁感线运动，产生随振动变化的感应电流，与发电机原理相同。扬声器的工作原理是通电导体在磁场中受到力的作用，与电动机原理相同，通电线圈受力带动纸盆振动发声。根据题干图示电流方向，用安培定则可判断线圈左端为N极。</x:v>
      </x:c>
      <x:c r="N992" s="63" t="str">
        <x:v>https://k12static.xdf.cn/k12/image/externalized/1d401b3b-9da8-43fa-b855-565dcffb7f34.png</x:v>
      </x:c>
      <x:c r="O992" s="63" t="str">
        <x:v>https://k12static.xdf.cn/k12/image/externalized/9c2db63d-9434-43cc-8fc5-ad28853f6469.png</x:v>
      </x:c>
      <x:c r="P992" s="63" t="str">
        <x:v>1-2步</x:v>
      </x:c>
      <x:c r="Q992" s="63" t="str">
        <x:v>概念判断</x:v>
      </x:c>
      <x:c r="R992" s="63" t="str">
        <x:v>单状态</x:v>
      </x:c>
      <x:c r="S992" s="63" t="str">
        <x:v>无约束</x:v>
      </x:c>
      <x:c r="T992" s="63" t="str">
        <x:v>无</x:v>
      </x:c>
      <x:c r="U992" s="63" t="str">
        <x:v>无</x:v>
      </x:c>
      <x:c r="V992" s="63" t="str">
        <x:v>直接套用</x:v>
      </x:c>
    </x:row>
    <x:row r="993">
      <x:c r="A993" s="64" t="str">
        <x:v>​3650594307190325248</x:v>
      </x:c>
      <x:c r="B993" s="65" t="str">
        <x:v>中等题</x:v>
      </x:c>
      <x:c r="C993" s="65" t="str">
        <x:v>中等题</x:v>
      </x:c>
      <x:c r="D993" s="65" t="str">
        <x:v>中等题</x:v>
      </x:c>
      <x:c r="E993" s="65" t="str">
        <x:v>保留原GPT裁定</x:v>
      </x:c>
      <x:c r="F993" s="65" t="str">
        <x:v>高</x:v>
      </x:c>
      <x:c r="G993" s="65" t="str">
        <x:v>中等题</x:v>
      </x:c>
      <x:c r="H993" s="65" t="str">
        <x:v>中等题</x:v>
      </x:c>
      <x:c r="I993" s="65" t="str">
        <x:v>题干、解析与结构证据支持中等题：step=3-5步，题型=实验探究，状态=多状态，约束=无约束，推理=多层因果推理。教师、盲评和多次模型证据中未形成足以推翻原裁定的同向结构证据。</x:v>
      </x:c>
      <x:c r="J993" s="65" t="str">
        <x:v>未进入三次错题并集；逐题结构一致性复核</x:v>
      </x:c>
      <x:c r="K993" s="63" t="str">
        <x:v>在测量标有“2.5 V”字样的小灯泡电阻的实验中，电路连接如图所示，电源电压为3 V，闭合开关，移动滑动变阻器的滑片P，让小灯泡逐渐变亮直至正常发光，测量的数据如表格所示。分析实验现象和表格数据，下列说法正确的是（ ）数据序号12345电压U/V0.50.71.52.22.5电流I/A0.10.120.170.210.22</x:v>
      </x:c>
      <x:c r="L993" s="63" t="str">
        <x:v>A. 当滑片P向右移动时，小灯泡变亮 B. 实验所用滑动变阻器的最大阻值至少为$25\Omega$ C. 小灯泡越亮，其电阻越大 D. 实验过程中，小灯泡的电功率变大，滑动变阻器的电功率变小</x:v>
      </x:c>
      <x:c r="M993" s="63" t="str">
        <x:v>A．由图可知，滑动变阻器接入电路的是左半段电阻丝，滑片$\mathrm{P}$向右移动时，接入电阻丝长度变长，总电阻变大，电路电流变小，小灯泡实际功率减小，亮度变暗，故A错误。B．滑动变阻器接入电路电阻最大时电流最小，故第一组数据对应滑动变阻器接入最大阻值的情况。 电源电压$U=3\mathrm{V}$，灯泡电压$U_{L}=0.5\mathrm{V}$，电流$I=0.1\mathrm{A}$，滑动变阻器两端电压$U_{\mathrm{滑}}=U-U_{L}=3\mathrm{V}-0.5\mathrm{V}=2.5\mathrm{V}$滑动变阻器最大阻值$R_{\mathrm{滑大}}=\dfrac{U_{\mathrm{滑}}}{I}=\dfrac{2.5\mathrm{V}}{0.1\mathrm{A}}=25\Omega$，故B正确；C．根据$R=\dfrac{U}{I}$​计算各组小灯泡电阻可得$R_{1}=5\Omega$、$R_{2}\approx 5.8\Omega$、$R_{3}\approx 8.8\Omega$、$R_{4}\approx 10.5\Omega$、$R_{5}\approx 11.4\Omega$，由$P=UI$可知小灯泡越亮即实际功率越大时，灯丝电阻越大，故C正确；D． 实验过程中，小灯泡电压、电流逐渐增大，由$P=UI$可知小灯泡电功率逐渐变大；由串联电路电压规律可得滑动变阻器功率$P_{\mathrm{滑}}=(U-U_{L})I$代入数值得$P_{1}=0.25\mathrm{W}$，$P_{2}=0.276\mathrm{W}$，$P_{3}=0.255\mathrm{W}$，$P_{4}=0.168\mathrm{W}$，$P_{5}=0.11\mathrm{W}$，可见滑动变阻器功率先变大后变小，故D错误。故选BC。</x:v>
      </x:c>
      <x:c r="N993" s="63" t="str">
        <x:v>https://k12static.xdf.cn/k12/image/externalized/05e55492-e20c-40cc-b4f3-e60b7030638a.png</x:v>
      </x:c>
      <x:c r="O993" s="63" t="str">
        <x:v>https://k12static.xdf.cn/k12/image/externalized/4004d09d-9ec8-4e99-af6f-7b8dbb3e9101.png</x:v>
      </x:c>
      <x:c r="P993" s="63" t="str">
        <x:v>3-5步</x:v>
      </x:c>
      <x:c r="Q993" s="63" t="str">
        <x:v>实验探究</x:v>
      </x:c>
      <x:c r="R993" s="63" t="str">
        <x:v>多状态</x:v>
      </x:c>
      <x:c r="S993" s="63" t="str">
        <x:v>无约束</x:v>
      </x:c>
      <x:c r="T993" s="63" t="str">
        <x:v>控制变量或故障分析</x:v>
      </x:c>
      <x:c r="U993" s="63" t="str">
        <x:v>多组比较归纳</x:v>
      </x:c>
      <x:c r="V993" s="63" t="str">
        <x:v>多层因果推理</x:v>
      </x:c>
    </x:row>
    <x:row r="994">
      <x:c r="A994" s="64" t="str">
        <x:v>​3650594339203928064</x:v>
      </x:c>
      <x:c r="B994" s="65" t="str">
        <x:v>中等题</x:v>
      </x:c>
      <x:c r="C994" s="65" t="str">
        <x:v>中等题</x:v>
      </x:c>
      <x:c r="D994" s="65" t="str">
        <x:v>中等题</x:v>
      </x:c>
      <x:c r="E994" s="65" t="str">
        <x:v>逐题复核后保留GPT裁定</x:v>
      </x:c>
      <x:c r="F994" s="65" t="str">
        <x:v>高</x:v>
      </x:c>
      <x:c r="G994" s="65" t="str">
        <x:v>中等题</x:v>
      </x:c>
      <x:c r="H994" s="65" t="str">
        <x:v>中等题</x:v>
      </x:c>
      <x:c r="I994" s="65" t="str">
        <x:v>需要围绕教材概念与常规物理关系完成常规的3—4个有效决策，或完成一套完整标准实验/共享过程分析。关系仍显性、方法常规，没有决定性隐含转换、复杂边界筛选或多状态强耦合。</x:v>
      </x:c>
      <x:c r="J994" s="65" t="str">
        <x:v>三次运行错题并集逐题复核</x:v>
      </x:c>
      <x:c r="K994" s="63" t="str">
        <x:v>为响应国家足球进校园的号召，学校积极推广足球运动。如图所示是体育课上同学们踢足球的情景，下列关于这个情景的说法正确的是（ ）</x:v>
      </x:c>
      <x:c r="L994" s="63" t="str">
        <x:v>A. 踢出去的足球能够继续运动是因为它具有惯性 B. 头球射门时，头对足球的力改变了足球的运动状态 C. 守门员接球时，手对足球的力与足球对手的力大小相等 D. 整个过程中足球的动能和重力势能相互转化，机械能守恒</x:v>
      </x:c>
      <x:c r="M994" s="63" t="str">
        <x:v>A．一切物体都具有惯性，踢出去的足球不受脚的作用力后，保持原有运动状态继续运动，是因为它具有惯性，故A正确；B．力的作用效果是改变物体的形状或改变物体的运动状态，头球射门时，头对足球的力改变了足球的运动方向与速度，即改变了足球的运动状态，故B正确；C．守门员接球时，手对足球的力与足球对手的力是一对相互作用力，相互作用力的大小相等，故C正确；D．整个过程中，足球运动时受到空气阻力、地面摩擦力的作用，足球克服阻力做功，机械能减小，机械能不守恒，故D错误。故选ABC。</x:v>
      </x:c>
      <x:c r="N994" s="63" t="str">
        <x:v>https://k12static.xdf.cn/k12/image/externalized/d8aab7ac-54c9-40a4-a92a-84de05002864.png</x:v>
      </x:c>
      <x:c r="O994" s="63" t="str">
        <x:v>https://k12static.xdf.cn/k12/image/externalized/e7408dc4-2ed9-4254-b94a-66ac29ca6998.png</x:v>
      </x:c>
      <x:c r="P994" s="63" t="str">
        <x:v>1-2步</x:v>
      </x:c>
      <x:c r="Q994" s="63" t="str">
        <x:v>概念判断</x:v>
      </x:c>
      <x:c r="R994" s="63" t="str">
        <x:v>单状态</x:v>
      </x:c>
      <x:c r="S994" s="63" t="str">
        <x:v>无约束</x:v>
      </x:c>
      <x:c r="T994" s="63" t="str">
        <x:v>无</x:v>
      </x:c>
      <x:c r="U994" s="63" t="str">
        <x:v>无</x:v>
      </x:c>
      <x:c r="V994" s="63" t="str">
        <x:v>简单因果推理</x:v>
      </x:c>
    </x:row>
    <x:row r="995">
      <x:c r="A995" s="64" t="str">
        <x:v>​3650594360759975936</x:v>
      </x:c>
      <x:c r="B995" s="65" t="str">
        <x:v>中等题</x:v>
      </x:c>
      <x:c r="C995" s="65" t="str">
        <x:v>中等题</x:v>
      </x:c>
      <x:c r="D995" s="65" t="str">
        <x:v>中等题</x:v>
      </x:c>
      <x:c r="E995" s="65" t="str">
        <x:v>保留原GPT裁定</x:v>
      </x:c>
      <x:c r="F995" s="65" t="str">
        <x:v>高</x:v>
      </x:c>
      <x:c r="G995" s="65" t="str">
        <x:v>中等题</x:v>
      </x:c>
      <x:c r="H995" s="65" t="str">
        <x:v>中等题</x:v>
      </x:c>
      <x:c r="I995" s="65" t="str">
        <x:v>题干、解析与结构证据支持中等题：step=3-5步，题型=实验探究，状态=单状态，约束=无约束，推理=多层因果推理。教师、盲评和多次模型证据中未形成足以推翻原裁定的同向结构证据。</x:v>
      </x:c>
      <x:c r="J995" s="65" t="str">
        <x:v>未进入三次错题并集；逐题结构一致性复核</x:v>
      </x:c>
      <x:c r="K995" s="63" t="str">
        <x:v>在“探究光的反射定律”实验中，探究过程如下：方案·证据解释·论证交流·评估</x:v>
      </x:c>
      <x:c r="L995" s="63" t="str"/>
      <x:c r="M995" s="63" t="str"/>
      <x:c r="N995" s="63" t="str">
        <x:v>https://k12static.xdf.cn/k12/image/externalized/cc158fdc-2fed-4053-bd9a-3224cf4ea9df.png</x:v>
      </x:c>
      <x:c r="O995" s="63" t="str">
        <x:v>https://k12static.xdf.cn/k12/image/externalized/7b4b499c-278b-4fdd-90a5-847909a834c9.png</x:v>
      </x:c>
      <x:c r="P995" s="63" t="str">
        <x:v>3-5步</x:v>
      </x:c>
      <x:c r="Q995" s="63" t="str">
        <x:v>实验探究</x:v>
      </x:c>
      <x:c r="R995" s="63" t="str">
        <x:v>单状态</x:v>
      </x:c>
      <x:c r="S995" s="63" t="str">
        <x:v>无约束</x:v>
      </x:c>
      <x:c r="T995" s="63" t="str">
        <x:v>控制变量或故障分析</x:v>
      </x:c>
      <x:c r="U995" s="63" t="str">
        <x:v>多组比较归纳</x:v>
      </x:c>
      <x:c r="V995" s="63" t="str">
        <x:v>多层因果推理</x:v>
      </x:c>
    </x:row>
    <x:row r="996">
      <x:c r="A996" s="64" t="str">
        <x:v>​3650594392284364800</x:v>
      </x:c>
      <x:c r="B996" s="65" t="str">
        <x:v>中等题</x:v>
      </x:c>
      <x:c r="C996" s="65" t="str">
        <x:v>中等题</x:v>
      </x:c>
      <x:c r="D996" s="65" t="str">
        <x:v>中等题</x:v>
      </x:c>
      <x:c r="E996" s="65" t="str">
        <x:v>逐题复核后保留GPT裁定</x:v>
      </x:c>
      <x:c r="F996" s="65" t="str">
        <x:v>高</x:v>
      </x:c>
      <x:c r="G996" s="65" t="str">
        <x:v>中等题</x:v>
      </x:c>
      <x:c r="H996" s="65" t="str">
        <x:v>中等题</x:v>
      </x:c>
      <x:c r="I996" s="65" t="str">
        <x:v>需要围绕力学模型、运动/受力与能量关系完成常规的3—4个有效决策，或完成一套完整标准实验/共享过程分析。关系仍显性、方法常规，没有决定性隐含转换、复杂边界筛选或多状态强耦合。</x:v>
      </x:c>
      <x:c r="J996" s="65" t="str">
        <x:v>三次运行错题并集逐题复核</x:v>
      </x:c>
      <x:c r="K996" s="63" t="str">
        <x:v>阅读短文，回答问题：微厘空间卫星2026年3月22日23时49分，在烟台海阳附近海域，由太原卫星发射中心研制的捷龙三号运载火箭，成功将微厘空间02组卫星发射升空，伴随着巨大的白色气团，卫星顺利进入预定轨道，发射任务取得圆满成功。捷龙三号运载火箭采用四级固体发动机串联布局，主要用于发射太阳同步轨道和近地轨道航天器。地球同步卫星属于高轨卫星，距地面的高度约为$3.58\times 10^{4}\mathrm{~ km}$，而微厘空间卫星属于低轨卫星，运行轨迹近似为圆形，与地面的距离约为600~700 km。微厘空间卫星的“微”即微小，“厘”即厘米，它由我国自主研发，主要作用是弥补中高轨北斗卫星在信号强度和几何构型上的不足，可与北斗等现有导航系统协同工作，通过低轨道星座对北斗信号进行精密增强，具备空间环境数据采集、星间激光组网通信、掩星探测等多项功能，以有效解决城市峡谷、室内、密林等复杂环境下的信号微弱及精确度不足的问题，从而实现对全球用户的实时厘米级定位服务。“微厘空间”的设计思路是把“基准站”搬上天，即在低轨道空间部署一批专门“播发误差修正信号”的卫星，它们不是替代北斗，而是给北斗配一个全球覆盖的“误差修正播报员”，从而大幅度提高北斗系统的精确导航能力。</x:v>
      </x:c>
      <x:c r="L996" s="63" t="str"/>
      <x:c r="M996" s="63" t="str"/>
      <x:c r="N996" s="63" t="str">
        <x:v>https://k12static.xdf.cn/k12/image/externalized/c93f1752-46d1-4fb4-8d14-4779fde228ea.png</x:v>
      </x:c>
      <x:c r="O996" s="63" t="str">
        <x:v>https://k12static.xdf.cn/k12/image/externalized/1e22498f-9d23-43a5-a919-b41898c2898d.png</x:v>
      </x:c>
      <x:c r="P996" s="63" t="str">
        <x:v>3-5步</x:v>
      </x:c>
      <x:c r="Q996" s="63" t="str">
        <x:v>跨模块综合</x:v>
      </x:c>
      <x:c r="R996" s="63" t="str">
        <x:v>单状态</x:v>
      </x:c>
      <x:c r="S996" s="63" t="str">
        <x:v>无约束</x:v>
      </x:c>
      <x:c r="T996" s="63" t="str">
        <x:v>无</x:v>
      </x:c>
      <x:c r="U996" s="63" t="str">
        <x:v>无</x:v>
      </x:c>
      <x:c r="V996" s="63" t="str">
        <x:v>多层因果推理</x:v>
      </x:c>
    </x:row>
    <x:row r="997">
      <x:c r="A997" s="64" t="str">
        <x:v>​3650594574098083840</x:v>
      </x:c>
      <x:c r="B997" s="65" t="str">
        <x:v>基础题</x:v>
      </x:c>
      <x:c r="C997" s="65" t="str">
        <x:v>基础题</x:v>
      </x:c>
      <x:c r="D997" s="65" t="str">
        <x:v>基础题</x:v>
      </x:c>
      <x:c r="E997" s="65" t="str">
        <x:v>保留原GPT裁定</x:v>
      </x:c>
      <x:c r="F997" s="65" t="str">
        <x:v>高</x:v>
      </x:c>
      <x:c r="G997" s="65" t="str">
        <x:v>基础题</x:v>
      </x:c>
      <x:c r="H997" s="65" t="str">
        <x:v>基础题</x:v>
      </x:c>
      <x:c r="I997" s="65" t="str">
        <x:v>题干、解析与结构证据支持基础题：step=1-2步，题型=电路综合，状态=单状态，约束=单一约束，推理=简单因果推理。教师、盲评和多次模型证据中未形成足以推翻原裁定的同向结构证据。</x:v>
      </x:c>
      <x:c r="J997" s="65" t="str">
        <x:v>未进入三次错题并集；逐题结构一致性复核</x:v>
      </x:c>
      <x:c r="K997" s="63" t="str">
        <x:v>如图甲所示的电路中，电源电压为6 V，电压表$\mathrm{V}_{2}$的示数为2.4 V。请用笔画线表示导线，根据图甲所示的电路图将图乙的实物连接完整。</x:v>
      </x:c>
      <x:c r="L997" s="63" t="str"/>
      <x:c r="M997" s="63" t="str">
        <x:v>由甲图可知，$\mathrm{L}_{1}$与$\mathrm{L}_{2}$串联，$\mathrm{V}_{1}$​测电源总电压，$\mathrm{V}_{2}$测$\mathrm{L}_{2}$​两端电压。电源电压为6V，因此$\mathrm{V}_{1}$​选$0\sim 15\mathrm{V}$量程；$\mathrm{L}_{2}$​电压为2.4V，小于3V，因此$\mathrm{V}_{2}$选$0\sim 3\mathrm{V}$量程。电压表需要满足电流正进负出，$\mathrm{V}_{1}$负接线柱已经接电源负极侧，因此“15”接开关右接线柱；$\mathrm{V}_{2}$的“3”接$\mathrm{L}_{2}$右端，负接线柱接$\mathrm{L}_{2}$左端，并联在$\mathrm{L}_{2}$两端。</x:v>
      </x:c>
      <x:c r="N997" s="63" t="str">
        <x:v>https://k12static.xdf.cn/k12/image/externalized/85f723f4-2eee-4448-8b56-59c4b38e7552.png</x:v>
      </x:c>
      <x:c r="O997" s="63" t="str">
        <x:v>https://k12static.xdf.cn/k12/image/externalized/4fb46041-00e0-45e2-9a9c-99a93249bd93.png</x:v>
      </x:c>
      <x:c r="P997" s="63" t="str">
        <x:v>1-2步</x:v>
      </x:c>
      <x:c r="Q997" s="63" t="str">
        <x:v>电路综合</x:v>
      </x:c>
      <x:c r="R997" s="63" t="str">
        <x:v>单状态</x:v>
      </x:c>
      <x:c r="S997" s="63" t="str">
        <x:v>单一约束</x:v>
      </x:c>
      <x:c r="T997" s="63" t="str">
        <x:v>无</x:v>
      </x:c>
      <x:c r="U997" s="63" t="str">
        <x:v>无</x:v>
      </x:c>
      <x:c r="V997" s="63" t="str">
        <x:v>简单因果推理</x:v>
      </x:c>
    </x:row>
    <x:row r="998">
      <x:c r="A998" s="64" t="str">
        <x:v>​3650594667751890944</x:v>
      </x:c>
      <x:c r="B998" s="65" t="str">
        <x:v>基础题</x:v>
      </x:c>
      <x:c r="C998" s="65" t="str">
        <x:v>基础题</x:v>
      </x:c>
      <x:c r="D998" s="65" t="str">
        <x:v>基础题</x:v>
      </x:c>
      <x:c r="E998" s="65" t="str">
        <x:v>保留原GPT裁定</x:v>
      </x:c>
      <x:c r="F998" s="65" t="str">
        <x:v>高</x:v>
      </x:c>
      <x:c r="G998" s="65" t="str">
        <x:v>基础题</x:v>
      </x:c>
      <x:c r="H998" s="65" t="str">
        <x:v>基础题</x:v>
      </x:c>
      <x:c r="I998" s="65" t="str">
        <x:v>题干、解析与结构证据支持基础题：step=1-2步，题型=概念判断，状态=单状态，约束=无约束，推理=简单因果推理。教师、盲评和多次模型证据中未形成足以推翻原裁定的同向结构证据。</x:v>
      </x:c>
      <x:c r="J998" s="65" t="str">
        <x:v>未进入三次错题并集；逐题结构一致性复核</x:v>
      </x:c>
      <x:c r="K998" s="63" t="str">
        <x:v>在制作简易乐器的活动中，小明向多个相同的玻璃瓶中装入不同高度的水制成了“水瓶琴”，如图所示。下列关于“水瓶琴”的说法正确的是（ ）</x:v>
      </x:c>
      <x:c r="L998" s="63" t="str">
        <x:v>A. 敲出的声音通过玻璃传播到小明耳中 B. 改变敲击的力度可以改变声音的音色 C. 改变瓶中水量可以改变敲出声音的响度 D. 敲击不同水量的瓶子发出声音的音调不同</x:v>
      </x:c>
      <x:c r="M998" s="63" t="str">
        <x:v>A．声音传播到耳朵依靠空气，不是玻璃，故A错误；B．敲击力度改变的是振动幅度，改变响度；音色由发声体材料、结构决定，力度无法改变音色，故B错误；C．改变瓶中水量，振动的瓶和水总质量改变，振动快慢改变，影响的是音调，不是响度，故C错误；D．敲击瓶子时，发声体是瓶子和水；水量不同，瓶和水的总质量不同，振动频率不同，音调不同，故D正确。故选D。</x:v>
      </x:c>
      <x:c r="N998" s="63" t="str">
        <x:v>https://k12static.xdf.cn/k12/image/externalized/dc476889-a0e5-41e5-873b-e85b703689d3.png</x:v>
      </x:c>
      <x:c r="O998" s="63" t="str">
        <x:v>https://k12static.xdf.cn/k12/image/externalized/999c0aec-0bff-4177-806a-241f7fda0c60.png</x:v>
      </x:c>
      <x:c r="P998" s="63" t="str">
        <x:v>1-2步</x:v>
      </x:c>
      <x:c r="Q998" s="63" t="str">
        <x:v>概念判断</x:v>
      </x:c>
      <x:c r="R998" s="63" t="str">
        <x:v>单状态</x:v>
      </x:c>
      <x:c r="S998" s="63" t="str">
        <x:v>无约束</x:v>
      </x:c>
      <x:c r="T998" s="63" t="str">
        <x:v>无</x:v>
      </x:c>
      <x:c r="U998" s="63" t="str">
        <x:v>无</x:v>
      </x:c>
      <x:c r="V998" s="63" t="str">
        <x:v>简单因果推理</x:v>
      </x:c>
    </x:row>
    <x:row r="999">
      <x:c r="A999" s="64" t="str">
        <x:v>​3650594816076840960</x:v>
      </x:c>
      <x:c r="B999" s="65" t="str">
        <x:v>中等题</x:v>
      </x:c>
      <x:c r="C999" s="65" t="str">
        <x:v>中等题</x:v>
      </x:c>
      <x:c r="D999" s="65" t="str">
        <x:v>中等题</x:v>
      </x:c>
      <x:c r="E999" s="65" t="str">
        <x:v>保留原GPT裁定</x:v>
      </x:c>
      <x:c r="F999" s="65" t="str">
        <x:v>高</x:v>
      </x:c>
      <x:c r="G999" s="65" t="str">
        <x:v>中等题</x:v>
      </x:c>
      <x:c r="H999" s="65" t="str">
        <x:v>中等题</x:v>
      </x:c>
      <x:c r="I999" s="65" t="str">
        <x:v>题干、解析与结构证据支持中等题：step=1-2步，题型=概念判断，状态=双状态，约束=无约束，推理=多层因果推理。教师、盲评和多次模型证据中未形成足以推翻原裁定的同向结构证据。</x:v>
      </x:c>
      <x:c r="J999" s="65" t="str">
        <x:v>未进入三次错题并集；逐题结构一致性复核</x:v>
      </x:c>
      <x:c r="K999" s="63" t="str">
        <x:v>如图所示是一种水位自动报警器的原理图，甲、乙是大小相同的两个金属块，当水位升到一定高度时，红灯亮报警。关于它的工作原理，下列说法正确的是（ ）</x:v>
      </x:c>
      <x:c r="L999" s="63" t="str">
        <x:v>A. 当水位达到位置a时，红灯亮 B. 当水位达到位置b时，红灯亮 C. 升高甲的高度可使报警器在更高的水位报警 D. 降低乙的高度可使报警器在更高的水位报警</x:v>
      </x:c>
      <x:c r="M999" s="63" t="str">
        <x:v>A．水位到达位置a时，仅接触到甲，未接触到乙，控制电路断开，电磁铁无磁性，绿灯发光，红灯不亮，故A错误； B．水位到达位置b时，甲、乙都与水接触，水导电接通控制电路，电磁铁有磁性吸下衔铁，红灯电路接通，红灯亮，故B正确；C．报警水位由位置更高的金属块决定，题目中乙位置更高（在b处），升高甲的高度后，只要甲位置仍低于乙，仍然需要将水位升高到乙所在的b位置才能接通电路，报警水位不变，因此升高甲不能让报警器在更高水位报警，故C错误； D．降低乙的高度会让乙的位置比原来更低，水位更低时就能接触到到乙接通电路，报警器会在更低水位报警，不是更高水位，故D错误。故选 B。</x:v>
      </x:c>
      <x:c r="N999" s="63" t="str">
        <x:v>https://k12static.xdf.cn/k12/image/externalized/d6a61053-8eb9-41d1-a7f9-b801df4a6f96.png</x:v>
      </x:c>
      <x:c r="O999" s="63" t="str">
        <x:v>https://k12static.xdf.cn/k12/image/externalized/fd8903a3-7249-4c6f-b79d-772e8591b1d3.png</x:v>
      </x:c>
      <x:c r="P999" s="63" t="str">
        <x:v>1-2步</x:v>
      </x:c>
      <x:c r="Q999" s="63" t="str">
        <x:v>概念判断</x:v>
      </x:c>
      <x:c r="R999" s="63" t="str">
        <x:v>双状态</x:v>
      </x:c>
      <x:c r="S999" s="63" t="str">
        <x:v>无约束</x:v>
      </x:c>
      <x:c r="T999" s="63" t="str">
        <x:v>无</x:v>
      </x:c>
      <x:c r="U999" s="63" t="str">
        <x:v>无</x:v>
      </x:c>
      <x:c r="V999" s="63" t="str">
        <x:v>多层因果推理</x:v>
      </x:c>
    </x:row>
    <x:row r="1000">
      <x:c r="A1000" s="64" t="str">
        <x:v>​3655738726664175616</x:v>
      </x:c>
      <x:c r="B1000" s="65" t="str">
        <x:v>送分题</x:v>
      </x:c>
      <x:c r="C1000" s="65" t="str">
        <x:v>送分题</x:v>
      </x:c>
      <x:c r="D1000" s="65" t="str">
        <x:v>送分题</x:v>
      </x:c>
      <x:c r="E1000" s="65" t="str">
        <x:v>保留原GPT裁定</x:v>
      </x:c>
      <x:c r="F1000" s="65" t="str">
        <x:v>高</x:v>
      </x:c>
      <x:c r="G1000" s="65" t="str">
        <x:v>送分题</x:v>
      </x:c>
      <x:c r="H1000" s="65" t="str">
        <x:v>送分题</x:v>
      </x:c>
      <x:c r="I1000" s="65" t="str">
        <x:v>题干、解析与结构证据支持送分题：step=1-2步，题型=概念判断，状态=单状态，约束=无约束，推理=直接套用。教师、盲评和多次模型证据中未形成足以推翻原裁定的同向结构证据。</x:v>
      </x:c>
      <x:c r="J1000" s="65" t="str">
        <x:v>未进入三次错题并集；逐题结构一致性复核</x:v>
      </x:c>
      <x:c r="K1000" s="63" t="str">
        <x:v>下列微观粒子的空间尺度最小的是（ ）</x:v>
      </x:c>
      <x:c r="L1000" s="63" t="str">
        <x:v>A. 夸克 B. 质子 C. 原子 D. 原子核</x:v>
      </x:c>
      <x:c r="M1000" s="63" t="str">
        <x:v>根据初中物理的微观粒子结构，空间尺度从大到小排序为：原子＞原子核＞质子＞夸克。原子由原子核和核外电子构成，原子核由质子和中子构成，质子又是由更小的微粒夸克构成，因此尺度最小的是夸克。故选A。</x:v>
      </x:c>
      <x:c r="N1000" s="63" t="str">
        <x:v>https://k12static.xdf.cn/k12/image/externalized/a4d458c8-66ee-465d-9cc5-1d9550c642c9.png</x:v>
      </x:c>
      <x:c r="O1000" s="63" t="str">
        <x:v>https://k12static.xdf.cn/k12/image/externalized/3e5899ca-3df4-4d74-801c-5f68ae2ec944.png</x:v>
      </x:c>
      <x:c r="P1000" s="63" t="str">
        <x:v>1-2步</x:v>
      </x:c>
      <x:c r="Q1000" s="63" t="str">
        <x:v>概念判断</x:v>
      </x:c>
      <x:c r="R1000" s="63" t="str">
        <x:v>单状态</x:v>
      </x:c>
      <x:c r="S1000" s="63" t="str">
        <x:v>无约束</x:v>
      </x:c>
      <x:c r="T1000" s="63" t="str">
        <x:v>无</x:v>
      </x:c>
      <x:c r="U1000" s="63" t="str">
        <x:v>无</x:v>
      </x:c>
      <x:c r="V1000" s="63" t="str">
        <x:v>直接套用</x:v>
      </x:c>
    </x:row>
    <x:row r="1001">
      <x:c r="A1001" s="64" t="str">
        <x:v>​3659087173808832512</x:v>
      </x:c>
      <x:c r="B1001" s="65" t="str">
        <x:v>送分题</x:v>
      </x:c>
      <x:c r="C1001" s="65" t="str">
        <x:v>送分题</x:v>
      </x:c>
      <x:c r="D1001" s="65" t="str">
        <x:v>送分题</x:v>
      </x:c>
      <x:c r="E1001" s="65" t="str">
        <x:v>保留原GPT裁定</x:v>
      </x:c>
      <x:c r="F1001" s="65" t="str">
        <x:v>高</x:v>
      </x:c>
      <x:c r="G1001" s="65" t="str">
        <x:v>送分题</x:v>
      </x:c>
      <x:c r="H1001" s="65" t="str">
        <x:v>送分题</x:v>
      </x:c>
      <x:c r="I1001" s="65" t="str">
        <x:v>题干、解析与结构证据支持送分题：step=1-2步，题型=概念判断，状态=单状态，约束=无约束，推理=直接套用。教师、盲评和多次模型证据中未形成足以推翻原裁定的同向结构证据。</x:v>
      </x:c>
      <x:c r="J1001" s="65" t="str">
        <x:v>未进入三次错题并集；逐题结构一致性复核</x:v>
      </x:c>
      <x:c r="K1001" s="63" t="str">
        <x:v>金斑喙凤蝶飞行姿态优美，有“蝶中皇后”之称。如图是金斑喙凤蝶停留在手上时，用照相机拍摄的照片，回答1～3题。 照相机镜头相当于（ ）</x:v>
      </x:c>
      <x:c r="L1001" s="63" t="str">
        <x:v>A. 平面镜 B. 凸透镜 C. 凹透镜 D. 凹面镜</x:v>
      </x:c>
      <x:c r="M1001" s="63" t="str">
        <x:v>解：照相机镜头相当于一个凸透镜，成倒立、缩小的实像。 故选：B。</x:v>
      </x:c>
      <x:c r="N1001" s="63" t="str">
        <x:v>https://k12static.xdf.cn/k12/image/externalized/ade9c526-d1b8-4f3a-a646-f20eb7917e2f.png</x:v>
      </x:c>
      <x:c r="O1001" s="63" t="str">
        <x:v>https://k12static.xdf.cn/k12/image/externalized/e4edc625-6aeb-426e-9161-316d79c6a1e4.png</x:v>
      </x:c>
      <x:c r="P1001" s="63" t="str">
        <x:v>1-2步</x:v>
      </x:c>
      <x:c r="Q1001" s="63" t="str">
        <x:v>概念判断</x:v>
      </x:c>
      <x:c r="R1001" s="63" t="str">
        <x:v>单状态</x:v>
      </x:c>
      <x:c r="S1001" s="63" t="str">
        <x:v>无约束</x:v>
      </x:c>
      <x:c r="T1001" s="63" t="str">
        <x:v>无</x:v>
      </x:c>
      <x:c r="U1001" s="63" t="str">
        <x:v>无</x:v>
      </x:c>
      <x:c r="V1001" s="63" t="str">
        <x:v>直接套用</x:v>
      </x:c>
    </x:row>
    <x:row r="1002">
      <x:c r="A1002" s="64" t="str">
        <x:v>​3659087197179494400</x:v>
      </x:c>
      <x:c r="B1002" s="65" t="str">
        <x:v>送分题</x:v>
      </x:c>
      <x:c r="C1002" s="65" t="str">
        <x:v>送分题</x:v>
      </x:c>
      <x:c r="D1002" s="65" t="str">
        <x:v>送分题</x:v>
      </x:c>
      <x:c r="E1002" s="65" t="str">
        <x:v>保留原GPT裁定</x:v>
      </x:c>
      <x:c r="F1002" s="65" t="str">
        <x:v>高</x:v>
      </x:c>
      <x:c r="G1002" s="65" t="str">
        <x:v>送分题</x:v>
      </x:c>
      <x:c r="H1002" s="65" t="str">
        <x:v>送分题</x:v>
      </x:c>
      <x:c r="I1002" s="65" t="str">
        <x:v>题干、解析与结构证据支持送分题：step=1-2步，题型=概念判断，状态=单状态，约束=无约束，推理=直接套用。教师、盲评和多次模型证据中未形成足以推翻原裁定的同向结构证据。</x:v>
      </x:c>
      <x:c r="J1002" s="65" t="str">
        <x:v>未进入三次错题并集；逐题结构一致性复核</x:v>
      </x:c>
      <x:c r="K1002" s="63" t="str">
        <x:v>如图是丰子恺的漫画。画中孩童被饭菜的香气吸引围于桌边，回答5～7题。 菜香四溢说明（ ）</x:v>
      </x:c>
      <x:c r="L1002" s="63" t="str">
        <x:v>A. 分子间存在引力 B. 分子间存在斥力 C. 分子做无规则运动 D. 分子间隙非常小</x:v>
      </x:c>
      <x:c r="M1002" s="63" t="str">
        <x:v>解：菜香四溢，是饭菜分子不停地做无规则运动的结果，属于扩散现象，故C符合题意、ABD不符合题意。 故选：C。</x:v>
      </x:c>
      <x:c r="N1002" s="63" t="str">
        <x:v>https://k12static.xdf.cn/k12/image/externalized/6bc1a239-b73a-4741-ba7d-69547adc5326.png</x:v>
      </x:c>
      <x:c r="O1002" s="63" t="str">
        <x:v>https://k12static.xdf.cn/k12/image/externalized/7b95ea18-ffcc-4e08-9c27-40e9b3829142.png</x:v>
      </x:c>
      <x:c r="P1002" s="63" t="str">
        <x:v>1-2步</x:v>
      </x:c>
      <x:c r="Q1002" s="63" t="str">
        <x:v>概念判断</x:v>
      </x:c>
      <x:c r="R1002" s="63" t="str">
        <x:v>单状态</x:v>
      </x:c>
      <x:c r="S1002" s="63" t="str">
        <x:v>无约束</x:v>
      </x:c>
      <x:c r="T1002" s="63" t="str">
        <x:v>无</x:v>
      </x:c>
      <x:c r="U1002" s="63" t="str">
        <x:v>无</x:v>
      </x:c>
      <x:c r="V1002" s="63" t="str">
        <x:v>直接套用</x:v>
      </x:c>
    </x:row>
    <x:row r="1003">
      <x:c r="A1003" s="64" t="str">
        <x:v>​3659087202128773120</x:v>
      </x:c>
      <x:c r="B1003" s="65" t="str">
        <x:v>基础题</x:v>
      </x:c>
      <x:c r="C1003" s="65" t="str">
        <x:v>基础题</x:v>
      </x:c>
      <x:c r="D1003" s="65" t="str">
        <x:v>基础题</x:v>
      </x:c>
      <x:c r="E1003" s="65" t="str">
        <x:v>保留原GPT裁定</x:v>
      </x:c>
      <x:c r="F1003" s="65" t="str">
        <x:v>高</x:v>
      </x:c>
      <x:c r="G1003" s="65" t="str">
        <x:v>基础题</x:v>
      </x:c>
      <x:c r="H1003" s="65" t="str">
        <x:v>基础题</x:v>
      </x:c>
      <x:c r="I1003" s="65" t="str">
        <x:v>题干、解析与结构证据支持基础题：step=1-2步，题型=概念判断，状态=单状态，约束=无约束，推理=简单因果推理。教师、盲评和多次模型证据中未形成足以推翻原裁定的同向结构证据。</x:v>
      </x:c>
      <x:c r="J1003" s="65" t="str">
        <x:v>未进入三次错题并集；逐题结构一致性复核</x:v>
      </x:c>
      <x:c r="K1003" s="63" t="str">
        <x:v>如图是丰子恺的漫画。画中孩童被饭菜的香气吸引围于桌边，回答5～7题。 菜刀的刀刃做得很薄，其目的是（ ）</x:v>
      </x:c>
      <x:c r="L1003" s="63" t="str">
        <x:v>A. 减小密度 B. 增大密度 C. 减小压强 D. 增大压强</x:v>
      </x:c>
      <x:c r="M1003" s="63" t="str">
        <x:v>解：菜刀的刀刃做得很薄，是为了在压力一定时，减小受力面积来增大压强，构成菜刀的物质不变，菜刀的密度不变，故D正确、ABC错误。 故选：D。</x:v>
      </x:c>
      <x:c r="N1003" s="63" t="str">
        <x:v>https://k12static.xdf.cn/k12/image/externalized/d4281a5a-c015-46b3-94e2-485fa4103c38.png</x:v>
      </x:c>
      <x:c r="O1003" s="63" t="str">
        <x:v>https://k12static.xdf.cn/k12/image/externalized/2e78b7ce-1fa7-4f4d-bb5a-68ee29957830.png</x:v>
      </x:c>
      <x:c r="P1003" s="63" t="str">
        <x:v>1-2步</x:v>
      </x:c>
      <x:c r="Q1003" s="63" t="str">
        <x:v>概念判断</x:v>
      </x:c>
      <x:c r="R1003" s="63" t="str">
        <x:v>单状态</x:v>
      </x:c>
      <x:c r="S1003" s="63" t="str">
        <x:v>无约束</x:v>
      </x:c>
      <x:c r="T1003" s="63" t="str">
        <x:v>无</x:v>
      </x:c>
      <x:c r="U1003" s="63" t="str">
        <x:v>无</x:v>
      </x:c>
      <x:c r="V1003" s="63" t="str">
        <x:v>简单因果推理</x:v>
      </x:c>
    </x:row>
    <x:row r="1004">
      <x:c r="A1004" s="64" t="str">
        <x:v>​3659087212765528064</x:v>
      </x:c>
      <x:c r="B1004" s="65" t="str">
        <x:v>送分题</x:v>
      </x:c>
      <x:c r="C1004" s="65" t="str">
        <x:v>送分题</x:v>
      </x:c>
      <x:c r="D1004" s="65" t="str">
        <x:v>送分题</x:v>
      </x:c>
      <x:c r="E1004" s="65" t="str">
        <x:v>保留原GPT裁定</x:v>
      </x:c>
      <x:c r="F1004" s="65" t="str">
        <x:v>高</x:v>
      </x:c>
      <x:c r="G1004" s="65" t="str">
        <x:v>送分题</x:v>
      </x:c>
      <x:c r="H1004" s="65" t="str">
        <x:v>送分题</x:v>
      </x:c>
      <x:c r="I1004" s="65" t="str">
        <x:v>题干、解析与结构证据支持送分题：step=1-2步，题型=概念判断，状态=单状态，约束=无约束，推理=直接套用。教师、盲评和多次模型证据中未形成足以推翻原裁定的同向结构证据。</x:v>
      </x:c>
      <x:c r="J1004" s="65" t="str">
        <x:v>未进入三次错题并集；逐题结构一致性复核</x:v>
      </x:c>
      <x:c r="K1004" s="63" t="str">
        <x:v>我国古代劳动人民创造了灿烂的文化与辉煌的科学技术，回答8～10题。 “会挽雕弓如满月”出自苏轼的《江城子•密州出猎》，“雕弓如满月”说明弓具有良好的（ ）</x:v>
      </x:c>
      <x:c r="L1004" s="63" t="str">
        <x:v>A. 磁性 B. 弹性 C. 导热性 D. 导电性</x:v>
      </x:c>
      <x:c r="M1004" s="63" t="str">
        <x:v>解：“雕弓如满月”，撤去拉力，恢复原状，说明弓具有良好的弹性，故B正确，ACD错误。 故选：B。</x:v>
      </x:c>
      <x:c r="N1004" s="63" t="str">
        <x:v>https://k12static.xdf.cn/k12/image/externalized/7b9fa201-767c-4c06-8d0a-3746fb52c160.png</x:v>
      </x:c>
      <x:c r="O1004" s="63" t="str">
        <x:v>https://k12static.xdf.cn/k12/image/externalized/63e59834-9fcb-494e-a1ea-990a244a068d.png</x:v>
      </x:c>
      <x:c r="P1004" s="63" t="str">
        <x:v>1-2步</x:v>
      </x:c>
      <x:c r="Q1004" s="63" t="str">
        <x:v>概念判断</x:v>
      </x:c>
      <x:c r="R1004" s="63" t="str">
        <x:v>单状态</x:v>
      </x:c>
      <x:c r="S1004" s="63" t="str">
        <x:v>无约束</x:v>
      </x:c>
      <x:c r="T1004" s="63" t="str">
        <x:v>无</x:v>
      </x:c>
      <x:c r="U1004" s="63" t="str">
        <x:v>无</x:v>
      </x:c>
      <x:c r="V1004" s="63" t="str">
        <x:v>直接套用</x:v>
      </x:c>
    </x:row>
    <x:row r="1005">
      <x:c r="A1005" s="64" t="str">
        <x:v>​3659087237209931776</x:v>
      </x:c>
      <x:c r="B1005" s="65" t="str">
        <x:v>基础题</x:v>
      </x:c>
      <x:c r="C1005" s="65" t="str">
        <x:v>基础题</x:v>
      </x:c>
      <x:c r="D1005" s="65" t="str">
        <x:v>基础题</x:v>
      </x:c>
      <x:c r="E1005" s="65" t="str">
        <x:v>保留原GPT裁定</x:v>
      </x:c>
      <x:c r="F1005" s="65" t="str">
        <x:v>高</x:v>
      </x:c>
      <x:c r="G1005" s="65" t="str">
        <x:v>基础题</x:v>
      </x:c>
      <x:c r="H1005" s="65" t="str">
        <x:v>基础题</x:v>
      </x:c>
      <x:c r="I1005" s="65" t="str">
        <x:v>题干、解析与结构证据支持基础题：step=1-2步，题型=概念判断，状态=单状态，约束=无约束，推理=简单因果推理。教师、盲评和多次模型证据中未形成足以推翻原裁定的同向结构证据。</x:v>
      </x:c>
      <x:c r="J1005" s="65" t="str">
        <x:v>未进入三次错题并集；逐题结构一致性复核</x:v>
      </x:c>
      <x:c r="K1005" s="63" t="str">
        <x:v>课后，小闽进行如下的电学探究，回答11～14题。 探究吸管与纸巾摩擦带电的实验，现象及推理过程如下。下列判断正确的是（ ）</x:v>
      </x:c>
      <x:c r="L1005" s="63" t="str">
        <x:v>A. ①闭合、②同 B. ①闭合、②异 C. ①张开、②同 D. ①张开、②异</x:v>
      </x:c>
      <x:c r="M1005" s="63" t="str">
        <x:v>解：带电吸管接触不带电的验电器，验电器的金属箔张开一定角度； 根据同种电荷相互排斥，异种电荷相互吸引，带电吸管靠近带电玻璃棒，相互吸引，吸管与玻璃棒带异种电荷。 故选：D。</x:v>
      </x:c>
      <x:c r="N1005" s="63" t="str">
        <x:v>https://k12static.xdf.cn/k12/image/externalized/95d94465-29ce-4dd1-8ee7-4bcaa8c5f305.png</x:v>
      </x:c>
      <x:c r="O1005" s="63" t="str">
        <x:v>https://k12static.xdf.cn/k12/image/externalized/8ce2b5cf-f6b6-49bc-8adb-3625b5d57ca8.png</x:v>
      </x:c>
      <x:c r="P1005" s="63" t="str">
        <x:v>1-2步</x:v>
      </x:c>
      <x:c r="Q1005" s="63" t="str">
        <x:v>概念判断</x:v>
      </x:c>
      <x:c r="R1005" s="63" t="str">
        <x:v>单状态</x:v>
      </x:c>
      <x:c r="S1005" s="63" t="str">
        <x:v>无约束</x:v>
      </x:c>
      <x:c r="T1005" s="63" t="str">
        <x:v>无</x:v>
      </x:c>
      <x:c r="U1005" s="63" t="str">
        <x:v>无</x:v>
      </x:c>
      <x:c r="V1005" s="63" t="str">
        <x:v>简单因果推理</x:v>
      </x:c>
    </x:row>
    <x:row r="1006">
      <x:c r="A1006" s="64" t="str">
        <x:v>​3659087247746023424</x:v>
      </x:c>
      <x:c r="B1006" s="65" t="str">
        <x:v>基础题</x:v>
      </x:c>
      <x:c r="C1006" s="65" t="str">
        <x:v>基础题</x:v>
      </x:c>
      <x:c r="D1006" s="65" t="str">
        <x:v>基础题</x:v>
      </x:c>
      <x:c r="E1006" s="65" t="str">
        <x:v>保留原GPT裁定</x:v>
      </x:c>
      <x:c r="F1006" s="65" t="str">
        <x:v>高</x:v>
      </x:c>
      <x:c r="G1006" s="65" t="str">
        <x:v>基础题</x:v>
      </x:c>
      <x:c r="H1006" s="65" t="str">
        <x:v>基础题</x:v>
      </x:c>
      <x:c r="I1006" s="65" t="str">
        <x:v>题干、解析与结构证据支持基础题：step=1-2步，题型=概念判断，状态=单状态，约束=无约束，推理=简单因果推理。教师、盲评和多次模型证据中未形成足以推翻原裁定的同向结构证据。</x:v>
      </x:c>
      <x:c r="J1006" s="65" t="str">
        <x:v>未进入三次错题并集；逐题结构一致性复核</x:v>
      </x:c>
      <x:c r="K1006" s="63" t="str">
        <x:v>课后，小闽进行如下的电学探究，回答11～14题。 如图，用自制的水果电池与发光二极管组成电路。下列说法正确的是（ ）</x:v>
      </x:c>
      <x:c r="L1006" s="63" t="str">
        <x:v>A. 电路中水果电池是并联的 B. 发光二极管由超导材料制成 C. 发光二极管工作时电能主要转化为光能 D. 水果电池供电时电能转化为化学能</x:v>
      </x:c>
      <x:c r="M1006" s="63" t="str">
        <x:v>解：A、将多个水果电池串联起来，得到的电压是每个电池的电压之和，可以提高电压，因此水果电池是串联连接，故A错误； B、发光二极管由半导体制成的，故B错误； C、发光二极管工作时电能主要转化为光能，故C正确； D、水果电池供电时化学能转化为电能，故D错误。 故选：C。</x:v>
      </x:c>
      <x:c r="N1006" s="63" t="str">
        <x:v>https://k12static.xdf.cn/k12/image/externalized/10545598-09e1-4f2f-b87a-ed70a52c00e8.png</x:v>
      </x:c>
      <x:c r="O1006" s="63" t="str">
        <x:v>https://k12static.xdf.cn/k12/image/externalized/56e85687-f3ae-4df6-b477-6bd3a9fb6ad5.png</x:v>
      </x:c>
      <x:c r="P1006" s="63" t="str">
        <x:v>1-2步</x:v>
      </x:c>
      <x:c r="Q1006" s="63" t="str">
        <x:v>概念判断</x:v>
      </x:c>
      <x:c r="R1006" s="63" t="str">
        <x:v>单状态</x:v>
      </x:c>
      <x:c r="S1006" s="63" t="str">
        <x:v>无约束</x:v>
      </x:c>
      <x:c r="T1006" s="63" t="str">
        <x:v>无</x:v>
      </x:c>
      <x:c r="U1006" s="63" t="str">
        <x:v>无</x:v>
      </x:c>
      <x:c r="V1006" s="63" t="str">
        <x:v>简单因果推理</x:v>
      </x:c>
    </x:row>
    <x:row r="1007">
      <x:c r="A1007" s="64" t="str">
        <x:v>​3659087256403066880</x:v>
      </x:c>
      <x:c r="B1007" s="65" t="str">
        <x:v>中等题</x:v>
      </x:c>
      <x:c r="C1007" s="65" t="str">
        <x:v>中等题</x:v>
      </x:c>
      <x:c r="D1007" s="65" t="str">
        <x:v>中等题</x:v>
      </x:c>
      <x:c r="E1007" s="65" t="str">
        <x:v>逐题复核后保留GPT裁定</x:v>
      </x:c>
      <x:c r="F1007" s="65" t="str">
        <x:v>高</x:v>
      </x:c>
      <x:c r="G1007" s="65" t="str">
        <x:v>中等题</x:v>
      </x:c>
      <x:c r="H1007" s="65" t="str">
        <x:v>中等题</x:v>
      </x:c>
      <x:c r="I1007" s="65" t="str">
        <x:v>存在约3—4步常规连续分析、共享过程或完整标准实验任务，关系仍显性。 题目证据：最高难选项实际有效推理约2-3步。五维中知识量2-3个关联知识点，过程为单电路的不同故障状态分析，不需要数学工具，情境是常规实验电路，思维层次为常规分析。题目要求围绕同一串联电路，分别辨析不同故障下电压表示数变化，每个选项都需要重新分析断路/短路后的电路状态和电压表测量对象，属于同一电路的多状态常规辨析。</x:v>
      </x:c>
      <x:c r="J1007" s="65" t="str">
        <x:v>三次运行错题并集逐题复核</x:v>
      </x:c>
      <x:c r="K1007" s="63" t="str">
        <x:v>课后，小闽进行如下的电学探究，回答11～14题。 用电压表测量电压，电路如图所示，电源电压恒定。闭合开关后，电路正常工作。下列分析正确的是（ ）</x:v>
      </x:c>
      <x:c r="L1007" s="63" t="str">
        <x:v>A. 电压表V1测量灯L2两端的电压 B. 若灯L1短路，电压表V1示数增大 C. 若灯L2短路，电压表V2示数不变 D. 若灯L2断路，电压表V2示数为零</x:v>
      </x:c>
      <x:c r="M1007" s="63" t="str">
        <x:v>解：A、由图知，闭合开关，两只灯泡串联，电压表V1测量L1两端电压；电压表V2测量电源电压，故A错误； B、若灯L1短路，电压表V1也被短路，示数减小，故B错误； C、电压表V2测量电源电压，若灯L2短路，电压表V2示数不变，故C正确； D、若灯L2断路，电压表V2测量电源电压，电压表V2示数不为0，故D错误。 故选：C。</x:v>
      </x:c>
      <x:c r="N1007" s="63" t="str">
        <x:v>https://k12static.xdf.cn/k12/image/externalized/9642c809-afd5-43d2-999f-abe23b198341.png</x:v>
      </x:c>
      <x:c r="O1007" s="63" t="str">
        <x:v>https://k12static.xdf.cn/k12/image/externalized/44a4557e-3169-4bed-9203-a5a7d8847a6e.png</x:v>
      </x:c>
      <x:c r="P1007" s="63" t="str">
        <x:v>3-5步</x:v>
      </x:c>
      <x:c r="Q1007" s="63" t="str">
        <x:v>概念判断</x:v>
      </x:c>
      <x:c r="R1007" s="63" t="str">
        <x:v>单状态</x:v>
      </x:c>
      <x:c r="S1007" s="63" t="str">
        <x:v>单一约束</x:v>
      </x:c>
      <x:c r="T1007" s="63" t="str">
        <x:v>无</x:v>
      </x:c>
      <x:c r="U1007" s="63" t="str">
        <x:v>无</x:v>
      </x:c>
      <x:c r="V1007" s="63" t="str">
        <x:v>多层因果推理</x:v>
      </x:c>
    </x:row>
    <x:row r="1008">
      <x:c r="A1008" s="64" t="str">
        <x:v>​3659087259892727808</x:v>
      </x:c>
      <x:c r="B1008" s="65" t="str">
        <x:v>基础题</x:v>
      </x:c>
      <x:c r="C1008" s="65" t="str">
        <x:v>基础题</x:v>
      </x:c>
      <x:c r="D1008" s="65" t="str">
        <x:v>基础题</x:v>
      </x:c>
      <x:c r="E1008" s="65" t="str">
        <x:v>保留原GPT裁定</x:v>
      </x:c>
      <x:c r="F1008" s="65" t="str">
        <x:v>高</x:v>
      </x:c>
      <x:c r="G1008" s="65" t="str">
        <x:v>基础题</x:v>
      </x:c>
      <x:c r="H1008" s="65" t="str">
        <x:v>基础题</x:v>
      </x:c>
      <x:c r="I1008" s="65" t="str">
        <x:v>题干、解析与结构证据支持基础题：step=1-2步，题型=概念判断，状态=单状态，约束=无约束，推理=直接套用。教师、盲评和多次模型证据中未形成足以推翻原裁定的同向结构证据。</x:v>
      </x:c>
      <x:c r="J1008" s="65" t="str">
        <x:v>未进入三次错题并集；逐题结构一致性复核</x:v>
      </x:c>
      <x:c r="K1008" s="63" t="str">
        <x:v>近年来，中国科技工作者在各个领域一次次刷新“中国高度”，回答下列小题。 （1）2026年5月，我国首件月壤纤维实验样品进入中国空间站。科研团队模拟月球环境先将固态月壤 成液滴，再精准牵引成月壤纤维；该样品从地球进入空间站，质量 （填变化情况）。 （2）2026年春晚表演中，单台电脑控制22580架无人机同时升空，创下世界纪录。无人机升空过程，相对于地面是 （填“运动”或“静止”）的；电脑通过 波向无人机传递信息。 （3）我国复兴号CR450型电力动车组是全球跑得最快的高铁列车。列车牵引功率达1.1×107W，在该功率下运行60s,牵引力做功 J；刹车时，通过“再生制动”系统，将列车 能转化为电能，实现节能。</x:v>
      </x:c>
      <x:c r="L1008" s="63" t="str"/>
      <x:c r="M1008" s="63" t="str">
        <x:v>解：（1）①月壤纤维实验样品变为液滴的过程是由固态变为液态，因此是熔化； ②质量是物体的基本属性，与位置无关，因此该样品从地球进入空间站，质量不变； （2）①无人机升空过程，相对于地面位置发生了改变，因此相对于地面是运动的； ②电能通过电磁波传递信息； （3）①牵引力做功为：W=Pt=1.1×107W×60s=6.6×108J； ②刹车时，列车的机械能减少，通过“再生制动”系统，将列车的机械能转化为电能，实现节能。 故答案为：（1）熔化；不变；（2）运动；电磁；（3）6.6×108；机械。</x:v>
      </x:c>
      <x:c r="N1008" s="63" t="str">
        <x:v>https://k12static.xdf.cn/k12/image/externalized/804eadf3-981c-4393-9962-a4d09b2e97a4.png</x:v>
      </x:c>
      <x:c r="O1008" s="63" t="str">
        <x:v>https://k12static.xdf.cn/k12/image/externalized/9a93b227-bb96-4cce-b5d5-c8c224db955d.png</x:v>
      </x:c>
      <x:c r="P1008" s="63" t="str">
        <x:v>1-2步</x:v>
      </x:c>
      <x:c r="Q1008" s="63" t="str">
        <x:v>概念判断</x:v>
      </x:c>
      <x:c r="R1008" s="63" t="str">
        <x:v>单状态</x:v>
      </x:c>
      <x:c r="S1008" s="63" t="str">
        <x:v>无约束</x:v>
      </x:c>
      <x:c r="T1008" s="63" t="str">
        <x:v>无</x:v>
      </x:c>
      <x:c r="U1008" s="63" t="str">
        <x:v>无</x:v>
      </x:c>
      <x:c r="V1008" s="63" t="str">
        <x:v>直接套用</x:v>
      </x:c>
    </x:row>
    <x:row r="1009">
      <x:c r="A1009" s="64" t="str">
        <x:v>​3659087265429209088</x:v>
      </x:c>
      <x:c r="B1009" s="65" t="str">
        <x:v>基础题</x:v>
      </x:c>
      <x:c r="C1009" s="65" t="str">
        <x:v>基础题</x:v>
      </x:c>
      <x:c r="D1009" s="65" t="str">
        <x:v>基础题</x:v>
      </x:c>
      <x:c r="E1009" s="65" t="str">
        <x:v>保留原GPT裁定</x:v>
      </x:c>
      <x:c r="F1009" s="65" t="str">
        <x:v>高</x:v>
      </x:c>
      <x:c r="G1009" s="65" t="str">
        <x:v>基础题</x:v>
      </x:c>
      <x:c r="H1009" s="65" t="str">
        <x:v>基础题</x:v>
      </x:c>
      <x:c r="I1009" s="65" t="str">
        <x:v>题干、解析与结构证据支持基础题：step=1-2步，题型=跨模块综合，状态=单状态，约束=无约束，推理=简单因果推理。教师、盲评和多次模型证据中未形成足以推翻原裁定的同向结构证据。</x:v>
      </x:c>
      <x:c r="J1009" s="65" t="str">
        <x:v>未进入三次错题并集；逐题结构一致性复核</x:v>
      </x:c>
      <x:c r="K1009" s="63" t="str">
        <x:v>小闽设计的太阳能环保小屋如图所示。太阳能属于 能源。屋顶太阳能电池板的面积为1m2，若在太阳辐射的有效时间内接收太阳辐射的功率为400W，光电转化效率为20%，该太阳能电池板的发电功率为 W。</x:v>
      </x:c>
      <x:c r="L1009" s="63" t="str"/>
      <x:c r="M1009" s="63" t="str">
        <x:v>解：太阳能属于可再生能源（或新能源、清洁能源）。它取之不尽、用之不竭，且在利用过程中不会对环境造成污染。 根据题意，已知条件为：接收太阳辐射的功率（即输入功率）：P输入=400W，光电转化效率：η=20%，发电功率（即有效输出功率）的计算公式为： P输出=P输入×η=400W×20%=80W。 故答案为：可再生；80。</x:v>
      </x:c>
      <x:c r="N1009" s="63" t="str">
        <x:v>https://k12static.xdf.cn/k12/image/externalized/bcf199ce-cc2c-45f5-9b9c-322a3b3d02d4.png</x:v>
      </x:c>
      <x:c r="O1009" s="63" t="str">
        <x:v>https://k12static.xdf.cn/k12/image/externalized/1a452fdf-7554-4390-b0ef-a6131076c1ba.png</x:v>
      </x:c>
      <x:c r="P1009" s="63" t="str">
        <x:v>1-2步</x:v>
      </x:c>
      <x:c r="Q1009" s="63" t="str">
        <x:v>跨模块综合</x:v>
      </x:c>
      <x:c r="R1009" s="63" t="str">
        <x:v>单状态</x:v>
      </x:c>
      <x:c r="S1009" s="63" t="str">
        <x:v>无约束</x:v>
      </x:c>
      <x:c r="T1009" s="63" t="str">
        <x:v>无</x:v>
      </x:c>
      <x:c r="U1009" s="63" t="str">
        <x:v>无</x:v>
      </x:c>
      <x:c r="V1009" s="63" t="str">
        <x:v>简单因果推理</x:v>
      </x:c>
    </x:row>
    <x:row r="1010">
      <x:c r="A1010" s="64" t="str">
        <x:v>​3659087270965690368</x:v>
      </x:c>
      <x:c r="B1010" s="65" t="str">
        <x:v>基础题</x:v>
      </x:c>
      <x:c r="C1010" s="65" t="str">
        <x:v>基础题</x:v>
      </x:c>
      <x:c r="D1010" s="65" t="str">
        <x:v>基础题</x:v>
      </x:c>
      <x:c r="E1010" s="65" t="str">
        <x:v>保留原GPT裁定</x:v>
      </x:c>
      <x:c r="F1010" s="65" t="str">
        <x:v>高</x:v>
      </x:c>
      <x:c r="G1010" s="65" t="str">
        <x:v>基础题</x:v>
      </x:c>
      <x:c r="H1010" s="65" t="str">
        <x:v>基础题</x:v>
      </x:c>
      <x:c r="I1010" s="65" t="str">
        <x:v>题干、解析与结构证据支持基础题：step=1-2步，题型=概念判断，状态=单状态，约束=无约束，推理=简单因果推理。教师、盲评和多次模型证据中未形成足以推翻原裁定的同向结构证据。</x:v>
      </x:c>
      <x:c r="J1010" s="65" t="str">
        <x:v>未进入三次错题并集；逐题结构一致性复核</x:v>
      </x:c>
      <x:c r="K1010" s="63" t="str">
        <x:v>小闽用铁钉自制一个电磁铁，电路如图所示。闭合开关，铁钉左端是 极；要让电磁铁的磁性增强，电阻箱R的阻值需调 。</x:v>
      </x:c>
      <x:c r="L1010" s="63" t="str"/>
      <x:c r="M1010" s="63" t="str">
        <x:v>解：（1）闭合开关，电流从铁钉右端流入，左端流出，根据安培定则可知，铁钉左端是S极； （2）要让电磁铁的磁性增强，可将电路电流调大，由欧姆定律可知，电阻箱R的阻值需调小。 故答案为：S；小。</x:v>
      </x:c>
      <x:c r="N1010" s="63" t="str">
        <x:v>https://k12static.xdf.cn/k12/image/externalized/3d5e7581-44a8-488a-8ed7-988b56162406.png</x:v>
      </x:c>
      <x:c r="O1010" s="63" t="str">
        <x:v>https://k12static.xdf.cn/k12/image/externalized/e1a77fe2-0275-4ddb-93ea-6355956bcea7.png</x:v>
      </x:c>
      <x:c r="P1010" s="63" t="str">
        <x:v>1-2步</x:v>
      </x:c>
      <x:c r="Q1010" s="63" t="str">
        <x:v>概念判断</x:v>
      </x:c>
      <x:c r="R1010" s="63" t="str">
        <x:v>单状态</x:v>
      </x:c>
      <x:c r="S1010" s="63" t="str">
        <x:v>无约束</x:v>
      </x:c>
      <x:c r="T1010" s="63" t="str">
        <x:v>无</x:v>
      </x:c>
      <x:c r="U1010" s="63" t="str">
        <x:v>无</x:v>
      </x:c>
      <x:c r="V1010" s="63" t="str">
        <x:v>简单因果推理</x:v>
      </x:c>
    </x:row>
    <x:row r="1011">
      <x:c r="A1011" s="64" t="str">
        <x:v>​3659087291802992640</x:v>
      </x:c>
      <x:c r="B1011" s="65" t="str">
        <x:v>送分题</x:v>
      </x:c>
      <x:c r="C1011" s="65" t="str">
        <x:v>送分题</x:v>
      </x:c>
      <x:c r="D1011" s="65" t="str">
        <x:v>送分题</x:v>
      </x:c>
      <x:c r="E1011" s="65" t="str">
        <x:v>逐题复核后保留GPT裁定</x:v>
      </x:c>
      <x:c r="F1011" s="65" t="str">
        <x:v>高</x:v>
      </x:c>
      <x:c r="G1011" s="65" t="str">
        <x:v>送分题</x:v>
      </x:c>
      <x:c r="H1011" s="65" t="str">
        <x:v>送分题</x:v>
      </x:c>
      <x:c r="I1011" s="65" t="str">
        <x:v>核心只需识别一个唯一、熟悉且关系显性的教材模板（光路、成像条件与几何关系），没有第二次独立物理决策；背景、选项数量或机械作答动作不增加难度。</x:v>
      </x:c>
      <x:c r="J1011" s="65" t="str">
        <x:v>三次运行错题并集逐题复核</x:v>
      </x:c>
      <x:c r="K1011" s="63" t="str">
        <x:v>画出经透镜射出的光线。</x:v>
      </x:c>
      <x:c r="L1011" s="63" t="str"/>
      <x:c r="M1011" s="63" t="str">
        <x:v>解：过凸透镜光心的光线其传播方向不变；平行于凸透镜主光轴的光线，经凸透镜折射后，折射光线通过凸透镜另一侧的焦点，如图所示：</x:v>
      </x:c>
      <x:c r="N1011" s="63" t="str">
        <x:v>https://k12static.xdf.cn/k12/image/externalized/69df8d62-15d6-4deb-ba4c-56648304e9c8.png</x:v>
      </x:c>
      <x:c r="O1011" s="63" t="str">
        <x:v>https://k12static.xdf.cn/k12/image/externalized/ba806e3d-e64d-485f-8c68-07630747d0a9.png</x:v>
      </x:c>
      <x:c r="P1011" s="63" t="str">
        <x:v>1-2步</x:v>
      </x:c>
      <x:c r="Q1011" s="63" t="str">
        <x:v>光学声学综合</x:v>
      </x:c>
      <x:c r="R1011" s="63" t="str">
        <x:v>单状态</x:v>
      </x:c>
      <x:c r="S1011" s="63" t="str">
        <x:v>无约束</x:v>
      </x:c>
      <x:c r="T1011" s="63" t="str">
        <x:v>无</x:v>
      </x:c>
      <x:c r="U1011" s="63" t="str">
        <x:v>无</x:v>
      </x:c>
      <x:c r="V1011" s="63" t="str">
        <x:v>直接套用</x:v>
      </x:c>
    </x:row>
    <x:row r="1012">
      <x:c r="A1012" s="64" t="str">
        <x:v>​3659087300292263936</x:v>
      </x:c>
      <x:c r="B1012" s="65" t="str">
        <x:v>基础题</x:v>
      </x:c>
      <x:c r="C1012" s="65" t="str">
        <x:v>基础题</x:v>
      </x:c>
      <x:c r="D1012" s="65" t="str">
        <x:v>基础题</x:v>
      </x:c>
      <x:c r="E1012" s="65" t="str">
        <x:v>逐题复核后保留GPT裁定</x:v>
      </x:c>
      <x:c r="F1012" s="65" t="str">
        <x:v>高</x:v>
      </x:c>
      <x:c r="G1012" s="65" t="str">
        <x:v>基础题</x:v>
      </x:c>
      <x:c r="H1012" s="65" t="str">
        <x:v>基础题</x:v>
      </x:c>
      <x:c r="I1012" s="65" t="str">
        <x:v>多个空/选项彼此独立，不形成连续链；最高难任务属于教材概念与常规物理关系中的1—2步直接应用、规范操作或简单因果判断。需要理解/应用而非纯识记，但没有共享中间结论、完整连续过程或隐含转换。</x:v>
      </x:c>
      <x:c r="J1012" s="65" t="str">
        <x:v>三次运行错题并集逐题复核</x:v>
      </x:c>
      <x:c r="K1012" s="63" t="str"/>
      <x:c r="L1012" s="63" t="str"/>
      <x:c r="M1012" s="63" t="str"/>
      <x:c r="N1012" s="63" t="str">
        <x:v>https://k12static.xdf.cn/k12/image/externalized/2270fecb-c867-4776-a3f7-59f90bb38df5.png</x:v>
      </x:c>
      <x:c r="O1012" s="63" t="str">
        <x:v>https://k12static.xdf.cn/k12/image/externalized/e9a73129-14da-46e0-b6be-a8ff3785b6c4.png</x:v>
      </x:c>
      <x:c r="P1012" s="63" t="str">
        <x:v>1-2步</x:v>
      </x:c>
      <x:c r="Q1012" s="63" t="str">
        <x:v>概念判断</x:v>
      </x:c>
      <x:c r="R1012" s="63" t="str">
        <x:v>单状态</x:v>
      </x:c>
      <x:c r="S1012" s="63" t="str">
        <x:v>无约束</x:v>
      </x:c>
      <x:c r="T1012" s="63" t="str">
        <x:v>无</x:v>
      </x:c>
      <x:c r="U1012" s="63" t="str">
        <x:v>无</x:v>
      </x:c>
      <x:c r="V1012" s="63" t="str">
        <x:v>简单因果推理</x:v>
      </x:c>
    </x:row>
    <x:row r="1013">
      <x:c r="A1013" s="64" t="str">
        <x:v>​3659087308714426368</x:v>
      </x:c>
      <x:c r="B1013" s="65" t="str">
        <x:v>中等题</x:v>
      </x:c>
      <x:c r="C1013" s="65" t="str">
        <x:v>中等题</x:v>
      </x:c>
      <x:c r="D1013" s="65" t="str">
        <x:v>中等题</x:v>
      </x:c>
      <x:c r="E1013" s="65" t="str">
        <x:v>保留原GPT裁定</x:v>
      </x:c>
      <x:c r="F1013" s="65" t="str">
        <x:v>高</x:v>
      </x:c>
      <x:c r="G1013" s="65" t="str">
        <x:v>中等题</x:v>
      </x:c>
      <x:c r="H1013" s="65" t="str">
        <x:v>中等题</x:v>
      </x:c>
      <x:c r="I1013" s="65" t="str">
        <x:v>题干、解析与结构证据支持中等题：step=1-2步，题型=实验探究，状态=单状态，约束=无约束，推理=多层因果推理。教师、盲评和多次模型证据中未形成足以推翻原裁定的同向结构证据。</x:v>
      </x:c>
      <x:c r="J1013" s="65" t="str">
        <x:v>未进入三次错题并集；逐题结构一致性复核</x:v>
      </x:c>
      <x:c r="K1013" s="63" t="str">
        <x:v>探究平面镜成像的特点，实验装置如图甲所示。画有“F”的纸板A和玻璃板相互垂直固定放置在桌面上，纸板B可前后折转。</x:v>
      </x:c>
      <x:c r="L1013" s="63" t="str"/>
      <x:c r="M1013" s="63" t="str"/>
      <x:c r="N1013" s="63" t="str">
        <x:v>https://k12static.xdf.cn/k12/image/externalized/7329deb2-c50d-4074-b3bb-cbbede693590.png</x:v>
      </x:c>
      <x:c r="O1013" s="63" t="str">
        <x:v>https://k12static.xdf.cn/k12/image/externalized/e1603a73-78c6-4de7-a5b7-6785115a306b.png</x:v>
      </x:c>
      <x:c r="P1013" s="63" t="str">
        <x:v>1-2步</x:v>
      </x:c>
      <x:c r="Q1013" s="63" t="str">
        <x:v>实验探究</x:v>
      </x:c>
      <x:c r="R1013" s="63" t="str">
        <x:v>单状态</x:v>
      </x:c>
      <x:c r="S1013" s="63" t="str">
        <x:v>无约束</x:v>
      </x:c>
      <x:c r="T1013" s="63" t="str">
        <x:v>控制变量或故障分析</x:v>
      </x:c>
      <x:c r="U1013" s="63" t="str">
        <x:v>无</x:v>
      </x:c>
      <x:c r="V1013" s="63" t="str">
        <x:v>多层因果推理</x:v>
      </x:c>
    </x:row>
    <x:row r="1014">
      <x:c r="A1014" s="64" t="str">
        <x:v>​3659087322454966272</x:v>
      </x:c>
      <x:c r="B1014" s="65" t="str">
        <x:v>中等题</x:v>
      </x:c>
      <x:c r="C1014" s="65" t="str">
        <x:v>中等题</x:v>
      </x:c>
      <x:c r="D1014" s="65" t="str">
        <x:v>中等题</x:v>
      </x:c>
      <x:c r="E1014" s="65" t="str">
        <x:v>保留原GPT裁定</x:v>
      </x:c>
      <x:c r="F1014" s="65" t="str">
        <x:v>高</x:v>
      </x:c>
      <x:c r="G1014" s="65" t="str">
        <x:v>中等题</x:v>
      </x:c>
      <x:c r="H1014" s="65" t="str">
        <x:v>中等题</x:v>
      </x:c>
      <x:c r="I1014" s="65" t="str">
        <x:v>题干、解析与结构证据支持中等题：step=3-5步，题型=实验探究，状态=单状态，约束=单一约束，推理=多层因果推理。教师、盲评和多次模型证据中未形成足以推翻原裁定的同向结构证据。</x:v>
      </x:c>
      <x:c r="J1014" s="65" t="str">
        <x:v>未进入三次错题并集；逐题结构一致性复核</x:v>
      </x:c>
      <x:c r="K1014" s="63" t="str">
        <x:v>探究滑动摩擦力大小与哪些因素有关，实验装置如图所示。</x:v>
      </x:c>
      <x:c r="L1014" s="63" t="str"/>
      <x:c r="M1014" s="63" t="str"/>
      <x:c r="N1014" s="63" t="str">
        <x:v>https://k12static.xdf.cn/k12/image/externalized/f12bca85-985b-4468-8677-4f16c0c7234b.png</x:v>
      </x:c>
      <x:c r="O1014" s="63" t="str">
        <x:v>https://k12static.xdf.cn/k12/image/externalized/101ddc9e-b5f8-4856-b123-c2c512e84b09.png</x:v>
      </x:c>
      <x:c r="P1014" s="63" t="str">
        <x:v>3-5步</x:v>
      </x:c>
      <x:c r="Q1014" s="63" t="str">
        <x:v>实验探究</x:v>
      </x:c>
      <x:c r="R1014" s="63" t="str">
        <x:v>单状态</x:v>
      </x:c>
      <x:c r="S1014" s="63" t="str">
        <x:v>单一约束</x:v>
      </x:c>
      <x:c r="T1014" s="63" t="str">
        <x:v>控制变量或故障分析</x:v>
      </x:c>
      <x:c r="U1014" s="63" t="str">
        <x:v>多组比较归纳</x:v>
      </x:c>
      <x:c r="V1014" s="63" t="str">
        <x:v>多层因果推理</x:v>
      </x:c>
    </x:row>
    <x:row r="1015">
      <x:c r="A1015" s="64" t="str">
        <x:v>​3659087330206040064</x:v>
      </x:c>
      <x:c r="B1015" s="65" t="str">
        <x:v>中等题</x:v>
      </x:c>
      <x:c r="C1015" s="65" t="str">
        <x:v>中等题</x:v>
      </x:c>
      <x:c r="D1015" s="65" t="str">
        <x:v>中等题</x:v>
      </x:c>
      <x:c r="E1015" s="65" t="str">
        <x:v>保留原GPT裁定</x:v>
      </x:c>
      <x:c r="F1015" s="65" t="str">
        <x:v>高</x:v>
      </x:c>
      <x:c r="G1015" s="65" t="str">
        <x:v>中等题</x:v>
      </x:c>
      <x:c r="H1015" s="65" t="str">
        <x:v>中等题</x:v>
      </x:c>
      <x:c r="I1015" s="65" t="str">
        <x:v>题干、解析与结构证据支持中等题：step=1-2步，题型=实验探究，状态=单状态，约束=无约束，推理=多层因果推理。教师、盲评和多次模型证据中未形成足以推翻原裁定的同向结构证据。</x:v>
      </x:c>
      <x:c r="J1015" s="65" t="str">
        <x:v>未进入三次错题并集；逐题结构一致性复核</x:v>
      </x:c>
      <x:c r="K1015" s="63" t="str">
        <x:v>探究液体在沸腾前后温度变化的特点。如图甲，用电热杯分别加热质量相同的水和某食用油，食用油温度达到160℃时停止实验。图乙是水和食用油温度随时间变化的关系图像。</x:v>
      </x:c>
      <x:c r="L1015" s="63" t="str"/>
      <x:c r="M1015" s="63" t="str"/>
      <x:c r="N1015" s="63" t="str">
        <x:v>https://k12static.xdf.cn/k12/image/externalized/6bbae592-0c6f-4965-bdab-193b6157b476.png</x:v>
      </x:c>
      <x:c r="O1015" s="63" t="str">
        <x:v>https://k12static.xdf.cn/k12/image/externalized/e8caaf97-59a6-4072-a56f-8ac81420ea1c.png</x:v>
      </x:c>
      <x:c r="P1015" s="63" t="str">
        <x:v>1-2步</x:v>
      </x:c>
      <x:c r="Q1015" s="63" t="str">
        <x:v>实验探究</x:v>
      </x:c>
      <x:c r="R1015" s="63" t="str">
        <x:v>单状态</x:v>
      </x:c>
      <x:c r="S1015" s="63" t="str">
        <x:v>无约束</x:v>
      </x:c>
      <x:c r="T1015" s="63" t="str">
        <x:v>控制变量或故障分析</x:v>
      </x:c>
      <x:c r="U1015" s="63" t="str">
        <x:v>多组比较归纳</x:v>
      </x:c>
      <x:c r="V1015" s="63" t="str">
        <x:v>多层因果推理</x:v>
      </x:c>
    </x:row>
    <x:row r="1016">
      <x:c r="A1016" s="64" t="str">
        <x:v>​3659087353476038656</x:v>
      </x:c>
      <x:c r="B1016" s="65" t="str">
        <x:v>压轴题</x:v>
      </x:c>
      <x:c r="C1016" s="65" t="str">
        <x:v>压轴题</x:v>
      </x:c>
      <x:c r="D1016" s="65" t="str">
        <x:v>压轴题</x:v>
      </x:c>
      <x:c r="E1016" s="65" t="str">
        <x:v>逐题复核后保留GPT裁定</x:v>
      </x:c>
      <x:c r="F1016" s="65" t="str">
        <x:v>高</x:v>
      </x:c>
      <x:c r="G1016" s="65" t="str">
        <x:v>压轴题</x:v>
      </x:c>
      <x:c r="H1016" s="65" t="str">
        <x:v>压轴题</x:v>
      </x:c>
      <x:c r="I1016" s="65" t="str">
        <x:v>多对象、多状态和多约束形成共享模型网络，并含临界、分类、边界或有效解筛选。 题目证据：保留原标。最长有效链为3-5步、题型为实验探究、涉及双状态、含多约束、实验要求达到“方案设计或误差评价”、图表要求达到“图像反推或外推”、推理为多层因果推理，与压轴题边界一致。 复核证据：教师标签与独立盲评一致；三次模型运行使用相近提示词，仅作为辅助证据，不足以推翻两者一致结论。。</x:v>
      </x:c>
      <x:c r="J1016" s="65" t="str">
        <x:v>三次运行错题并集逐题复核</x:v>
      </x:c>
      <x:c r="K1016" s="63" t="str">
        <x:v>项目式学习小组用电热器进行蒸馏实验，发现升温缓慢，需重新设计加热装置。 （1）任务一：测量原电热器工作时的电功率 ①将原电热器的发热电阻R0接入如图甲所示的电路中，用笔画线代替导线将电路连接完整。要求：滑片P向右移动时，电路中的电流变大。 ②闭合开关，移动滑片P直至电压表示数等于电热器的额定电压5V，此时电流表示数如图乙所示，为 ________ A，则功率为 ________ W。 （2）任务二：选择一款发热电阻，设计加热更快且温度能保持在60℃附近的加热装置 实验室现有两款发热电阻R1和R2，阻值R随温度t变化的关系如图丙所示，其中一款电阻具有恒温功能且在60℃时工作电流为0.5A。 可选实验器材有： A.电源（0～24V可选）一个 B.发热电阻R1两个 C.发热电阻R2两个 D.开关一个、导线若干 加热装置设计方案 ①器材选择：电阻 ________ （填“R1”或“R2”）、电源、开关、导线。 ②电路设计：画出电路图。 ③工作参数：电源电压 ________ V，0～60℃加热功率范围 ________ W。</x:v>
      </x:c>
      <x:c r="L1016" s="63" t="str"/>
      <x:c r="M1016" s="63" t="str">
        <x:v>解：（1）任务一：测量原电热器工作电功率 ①电路连接要求电路为伏安法测电功率：电源、开关、滑动变阻器、电热器R0、电流表串联；电压表并联在R0两端，量程选0～15V。滑片 P 向右移电流变大→滑动变阻器右下接线柱接入，实物连接如下： 。 ②电流表接大量程，分度值为0.1A，示数为1.2A。即I=1.2AP额=U额I额=5V×1.2A=6W。 （2）任务二：恒温加热装置设计（升温更快、60℃恒温） ①器材选择：R1、8V电源、开关、导线。②两个R1并联，开关控制总电路，电路图如下： 。 ③原理：60℃恒温时I=0.5A，根据图丙可知，60℃时单只电阻阻值为16Ω：U=IR=0.5A×16Ω=8V。电源电压U=8V，低温0℃附近：两只R1并联，总电阻4Ω，功率P大=$\frac{{U}^{2}}{R}$=$\frac{(8V)^{2}}{4Ω}$=16W；60℃恒温点：总电阻8Ω，功率P小=$\frac{(8V)^{2}}{8Ω}$=8W；“0～60℃加热功率范围 8～16W”要求。 故答案为：（1）① ②1.2；6； （2）①R1； ② ； ③8；8～16。</x:v>
      </x:c>
      <x:c r="N1016" s="63" t="str">
        <x:v>https://k12static.xdf.cn/k12/image/externalized/1d298e4e-3134-4fbe-b925-7db99fd57972.png</x:v>
      </x:c>
      <x:c r="O1016" s="63" t="str">
        <x:v>https://k12static.xdf.cn/k12/image/externalized/0b2cca4e-f209-4a10-b44f-5a438af0ac29.png</x:v>
      </x:c>
      <x:c r="P1016" s="63" t="str">
        <x:v>3-5步</x:v>
      </x:c>
      <x:c r="Q1016" s="63" t="str">
        <x:v>实验探究</x:v>
      </x:c>
      <x:c r="R1016" s="63" t="str">
        <x:v>双状态</x:v>
      </x:c>
      <x:c r="S1016" s="63" t="str">
        <x:v>多约束</x:v>
      </x:c>
      <x:c r="T1016" s="63" t="str">
        <x:v>方案设计或误差评价</x:v>
      </x:c>
      <x:c r="U1016" s="63" t="str">
        <x:v>图像反推或外推</x:v>
      </x:c>
      <x:c r="V1016" s="63" t="str">
        <x:v>多层因果推理</x:v>
      </x:c>
    </x:row>
    <x:row r="1017">
      <x:c r="A1017" s="64" t="str">
        <x:v>​3659087364163125248</x:v>
      </x:c>
      <x:c r="B1017" s="65" t="str">
        <x:v>基础题</x:v>
      </x:c>
      <x:c r="C1017" s="65" t="str">
        <x:v>基础题</x:v>
      </x:c>
      <x:c r="D1017" s="65" t="str">
        <x:v>基础题</x:v>
      </x:c>
      <x:c r="E1017" s="65" t="str">
        <x:v>保留原GPT裁定</x:v>
      </x:c>
      <x:c r="F1017" s="65" t="str">
        <x:v>高</x:v>
      </x:c>
      <x:c r="G1017" s="65" t="str">
        <x:v>基础题</x:v>
      </x:c>
      <x:c r="H1017" s="65" t="str">
        <x:v>基础题</x:v>
      </x:c>
      <x:c r="I1017" s="65" t="str">
        <x:v>题干、解析与结构证据支持基础题：step=1-2步，题型=力学综合，状态=单状态，约束=无约束，推理=简单因果推理。教师、盲评和多次模型证据中未形成足以推翻原裁定的同向结构证据。</x:v>
      </x:c>
      <x:c r="J1017" s="65" t="str">
        <x:v>未进入三次错题并集；逐题结构一致性复核</x:v>
      </x:c>
      <x:c r="K1017" s="63" t="str">
        <x:v>2026年春晚，机器人表演展现了中国功夫与中国智造的融合，如图所示。若机器人总质量为35kg,站立不动时与水平舞台的总接触面积为0.02m2，匀速直线奔跑5s内通过的路程为10m,在此过程中，求机器人：</x:v>
      </x:c>
      <x:c r="L1017" s="63" t="str"/>
      <x:c r="M1017" s="63" t="str"/>
      <x:c r="N1017" s="63" t="str">
        <x:v>https://k12static.xdf.cn/k12/image/externalized/9bf2ecbb-a12f-471f-be26-3921eca269b9.png</x:v>
      </x:c>
      <x:c r="O1017" s="63" t="str">
        <x:v>https://k12static.xdf.cn/k12/image/externalized/520a41b7-15db-4f7a-8077-266464dd6aa2.png</x:v>
      </x:c>
      <x:c r="P1017" s="63" t="str">
        <x:v>1-2步</x:v>
      </x:c>
      <x:c r="Q1017" s="63" t="str">
        <x:v>力学综合</x:v>
      </x:c>
      <x:c r="R1017" s="63" t="str">
        <x:v>单状态</x:v>
      </x:c>
      <x:c r="S1017" s="63" t="str">
        <x:v>无约束</x:v>
      </x:c>
      <x:c r="T1017" s="63" t="str">
        <x:v>无</x:v>
      </x:c>
      <x:c r="U1017" s="63" t="str">
        <x:v>无</x:v>
      </x:c>
      <x:c r="V1017" s="63" t="str">
        <x:v>简单因果推理</x:v>
      </x:c>
    </x:row>
    <x:row r="1018">
      <x:c r="A1018" s="64" t="str">
        <x:v>​3659088516539760640</x:v>
      </x:c>
      <x:c r="B1018" s="65" t="str">
        <x:v>送分题</x:v>
      </x:c>
      <x:c r="C1018" s="65" t="str">
        <x:v>送分题</x:v>
      </x:c>
      <x:c r="D1018" s="65" t="str">
        <x:v>送分题</x:v>
      </x:c>
      <x:c r="E1018" s="65" t="str">
        <x:v>保留原GPT裁定</x:v>
      </x:c>
      <x:c r="F1018" s="65" t="str">
        <x:v>高</x:v>
      </x:c>
      <x:c r="G1018" s="65" t="str">
        <x:v>送分题</x:v>
      </x:c>
      <x:c r="H1018" s="65" t="str">
        <x:v>送分题</x:v>
      </x:c>
      <x:c r="I1018" s="65" t="str">
        <x:v>题干、解析与结构证据支持送分题：step=1-2步，题型=概念判断，状态=单状态，约束=无约束，推理=直接套用。教师、盲评和多次模型证据中未形成足以推翻原裁定的同向结构证据。</x:v>
      </x:c>
      <x:c r="J1018" s="65" t="str">
        <x:v>未进入三次错题并集；逐题结构一致性复核</x:v>
      </x:c>
      <x:c r="K1018" s="63" t="str">
        <x:v>2026年5月24日，“神舟二十三号”载人飞船顺利将三名航天员送入中国空间站。航天员在空间站与地面指挥中心联系是通过（ ）</x:v>
      </x:c>
      <x:c r="L1018" s="63" t="str">
        <x:v>A. 紫外线 B. 红外线 C. 无线电波 D. 声波</x:v>
      </x:c>
      <x:c r="M1018" s="63" t="str">
        <x:v>解：无线电波是电磁波的一种，不需要介质就能在真空中传播，且能携带信息、穿透距离远，是航天通信的核心手段。我国空间站通过天链卫星系统（中继卫星）与地面测控站实现天地双向通信，传输语音、视频、数据等，使用的正是无线电波，故C符合题意，ABD不符合题意。 故选：C。</x:v>
      </x:c>
      <x:c r="N1018" s="63" t="str">
        <x:v>https://k12static.xdf.cn/k12/image/externalized/1ddbb0de-6677-4337-9f46-fd186546046c.png</x:v>
      </x:c>
      <x:c r="O1018" s="63" t="str">
        <x:v>https://k12static.xdf.cn/k12/image/externalized/b8565676-6d08-4406-acb0-12f8834500f9.png</x:v>
      </x:c>
      <x:c r="P1018" s="63" t="str">
        <x:v>1-2步</x:v>
      </x:c>
      <x:c r="Q1018" s="63" t="str">
        <x:v>概念判断</x:v>
      </x:c>
      <x:c r="R1018" s="63" t="str">
        <x:v>单状态</x:v>
      </x:c>
      <x:c r="S1018" s="63" t="str">
        <x:v>无约束</x:v>
      </x:c>
      <x:c r="T1018" s="63" t="str">
        <x:v>无</x:v>
      </x:c>
      <x:c r="U1018" s="63" t="str">
        <x:v>无</x:v>
      </x:c>
      <x:c r="V1018" s="63" t="str">
        <x:v>直接套用</x:v>
      </x:c>
    </x:row>
    <x:row r="1019">
      <x:c r="A1019" s="64" t="str">
        <x:v>​3659088519895203840</x:v>
      </x:c>
      <x:c r="B1019" s="65" t="str">
        <x:v>送分题</x:v>
      </x:c>
      <x:c r="C1019" s="65" t="str">
        <x:v>送分题</x:v>
      </x:c>
      <x:c r="D1019" s="65" t="str">
        <x:v>送分题</x:v>
      </x:c>
      <x:c r="E1019" s="65" t="str">
        <x:v>保留原GPT裁定</x:v>
      </x:c>
      <x:c r="F1019" s="65" t="str">
        <x:v>高</x:v>
      </x:c>
      <x:c r="G1019" s="65" t="str">
        <x:v>送分题</x:v>
      </x:c>
      <x:c r="H1019" s="65" t="str">
        <x:v>送分题</x:v>
      </x:c>
      <x:c r="I1019" s="65" t="str">
        <x:v>题干、解析与结构证据支持送分题：step=1-2步，题型=概念判断，状态=单状态，约束=无约束，推理=直接套用。教师、盲评和多次模型证据中未形成足以推翻原裁定的同向结构证据。</x:v>
      </x:c>
      <x:c r="J1019" s="65" t="str">
        <x:v>未进入三次错题并集；逐题结构一致性复核</x:v>
      </x:c>
      <x:c r="K1019" s="63" t="str">
        <x:v>“碳中和”“碳达峰”是我国为应对全球环境危机而提出的目标，减少对不可再生能源的依赖是关键环节。以下属于不可再生能源的是（ ）</x:v>
      </x:c>
      <x:c r="L1019" s="63" t="str">
        <x:v>A. 水能 B. 太阳能 C. 风能 D. 石油</x:v>
      </x:c>
      <x:c r="M1019" s="63" t="str">
        <x:v>解：A.水能可以通过水循环持续再生，属于可再生能源，故A不合题意。 B.太阳能来自太阳的辐射能，短期内可以持续获得，属于可再生能源，故B不合题意。 C.风能由大气运动产生，能不断再生，属于可再生能源，故C不合题意。 D.石油是远古生物经过漫长地质年代形成的化石能源，消耗后短时间内无法再生，属于不可再生能源，故D符合题意。 故选：D。</x:v>
      </x:c>
      <x:c r="N1019" s="63" t="str">
        <x:v>https://k12static.xdf.cn/k12/image/externalized/cd6d027a-5df2-4e15-9aa3-8ae124d49753.png</x:v>
      </x:c>
      <x:c r="O1019" s="63" t="str">
        <x:v>https://k12static.xdf.cn/k12/image/externalized/b8de6467-eb0a-47e8-9dd6-64cbe26d2ba2.png</x:v>
      </x:c>
      <x:c r="P1019" s="63" t="str">
        <x:v>1-2步</x:v>
      </x:c>
      <x:c r="Q1019" s="63" t="str">
        <x:v>概念判断</x:v>
      </x:c>
      <x:c r="R1019" s="63" t="str">
        <x:v>单状态</x:v>
      </x:c>
      <x:c r="S1019" s="63" t="str">
        <x:v>无约束</x:v>
      </x:c>
      <x:c r="T1019" s="63" t="str">
        <x:v>无</x:v>
      </x:c>
      <x:c r="U1019" s="63" t="str">
        <x:v>无</x:v>
      </x:c>
      <x:c r="V1019" s="63" t="str">
        <x:v>直接套用</x:v>
      </x:c>
    </x:row>
    <x:row r="1020">
      <x:c r="A1020" s="64" t="str">
        <x:v>​3659088567173398528</x:v>
      </x:c>
      <x:c r="B1020" s="65" t="str">
        <x:v>中等题</x:v>
      </x:c>
      <x:c r="C1020" s="65" t="str">
        <x:v>中等题</x:v>
      </x:c>
      <x:c r="D1020" s="65" t="str">
        <x:v>中等题</x:v>
      </x:c>
      <x:c r="E1020" s="65" t="str">
        <x:v>逐题复核后保留GPT裁定</x:v>
      </x:c>
      <x:c r="F1020" s="65" t="str">
        <x:v>高</x:v>
      </x:c>
      <x:c r="G1020" s="65" t="str">
        <x:v>中等题</x:v>
      </x:c>
      <x:c r="H1020" s="65" t="str">
        <x:v>中等题</x:v>
      </x:c>
      <x:c r="I1020" s="65" t="str">
        <x:v>存在约3—4步常规连续分析、共享过程或完整标准实验任务，关系仍显性。 题目证据：最长连续链包含3个有效物理决策：第一步根据两个加热盘不同时工作、独立控制判断连接方式，第二步判断两个开关分别控制对应电阻的支路位置，第三步判断干路总开关S的位置。五维锚定：知识量为串联并联电路和开关控制作用2-3个关联知识点，过程/对象需要根据功能要求逐层推导开关和电阻的位置，情境为常见生活电器不需要额外建模，思维层次为常规多层分析，属于中等题范围。</x:v>
      </x:c>
      <x:c r="J1020" s="65" t="str">
        <x:v>三次运行错题并集逐题复核</x:v>
      </x:c>
      <x:c r="K1020" s="63" t="str">
        <x:v>某款电热水壶，当水烧开沸腾时，蒸汽开关S1断开，主加热盘R1停止工作；当水温降低至某一温度时，温控开关S2自动接通，只有副加热盘R2开始工作，实现保温；当出现干烧导致温度过高时，开关S自动断开，R1、R2均不工作。下列电路中，符合要求的是（ ）</x:v>
      </x:c>
      <x:c r="L1020" s="63" t="str"/>
      <x:c r="M1020" s="63" t="str">
        <x:v>解：蒸汽开关S1断开，主加热盘R1停止工作；当水温降低至某一温度时，温控开关S2自动接通，只有副加热盘R2开始工作，两个电阻不是同时工作的，互不影响，说明时并联关系，蒸汽开关S1控制R1；温控开关S2控制R2，串联在各自的支路中；出现干烧导致温度过高时，开关S自动断开，R1、R2均不工作，说明S控制两个电阻，故是在干路中，故B正确。 故选：B。</x:v>
      </x:c>
      <x:c r="N1020" s="63" t="str">
        <x:v>https://k12static.xdf.cn/k12/image/externalized/cab550c9-be68-4507-badc-0289f5a2bd8a.png</x:v>
      </x:c>
      <x:c r="O1020" s="63" t="str">
        <x:v>https://k12static.xdf.cn/k12/image/externalized/c97fa041-f2dd-45d5-bd2d-e405e0818538.png</x:v>
      </x:c>
      <x:c r="P1020" s="63" t="str">
        <x:v>1-2步</x:v>
      </x:c>
      <x:c r="Q1020" s="63" t="str">
        <x:v>电路综合</x:v>
      </x:c>
      <x:c r="R1020" s="63" t="str">
        <x:v>单状态</x:v>
      </x:c>
      <x:c r="S1020" s="63" t="str">
        <x:v>单一约束</x:v>
      </x:c>
      <x:c r="T1020" s="63" t="str">
        <x:v>无</x:v>
      </x:c>
      <x:c r="U1020" s="63" t="str">
        <x:v>无</x:v>
      </x:c>
      <x:c r="V1020" s="63" t="str">
        <x:v>多层因果推理</x:v>
      </x:c>
    </x:row>
    <x:row r="1021">
      <x:c r="A1021" s="64" t="str">
        <x:v>​3659088580964270080</x:v>
      </x:c>
      <x:c r="B1021" s="65" t="str">
        <x:v>中等题</x:v>
      </x:c>
      <x:c r="C1021" s="65" t="str">
        <x:v>中等题</x:v>
      </x:c>
      <x:c r="D1021" s="65" t="str">
        <x:v>中等题</x:v>
      </x:c>
      <x:c r="E1021" s="65" t="str">
        <x:v>逐题复核后保留GPT裁定</x:v>
      </x:c>
      <x:c r="F1021" s="65" t="str">
        <x:v>高</x:v>
      </x:c>
      <x:c r="G1021" s="65" t="str">
        <x:v>中等题</x:v>
      </x:c>
      <x:c r="H1021" s="65" t="str">
        <x:v>中等题</x:v>
      </x:c>
      <x:c r="I1021" s="65" t="str">
        <x:v>需要围绕电路状态、图线/参数与安全约束完成常规的3—4个有效决策，或完成一套完整标准实验/共享过程分析。关系仍显性、方法常规，没有决定性隐含转换、复杂边界筛选或多状态强耦合。</x:v>
      </x:c>
      <x:c r="J1021" s="65" t="str">
        <x:v>三次运行错题并集逐题复核</x:v>
      </x:c>
      <x:c r="K1021" s="63" t="str">
        <x:v>如图，在探究电流与电压的关系时，电源电压为6V，定值电阻R阻值为5Ω，电流表量程为0～0.6A，电压表量程为0～3V，滑动变阻器铭牌为“50Ω，0.5A”。闭合开关，为了保证电路中所有器材的安全，滑动变阻器接入电路的阻值至少为（ ）</x:v>
      </x:c>
      <x:c r="L1021" s="63" t="str">
        <x:v>A. 5Ω B. 7Ω C. 10Ω D. 12Ω</x:v>
      </x:c>
      <x:c r="M1021" s="63" t="str">
        <x:v>解：由电路图可知，定值电阻R0与滑动变阻器R串联，电压表测R0两端电压，电流表测电路电流； 电流表量程为0～0.6A，滑动变阻器铭牌为“50Ω，0.5A”，根据串联电路的特点知，最大允许的电流为0.5A； 此时电压表的示数为U=IR=0.5A×5Ω=2.5V，小于电压表量程为0～3V，没有超过量程； 此时变阻器的电压U'=U电-U=6V-2.5V=3.5V； 根据欧姆定律知，此时变阻器的电阻R'=$\frac{U'}{I}=\frac{3.5V}{0.5A}=7Ω$。 故选：B。</x:v>
      </x:c>
      <x:c r="N1021" s="63" t="str">
        <x:v>https://k12static.xdf.cn/k12/image/externalized/571def05-cb4d-4b84-a299-e63b39804714.png</x:v>
      </x:c>
      <x:c r="O1021" s="63" t="str">
        <x:v>https://k12static.xdf.cn/k12/image/externalized/426b6e27-3c0e-45eb-a93a-cfa81e7ce274.png</x:v>
      </x:c>
      <x:c r="P1021" s="63" t="str">
        <x:v>3-5步</x:v>
      </x:c>
      <x:c r="Q1021" s="63" t="str">
        <x:v>电路综合</x:v>
      </x:c>
      <x:c r="R1021" s="63" t="str">
        <x:v>单状态</x:v>
      </x:c>
      <x:c r="S1021" s="63" t="str">
        <x:v>多约束</x:v>
      </x:c>
      <x:c r="T1021" s="63" t="str">
        <x:v>无</x:v>
      </x:c>
      <x:c r="U1021" s="63" t="str">
        <x:v>无</x:v>
      </x:c>
      <x:c r="V1021" s="63" t="str">
        <x:v>多层因果推理</x:v>
      </x:c>
    </x:row>
    <x:row r="1022">
      <x:c r="A1022" s="64" t="str">
        <x:v>​3659088585494118400</x:v>
      </x:c>
      <x:c r="B1022" s="65" t="str">
        <x:v>拔高题</x:v>
      </x:c>
      <x:c r="C1022" s="65" t="str">
        <x:v>拔高题</x:v>
      </x:c>
      <x:c r="D1022" s="65" t="str">
        <x:v>拔高题</x:v>
      </x:c>
      <x:c r="E1022" s="65" t="str">
        <x:v>保留原GPT裁定</x:v>
      </x:c>
      <x:c r="F1022" s="65" t="str">
        <x:v>高</x:v>
      </x:c>
      <x:c r="G1022" s="65" t="str">
        <x:v>拔高题</x:v>
      </x:c>
      <x:c r="H1022" s="65" t="str">
        <x:v>拔高题</x:v>
      </x:c>
      <x:c r="I1022" s="65" t="str">
        <x:v>题干、解析与结构证据支持拔高题：step=3-5步，题型=概念判断，状态=多状态，约束=单一约束，推理=多层因果推理。教师、盲评和多次模型证据中未形成足以推翻原裁定的同向结构证据。</x:v>
      </x:c>
      <x:c r="J1022" s="65" t="str">
        <x:v>未进入三次错题并集；逐题结构一致性复核</x:v>
      </x:c>
      <x:c r="K1022" s="63" t="str">
        <x:v>如图，小明尝试用一根两端开口的有机长玻璃管从桶中汲水。操作中，管下端始终处于水面之下。可供选择的操作如下：①右手掌压紧上端管口；②右手掌松开上端管口；③左手抓住管子快速上提；④左手抓住管子快速下移；⑤左手抓住管子缓慢下移。能使水从上端管口涌出的最佳组合是（ ）</x:v>
      </x:c>
      <x:c r="L1022" s="63" t="str">
        <x:v>A. 按照②③①⑤顺序反复操作 B. 按照②⑤①③顺序反复操作 C. 按照②③①④顺序反复操作 D. 按照②④①③顺序反复操作</x:v>
      </x:c>
      <x:c r="M1022" s="63" t="str">
        <x:v>解：右手掌松开上端管口，然后左手抓住管子快速下移，让水会进入管内，管内液面和桶内液面保持一致，再用右手掌压紧上端管口，封闭管内气体，最后左手抓住管子快速上提，管内气体被拉伸，气压减小，在大气压作用下，管内水柱会被向上推，重复操作后水柱会越来越高，最终从上端管口涌出。所以能使水从上端管口涌出的最佳组合是按照②④①③顺序反复操作。 故选：D。</x:v>
      </x:c>
      <x:c r="N1022" s="63" t="str">
        <x:v>https://k12static.xdf.cn/k12/image/externalized/9dbcf14a-6353-4790-8df5-20bfe9ac93ff.png</x:v>
      </x:c>
      <x:c r="O1022" s="63" t="str">
        <x:v>https://k12static.xdf.cn/k12/image/externalized/94600815-adc1-4893-b1bd-93379bc94742.png</x:v>
      </x:c>
      <x:c r="P1022" s="63" t="str">
        <x:v>3-5步</x:v>
      </x:c>
      <x:c r="Q1022" s="63" t="str">
        <x:v>概念判断</x:v>
      </x:c>
      <x:c r="R1022" s="63" t="str">
        <x:v>多状态</x:v>
      </x:c>
      <x:c r="S1022" s="63" t="str">
        <x:v>单一约束</x:v>
      </x:c>
      <x:c r="T1022" s="63" t="str">
        <x:v>无</x:v>
      </x:c>
      <x:c r="U1022" s="63" t="str">
        <x:v>无</x:v>
      </x:c>
      <x:c r="V1022" s="63" t="str">
        <x:v>多层因果推理</x:v>
      </x:c>
    </x:row>
    <x:row r="1023">
      <x:c r="A1023" s="64" t="str">
        <x:v>​3659088588816007168</x:v>
      </x:c>
      <x:c r="B1023" s="65" t="str">
        <x:v>送分题</x:v>
      </x:c>
      <x:c r="C1023" s="65" t="str">
        <x:v>送分题</x:v>
      </x:c>
      <x:c r="D1023" s="65" t="str">
        <x:v>送分题</x:v>
      </x:c>
      <x:c r="E1023" s="65" t="str">
        <x:v>逐题复核后保留GPT裁定</x:v>
      </x:c>
      <x:c r="F1023" s="65" t="str">
        <x:v>高</x:v>
      </x:c>
      <x:c r="G1023" s="65" t="str">
        <x:v>送分题</x:v>
      </x:c>
      <x:c r="H1023" s="65" t="str">
        <x:v>送分题</x:v>
      </x:c>
      <x:c r="I1023" s="65" t="str">
        <x:v>只需识别一个熟悉教材模板，没有第二次物理决策。 题目证据：最长连续链的实际有效物理决策为2步，两个空分别对应两个光学概念的直接识别，五维锚定符合送分题标准。任务是对两个自然现象分别匹配对应的光现象概念，均为教材原型知识点的直接检索。</x:v>
      </x:c>
      <x:c r="J1023" s="65" t="str">
        <x:v>三次运行错题并集逐题复核</x:v>
      </x:c>
      <x:c r="K1023" s="63" t="str">
        <x:v>在拙政园内的池塘边，游人在树荫下欣赏水中游鱼。树荫是由于光的 形成的，能看到水中的鱼是光的 现象。</x:v>
      </x:c>
      <x:c r="L1023" s="63" t="str"/>
      <x:c r="M1023" s="63" t="str">
        <x:v>解：树荫是光在同种均匀介质中沿直线传播时，被树叶遮挡形成的阴影区域；我们能看到水中的鱼，是鱼反射的光从水中斜射入空气中时发生折射，人眼逆着折射光线看到的虚像； 故答案为：直线传播；折射。</x:v>
      </x:c>
      <x:c r="N1023" s="63" t="str">
        <x:v>https://k12static.xdf.cn/k12/image/externalized/2cc4e2b1-5d88-4a93-9a1b-d987eb1afd3a.png</x:v>
      </x:c>
      <x:c r="O1023" s="63" t="str">
        <x:v>https://k12static.xdf.cn/k12/image/externalized/07e1708b-7b0a-48a8-a547-3ef755c0c7d5.png</x:v>
      </x:c>
      <x:c r="P1023" s="63" t="str">
        <x:v>1-2步</x:v>
      </x:c>
      <x:c r="Q1023" s="63" t="str">
        <x:v>概念判断</x:v>
      </x:c>
      <x:c r="R1023" s="63" t="str">
        <x:v>单状态</x:v>
      </x:c>
      <x:c r="S1023" s="63" t="str">
        <x:v>无约束</x:v>
      </x:c>
      <x:c r="T1023" s="63" t="str">
        <x:v>无</x:v>
      </x:c>
      <x:c r="U1023" s="63" t="str">
        <x:v>无</x:v>
      </x:c>
      <x:c r="V1023" s="63" t="str">
        <x:v>直接套用</x:v>
      </x:c>
    </x:row>
    <x:row r="1024">
      <x:c r="A1024" s="64" t="str">
        <x:v>​3659088603210858496</x:v>
      </x:c>
      <x:c r="B1024" s="65" t="str">
        <x:v>送分题</x:v>
      </x:c>
      <x:c r="C1024" s="65" t="str">
        <x:v>送分题</x:v>
      </x:c>
      <x:c r="D1024" s="65" t="str">
        <x:v>送分题</x:v>
      </x:c>
      <x:c r="E1024" s="65" t="str">
        <x:v>保留原GPT裁定</x:v>
      </x:c>
      <x:c r="F1024" s="65" t="str">
        <x:v>高</x:v>
      </x:c>
      <x:c r="G1024" s="65" t="str">
        <x:v>送分题</x:v>
      </x:c>
      <x:c r="H1024" s="65" t="str">
        <x:v>送分题</x:v>
      </x:c>
      <x:c r="I1024" s="65" t="str">
        <x:v>题干、解析与结构证据支持送分题：step=1-2步，题型=概念判断，状态=单状态，约束=无约束，推理=直接套用。教师、盲评和多次模型证据中未形成足以推翻原裁定的同向结构证据。</x:v>
      </x:c>
      <x:c r="J1024" s="65" t="str">
        <x:v>未进入三次错题并集；逐题结构一致性复核</x:v>
      </x:c>
      <x:c r="K1024" s="63" t="str">
        <x:v>以下是“分子动理论”相关知识结构图，请补充完整。 （1） ；（2） 。</x:v>
      </x:c>
      <x:c r="L1024" s="63" t="str"/>
      <x:c r="M1024" s="63" t="str">
        <x:v>解：常见的物质由分子组成，酒精和水混合，总体积变小，说明分子间存在间隙； 固体很难被拉伸和压缩说明分子间有相互作用的引力和斥力。 故答案为：间隙；引力和斥力。</x:v>
      </x:c>
      <x:c r="N1024" s="63" t="str">
        <x:v>https://k12static.xdf.cn/k12/image/externalized/960b6e92-7944-49c0-874e-acd87327a147.png</x:v>
      </x:c>
      <x:c r="O1024" s="63" t="str">
        <x:v>https://k12static.xdf.cn/k12/image/externalized/b768f50f-81b7-4745-975a-ca1ad0cca826.png</x:v>
      </x:c>
      <x:c r="P1024" s="63" t="str">
        <x:v>1-2步</x:v>
      </x:c>
      <x:c r="Q1024" s="63" t="str">
        <x:v>概念判断</x:v>
      </x:c>
      <x:c r="R1024" s="63" t="str">
        <x:v>单状态</x:v>
      </x:c>
      <x:c r="S1024" s="63" t="str">
        <x:v>无约束</x:v>
      </x:c>
      <x:c r="T1024" s="63" t="str">
        <x:v>无</x:v>
      </x:c>
      <x:c r="U1024" s="63" t="str">
        <x:v>无</x:v>
      </x:c>
      <x:c r="V1024" s="63" t="str">
        <x:v>直接套用</x:v>
      </x:c>
    </x:row>
    <x:row r="1025">
      <x:c r="A1025" s="64" t="str">
        <x:v>​3659088614569033728</x:v>
      </x:c>
      <x:c r="B1025" s="65" t="str">
        <x:v>拔高题</x:v>
      </x:c>
      <x:c r="C1025" s="65" t="str">
        <x:v>拔高题</x:v>
      </x:c>
      <x:c r="D1025" s="65" t="str">
        <x:v>拔高题</x:v>
      </x:c>
      <x:c r="E1025" s="65" t="str">
        <x:v>逐题复核后保留GPT裁定</x:v>
      </x:c>
      <x:c r="F1025" s="65" t="str">
        <x:v>高</x:v>
      </x:c>
      <x:c r="G1025" s="65" t="str">
        <x:v>拔高题</x:v>
      </x:c>
      <x:c r="H1025" s="65" t="str">
        <x:v>拔高题</x:v>
      </x:c>
      <x:c r="I1025" s="65" t="str">
        <x:v>最高难任务在标准实验流程、读数与数据归纳中包含图线反推、状态转换、误差评价、几何/等效转换、方程联立或参数反求等决定性卡点，整体约5—6个有效决策；尚未形成压轴所需的完整复杂约束网络。</x:v>
      </x:c>
      <x:c r="J1025" s="65" t="str">
        <x:v>三次运行错题并集逐题复核</x:v>
      </x:c>
      <x:c r="K1025" s="63" t="str">
        <x:v>为了测量一颗枇杷的密度，小明将天平放在水平桌面上，游码归零后，指针位置如图甲，应将平衡螺母向 调节使天平平衡。测质量时，添加的砝码和游码位置如图乙，则枇杷质量为 g。测体积时，把枇杷放入装有适量水的烧杯中，记下水面的位置M，测出烧杯、水和枇杷的总质量为120.6g（图丙）。再将枇杷取出，往烧杯中加水，使水面再次升至M处，测出此时烧杯和水的总质量为120g（图丁），则枇杷的密度为 g/cm3。从杯中取出枇杷会带出部分水，这会使密度测量结果 （偏大/偏小/仍然准确）。</x:v>
      </x:c>
      <x:c r="L1025" s="63" t="str"/>
      <x:c r="M1025" s="63" t="str">
        <x:v>解：天平指针偏右，平衡螺母向左调节；砝码质量20g,游码示数0.6g,枇杷质量：m=20g+0.6g=20.6g,原来烧杯和水总质量：m杯+水=120.6g-20.6g=100g, 补加水的质量：Δm水=120g-100g=20g 枇杷体积等于补加水的体积：$V=V_{水}=\frac{\Delta m_{水}}{ρ_{水}}=\frac{20g}{1g/cm^3}=20cm^3$ 枇杷密度：$ρ=\frac{m}{V}=\frac{20.6g}{20cm^3}=1.03g/cm^3$。 取出枇杷带出水，但这部分水原属于图丙中水的位置上方，后续加水加至M处时，只补充了枇杷体积对应的水量，与是否带出水无关，因此测得体积仍然准确，密度仍然准确'。故答案为：左；20.6；1.03；仍然准确。</x:v>
      </x:c>
      <x:c r="N1025" s="63" t="str">
        <x:v>https://k12static.xdf.cn/k12/image/externalized/5bbf83d5-5b5d-4fdc-adbb-ef0913d6c9b7.png</x:v>
      </x:c>
      <x:c r="O1025" s="63" t="str">
        <x:v>https://k12static.xdf.cn/k12/image/externalized/fa837288-af8a-4650-8072-ce56f66e1f9a.png</x:v>
      </x:c>
      <x:c r="P1025" s="63" t="str">
        <x:v>3-5步</x:v>
      </x:c>
      <x:c r="Q1025" s="63" t="str">
        <x:v>实验探究</x:v>
      </x:c>
      <x:c r="R1025" s="63" t="str">
        <x:v>双状态</x:v>
      </x:c>
      <x:c r="S1025" s="63" t="str">
        <x:v>单一约束</x:v>
      </x:c>
      <x:c r="T1025" s="63" t="str">
        <x:v>控制变量或故障分析</x:v>
      </x:c>
      <x:c r="U1025" s="63" t="str">
        <x:v>无</x:v>
      </x:c>
      <x:c r="V1025" s="63" t="str">
        <x:v>多层因果推理</x:v>
      </x:c>
    </x:row>
    <x:row r="1026">
      <x:c r="A1026" s="64" t="str">
        <x:v>​3659088617991585792</x:v>
      </x:c>
      <x:c r="B1026" s="65" t="str">
        <x:v>基础题</x:v>
      </x:c>
      <x:c r="C1026" s="65" t="str">
        <x:v>基础题</x:v>
      </x:c>
      <x:c r="D1026" s="65" t="str">
        <x:v>基础题</x:v>
      </x:c>
      <x:c r="E1026" s="65" t="str">
        <x:v>保留原GPT裁定</x:v>
      </x:c>
      <x:c r="F1026" s="65" t="str">
        <x:v>高</x:v>
      </x:c>
      <x:c r="G1026" s="65" t="str">
        <x:v>基础题</x:v>
      </x:c>
      <x:c r="H1026" s="65" t="str">
        <x:v>基础题</x:v>
      </x:c>
      <x:c r="I1026" s="65" t="str">
        <x:v>题干、解析与结构证据支持基础题：step=1-2步，题型=概念判断与直接计算，状态=单状态，约束=无约束，推理=简单因果推理。教师、盲评和多次模型证据中未形成足以推翻原裁定的同向结构证据。</x:v>
      </x:c>
      <x:c r="J1026" s="65" t="str">
        <x:v>未进入三次错题并集；逐题结构一致性复核</x:v>
      </x:c>
      <x:c r="K1026" s="63" t="str">
        <x:v>某国产新能源汽车搭载的80kW•h磷酸铁锂电池，支持高压充电，快充6min可将电池储能从10%提升至70%，这段时间的充电功率为 kW。充电时，电池相当于电路中的 。</x:v>
      </x:c>
      <x:c r="L1026" s="63" t="str"/>
      <x:c r="M1026" s="63" t="str">
        <x:v>解：储存电能增量：ΔW=80kW•h×（70%-10%）=48kW•h, 电能全部转化为电池电能：W充=ΔW=48kW•h； 这段时间的充电功率为P=$\frac{W}{t}$=$\frac{48kW\bullet h}{6×\frac{1}{60}h}$=480kW； 电池消耗电能，储存化学能，充电时，它相当于电路中的用电器； 故答案为：480；用电器。</x:v>
      </x:c>
      <x:c r="N1026" s="63" t="str">
        <x:v>https://k12static.xdf.cn/k12/image/externalized/ce87b890-9e44-439c-b6e5-b32712034bee.png</x:v>
      </x:c>
      <x:c r="O1026" s="63" t="str">
        <x:v>https://k12static.xdf.cn/k12/image/externalized/995e8941-ff64-4f4f-97a9-037c4b554e1a.png</x:v>
      </x:c>
      <x:c r="P1026" s="63" t="str">
        <x:v>1-2步</x:v>
      </x:c>
      <x:c r="Q1026" s="63" t="str">
        <x:v>概念判断与直接计算</x:v>
      </x:c>
      <x:c r="R1026" s="63" t="str">
        <x:v>单状态</x:v>
      </x:c>
      <x:c r="S1026" s="63" t="str">
        <x:v>无约束</x:v>
      </x:c>
      <x:c r="T1026" s="63" t="str">
        <x:v>无</x:v>
      </x:c>
      <x:c r="U1026" s="63" t="str">
        <x:v>无</x:v>
      </x:c>
      <x:c r="V1026" s="63" t="str">
        <x:v>简单因果推理</x:v>
      </x:c>
    </x:row>
    <x:row r="1027">
      <x:c r="A1027" s="64" t="str">
        <x:v>​3659088647989248000</x:v>
      </x:c>
      <x:c r="B1027" s="65" t="str">
        <x:v>基础题</x:v>
      </x:c>
      <x:c r="C1027" s="65" t="str">
        <x:v>基础题</x:v>
      </x:c>
      <x:c r="D1027" s="65" t="str">
        <x:v>基础题</x:v>
      </x:c>
      <x:c r="E1027" s="65" t="str">
        <x:v>保留原GPT裁定</x:v>
      </x:c>
      <x:c r="F1027" s="65" t="str">
        <x:v>高</x:v>
      </x:c>
      <x:c r="G1027" s="65" t="str">
        <x:v>基础题</x:v>
      </x:c>
      <x:c r="H1027" s="65" t="str">
        <x:v>基础题</x:v>
      </x:c>
      <x:c r="I1027" s="65" t="str">
        <x:v>题干、解析与结构证据支持基础题：step=1-2步，题型=概念判断，状态=单状态，约束=无约束，推理=简单因果推理。教师、盲评和多次模型证据中未形成足以推翻原裁定的同向结构证据。</x:v>
      </x:c>
      <x:c r="J1027" s="65" t="str">
        <x:v>未进入三次错题并集；逐题结构一致性复核</x:v>
      </x:c>
      <x:c r="K1027" s="63" t="str">
        <x:v>图中，用轻杆将一灯笼吊起，O是支点，O'是灯笼的重心。请画出动力F的力臂l和灯笼所受重力G的示意图。</x:v>
      </x:c>
      <x:c r="L1027" s="63" t="str"/>
      <x:c r="M1027" s="63" t="str">
        <x:v>解：轻质杆受到的动力F斜向右上方，从支点O作动力F作用线的垂线段，即为动力臂l； 过灯笼的重心O′沿竖直向下的方向画一条带箭头的线段，并用符号G表示，即为灯笼所受重力的示意图，如图所示：</x:v>
      </x:c>
      <x:c r="N1027" s="63" t="str">
        <x:v>https://k12static.xdf.cn/k12/image/externalized/ada2441f-da36-4965-af05-ec7bd361ccf3.png</x:v>
      </x:c>
      <x:c r="O1027" s="63" t="str">
        <x:v>https://k12static.xdf.cn/k12/image/externalized/5216b6d5-595c-44d4-bb3e-4403db586e95.png</x:v>
      </x:c>
      <x:c r="P1027" s="63" t="str">
        <x:v>1-2步</x:v>
      </x:c>
      <x:c r="Q1027" s="63" t="str">
        <x:v>概念判断</x:v>
      </x:c>
      <x:c r="R1027" s="63" t="str">
        <x:v>单状态</x:v>
      </x:c>
      <x:c r="S1027" s="63" t="str">
        <x:v>无约束</x:v>
      </x:c>
      <x:c r="T1027" s="63" t="str">
        <x:v>无</x:v>
      </x:c>
      <x:c r="U1027" s="63" t="str">
        <x:v>无</x:v>
      </x:c>
      <x:c r="V1027" s="63" t="str">
        <x:v>简单因果推理</x:v>
      </x:c>
    </x:row>
    <x:row r="1028">
      <x:c r="A1028" s="64" t="str">
        <x:v>​3659088654297481216</x:v>
      </x:c>
      <x:c r="B1028" s="65" t="str">
        <x:v>基础题</x:v>
      </x:c>
      <x:c r="C1028" s="65" t="str">
        <x:v>基础题</x:v>
      </x:c>
      <x:c r="D1028" s="65" t="str">
        <x:v>基础题</x:v>
      </x:c>
      <x:c r="E1028" s="65" t="str">
        <x:v>保留原GPT裁定</x:v>
      </x:c>
      <x:c r="F1028" s="65" t="str">
        <x:v>高</x:v>
      </x:c>
      <x:c r="G1028" s="65" t="str">
        <x:v>基础题</x:v>
      </x:c>
      <x:c r="H1028" s="65" t="str">
        <x:v>基础题</x:v>
      </x:c>
      <x:c r="I1028" s="65" t="str">
        <x:v>题干、解析与结构证据支持基础题：step=1-2步，题型=概念判断，状态=单状态，约束=无约束，推理=简单因果推理。教师、盲评和多次模型证据中未形成足以推翻原裁定的同向结构证据。</x:v>
      </x:c>
      <x:c r="J1028" s="65" t="str">
        <x:v>未进入三次错题并集；逐题结构一致性复核</x:v>
      </x:c>
      <x:c r="K1028" s="63" t="str">
        <x:v>图中，请将开关和三孔插座正确接入家庭电路，要求开关能控制插座。</x:v>
      </x:c>
      <x:c r="L1028" s="63" t="str"/>
      <x:c r="M1028" s="63" t="str">
        <x:v>解：三孔插座的连接方法：上孔接地线；左孔接零线；右孔接火线； 由题知，开关能控制插座的通、断电，说明开关和三孔插座串联，为了用电的安全，开关应该接到插座和火线之间，如图所示：</x:v>
      </x:c>
      <x:c r="N1028" s="63" t="str">
        <x:v>https://k12static.xdf.cn/k12/image/externalized/900e1a20-931c-45a5-9a5a-f43ba13e1704.png</x:v>
      </x:c>
      <x:c r="O1028" s="63" t="str">
        <x:v>https://k12static.xdf.cn/k12/image/externalized/bc9e2a3c-3605-4e8a-8f87-95bdf72dc050.png</x:v>
      </x:c>
      <x:c r="P1028" s="63" t="str">
        <x:v>1-2步</x:v>
      </x:c>
      <x:c r="Q1028" s="63" t="str">
        <x:v>概念判断</x:v>
      </x:c>
      <x:c r="R1028" s="63" t="str">
        <x:v>单状态</x:v>
      </x:c>
      <x:c r="S1028" s="63" t="str">
        <x:v>无约束</x:v>
      </x:c>
      <x:c r="T1028" s="63" t="str">
        <x:v>无</x:v>
      </x:c>
      <x:c r="U1028" s="63" t="str">
        <x:v>无</x:v>
      </x:c>
      <x:c r="V1028" s="63" t="str">
        <x:v>简单因果推理</x:v>
      </x:c>
    </x:row>
    <x:row r="1029">
      <x:c r="A1029" s="64" t="str">
        <x:v>​3659088665303334912</x:v>
      </x:c>
      <x:c r="B1029" s="65" t="str">
        <x:v>基础题</x:v>
      </x:c>
      <x:c r="C1029" s="65" t="str">
        <x:v>基础题</x:v>
      </x:c>
      <x:c r="D1029" s="65" t="str">
        <x:v>基础题</x:v>
      </x:c>
      <x:c r="E1029" s="65" t="str">
        <x:v>保留原GPT裁定</x:v>
      </x:c>
      <x:c r="F1029" s="65" t="str">
        <x:v>高</x:v>
      </x:c>
      <x:c r="G1029" s="65" t="str">
        <x:v>基础题</x:v>
      </x:c>
      <x:c r="H1029" s="65" t="str">
        <x:v>基础题</x:v>
      </x:c>
      <x:c r="I1029" s="65" t="str">
        <x:v>题干、解析与结构证据支持基础题：step=1-2步，题型=力学综合，状态=单状态，约束=无约束，推理=简单因果推理。教师、盲评和多次模型证据中未形成足以推翻原裁定的同向结构证据。</x:v>
      </x:c>
      <x:c r="J1029" s="65" t="str">
        <x:v>未进入三次错题并集；逐题结构一致性复核</x:v>
      </x:c>
      <x:c r="K1029" s="63" t="str">
        <x:v>学校食堂工作人员用手推车将午餐箱沿水平路面送达各班级，已知推车和餐箱总重240N，车轮与地面总接触面积为1.2×10-3m2。求：</x:v>
      </x:c>
      <x:c r="L1029" s="63" t="str"/>
      <x:c r="M1029" s="63" t="str"/>
      <x:c r="N1029" s="63" t="str">
        <x:v>https://k12static.xdf.cn/k12/image/externalized/6630654b-74fe-4d59-99d2-60f0b684e4d8.png</x:v>
      </x:c>
      <x:c r="O1029" s="63" t="str">
        <x:v>https://k12static.xdf.cn/k12/image/externalized/3fb3a1d1-7617-4083-a1a3-7eff79fe0cef.png</x:v>
      </x:c>
      <x:c r="P1029" s="63" t="str">
        <x:v>1-2步</x:v>
      </x:c>
      <x:c r="Q1029" s="63" t="str">
        <x:v>力学综合</x:v>
      </x:c>
      <x:c r="R1029" s="63" t="str">
        <x:v>单状态</x:v>
      </x:c>
      <x:c r="S1029" s="63" t="str">
        <x:v>无约束</x:v>
      </x:c>
      <x:c r="T1029" s="63" t="str">
        <x:v>无</x:v>
      </x:c>
      <x:c r="U1029" s="63" t="str">
        <x:v>无</x:v>
      </x:c>
      <x:c r="V1029" s="63" t="str">
        <x:v>简单因果推理</x:v>
      </x:c>
    </x:row>
    <x:row r="1030">
      <x:c r="A1030" s="64" t="str">
        <x:v>​3659088670571380736</x:v>
      </x:c>
      <x:c r="B1030" s="65" t="str">
        <x:v>中等题</x:v>
      </x:c>
      <x:c r="C1030" s="65" t="str">
        <x:v>中等题</x:v>
      </x:c>
      <x:c r="D1030" s="65" t="str">
        <x:v>中等题</x:v>
      </x:c>
      <x:c r="E1030" s="65" t="str">
        <x:v>保留原GPT裁定</x:v>
      </x:c>
      <x:c r="F1030" s="65" t="str">
        <x:v>高</x:v>
      </x:c>
      <x:c r="G1030" s="65" t="str">
        <x:v>中等题</x:v>
      </x:c>
      <x:c r="H1030" s="65" t="str">
        <x:v>中等题</x:v>
      </x:c>
      <x:c r="I1030" s="65" t="str">
        <x:v>题干、解析与结构证据支持中等题：step=3-5步，题型=热学综合，状态=单状态，约束=单一约束，推理=多层因果推理。教师、盲评和多次模型证据中未形成足以推翻原裁定的同向结构证据。</x:v>
      </x:c>
      <x:c r="J1030" s="65" t="str">
        <x:v>未进入三次错题并集；逐题结构一致性复核</x:v>
      </x:c>
      <x:c r="K1030" s="63" t="str">
        <x:v>小区使用管道天然气为住户供气，所用天然气热值为3.5×107J/m3。某天，小明家利用燃气热水器将20kg的水从20℃加热到40℃，热水器的加热效率为80%。已知水的比热容c水=4.2×103J/（kg•℃）。求：</x:v>
      </x:c>
      <x:c r="L1030" s="63" t="str"/>
      <x:c r="M1030" s="63" t="str"/>
      <x:c r="N1030" s="63" t="str">
        <x:v>https://k12static.xdf.cn/k12/image/externalized/6f3fa140-6280-479e-8d28-4164e0cd6e6e.png</x:v>
      </x:c>
      <x:c r="O1030" s="63" t="str">
        <x:v>https://k12static.xdf.cn/k12/image/externalized/59576fa8-1328-45d2-9b21-019b2536d615.png</x:v>
      </x:c>
      <x:c r="P1030" s="63" t="str">
        <x:v>3-5步</x:v>
      </x:c>
      <x:c r="Q1030" s="63" t="str">
        <x:v>热学综合</x:v>
      </x:c>
      <x:c r="R1030" s="63" t="str">
        <x:v>单状态</x:v>
      </x:c>
      <x:c r="S1030" s="63" t="str">
        <x:v>单一约束</x:v>
      </x:c>
      <x:c r="T1030" s="63" t="str">
        <x:v>无</x:v>
      </x:c>
      <x:c r="U1030" s="63" t="str">
        <x:v>无</x:v>
      </x:c>
      <x:c r="V1030" s="63" t="str">
        <x:v>多层因果推理</x:v>
      </x:c>
    </x:row>
    <x:row r="1031">
      <x:c r="A1031" s="64" t="str">
        <x:v>​3659088681543680000</x:v>
      </x:c>
      <x:c r="B1031" s="65" t="str">
        <x:v>中等题</x:v>
      </x:c>
      <x:c r="C1031" s="65" t="str">
        <x:v>中等题</x:v>
      </x:c>
      <x:c r="D1031" s="65" t="str">
        <x:v>中等题</x:v>
      </x:c>
      <x:c r="E1031" s="65" t="str">
        <x:v>保留原GPT裁定</x:v>
      </x:c>
      <x:c r="F1031" s="65" t="str">
        <x:v>高</x:v>
      </x:c>
      <x:c r="G1031" s="65" t="str">
        <x:v>中等题</x:v>
      </x:c>
      <x:c r="H1031" s="65" t="str">
        <x:v>中等题</x:v>
      </x:c>
      <x:c r="I1031" s="65" t="str">
        <x:v>题干、解析与结构证据支持中等题：step=3-5步，题型=电路综合，状态=双状态，约束=单一约束，推理=多层因果推理。教师、盲评和多次模型证据中未形成足以推翻原裁定的同向结构证据。</x:v>
      </x:c>
      <x:c r="J1031" s="65" t="str">
        <x:v>未进入三次错题并集；逐题结构一致性复核</x:v>
      </x:c>
      <x:c r="K1031" s="63" t="str">
        <x:v>如图甲，电源电压恒定，定值电阻R的阻值为2.5Ω。灯泡L的额定电压为2.5V，其Ⅰ-U图像如图乙。</x:v>
      </x:c>
      <x:c r="L1031" s="63" t="str"/>
      <x:c r="M1031" s="63" t="str"/>
      <x:c r="N1031" s="63" t="str">
        <x:v>https://k12static.xdf.cn/k12/image/externalized/48189ab4-c971-4387-986f-b0baa5d1d0dc.png</x:v>
      </x:c>
      <x:c r="O1031" s="63" t="str">
        <x:v>https://k12static.xdf.cn/k12/image/externalized/fa1aa02d-98c7-4ca1-b69e-ca30049bd61f.png</x:v>
      </x:c>
      <x:c r="P1031" s="63" t="str">
        <x:v>3-5步</x:v>
      </x:c>
      <x:c r="Q1031" s="63" t="str">
        <x:v>电路综合</x:v>
      </x:c>
      <x:c r="R1031" s="63" t="str">
        <x:v>双状态</x:v>
      </x:c>
      <x:c r="S1031" s="63" t="str">
        <x:v>单一约束</x:v>
      </x:c>
      <x:c r="T1031" s="63" t="str">
        <x:v>无</x:v>
      </x:c>
      <x:c r="U1031" s="63" t="str">
        <x:v>直接读数</x:v>
      </x:c>
      <x:c r="V1031" s="63" t="str">
        <x:v>多层因果推理</x:v>
      </x:c>
    </x:row>
    <x:row r="1032">
      <x:c r="A1032" s="64" t="str">
        <x:v>​3659088688254566400</x:v>
      </x:c>
      <x:c r="B1032" s="65" t="str">
        <x:v>中等题</x:v>
      </x:c>
      <x:c r="C1032" s="65" t="str">
        <x:v>中等题</x:v>
      </x:c>
      <x:c r="D1032" s="65" t="str">
        <x:v>中等题</x:v>
      </x:c>
      <x:c r="E1032" s="65" t="str">
        <x:v>保留原GPT裁定</x:v>
      </x:c>
      <x:c r="F1032" s="65" t="str">
        <x:v>高</x:v>
      </x:c>
      <x:c r="G1032" s="65" t="str">
        <x:v>中等题</x:v>
      </x:c>
      <x:c r="H1032" s="65" t="str">
        <x:v>中等题</x:v>
      </x:c>
      <x:c r="I1032" s="65" t="str">
        <x:v>题干、解析与结构证据支持中等题：step=3-5步，题型=实验探究，状态=双状态，约束=无约束，推理=多层因果推理。教师、盲评和多次模型证据中未形成足以推翻原裁定的同向结构证据。</x:v>
      </x:c>
      <x:c r="J1032" s="65" t="str">
        <x:v>未进入三次错题并集；逐题结构一致性复核</x:v>
      </x:c>
      <x:c r="K1032" s="63" t="str">
        <x:v>小华用图甲装置探究凸透镜成像规律，使用LED灯珠排列成的“F”发光体作为光源。</x:v>
      </x:c>
      <x:c r="L1032" s="63" t="str"/>
      <x:c r="M1032" s="63" t="str"/>
      <x:c r="N1032" s="63" t="str">
        <x:v>https://k12static.xdf.cn/k12/image/externalized/30fd1136-bb14-4bbb-b4ac-45798ac1f1f4.png</x:v>
      </x:c>
      <x:c r="O1032" s="63" t="str">
        <x:v>https://k12static.xdf.cn/k12/image/externalized/61709751-7aa0-445f-9f82-7bcb16edeca7.png</x:v>
      </x:c>
      <x:c r="P1032" s="63" t="str">
        <x:v>3-5步</x:v>
      </x:c>
      <x:c r="Q1032" s="63" t="str">
        <x:v>实验探究</x:v>
      </x:c>
      <x:c r="R1032" s="63" t="str">
        <x:v>双状态</x:v>
      </x:c>
      <x:c r="S1032" s="63" t="str">
        <x:v>无约束</x:v>
      </x:c>
      <x:c r="T1032" s="63" t="str">
        <x:v>控制变量或故障分析</x:v>
      </x:c>
      <x:c r="U1032" s="63" t="str">
        <x:v>多组比较归纳</x:v>
      </x:c>
      <x:c r="V1032" s="63" t="str">
        <x:v>多层因果推理</x:v>
      </x:c>
    </x:row>
    <x:row r="1033">
      <x:c r="A1033" s="64" t="str">
        <x:v>​3659088695049338880</x:v>
      </x:c>
      <x:c r="B1033" s="65" t="str">
        <x:v>中等题</x:v>
      </x:c>
      <x:c r="C1033" s="65" t="str">
        <x:v>中等题</x:v>
      </x:c>
      <x:c r="D1033" s="65" t="str">
        <x:v>中等题</x:v>
      </x:c>
      <x:c r="E1033" s="65" t="str">
        <x:v>保留原GPT裁定</x:v>
      </x:c>
      <x:c r="F1033" s="65" t="str">
        <x:v>高</x:v>
      </x:c>
      <x:c r="G1033" s="65" t="str">
        <x:v>中等题</x:v>
      </x:c>
      <x:c r="H1033" s="65" t="str">
        <x:v>中等题</x:v>
      </x:c>
      <x:c r="I1033" s="65" t="str">
        <x:v>题干、解析与结构证据支持中等题：step=1-2步，题型=实验探究，状态=单状态，约束=无约束，推理=多层因果推理。教师、盲评和多次模型证据中未形成足以推翻原裁定的同向结构证据。</x:v>
      </x:c>
      <x:c r="J1033" s="65" t="str">
        <x:v>未进入三次错题并集；逐题结构一致性复核</x:v>
      </x:c>
      <x:c r="K1033" s="63" t="str">
        <x:v>小红采用图甲实验装置探究冰的熔化特点。</x:v>
      </x:c>
      <x:c r="L1033" s="63" t="str"/>
      <x:c r="M1033" s="63" t="str"/>
      <x:c r="N1033" s="63" t="str">
        <x:v>https://k12static.xdf.cn/k12/image/externalized/88e91ecf-cde7-43c3-a76d-eec6cf693ae8.png</x:v>
      </x:c>
      <x:c r="O1033" s="63" t="str">
        <x:v>https://k12static.xdf.cn/k12/image/externalized/0e5f25e8-f4a9-486a-a279-c95accabd7a8.png</x:v>
      </x:c>
      <x:c r="P1033" s="63" t="str">
        <x:v>1-2步</x:v>
      </x:c>
      <x:c r="Q1033" s="63" t="str">
        <x:v>实验探究</x:v>
      </x:c>
      <x:c r="R1033" s="63" t="str">
        <x:v>单状态</x:v>
      </x:c>
      <x:c r="S1033" s="63" t="str">
        <x:v>无约束</x:v>
      </x:c>
      <x:c r="T1033" s="63" t="str">
        <x:v>控制变量或故障分析</x:v>
      </x:c>
      <x:c r="U1033" s="63" t="str">
        <x:v>多组比较归纳</x:v>
      </x:c>
      <x:c r="V1033" s="63" t="str">
        <x:v>多层因果推理</x:v>
      </x:c>
    </x:row>
    <x:row r="1034">
      <x:c r="A1034" s="64" t="str">
        <x:v>​3659088710148833280</x:v>
      </x:c>
      <x:c r="B1034" s="65" t="str">
        <x:v>压轴题</x:v>
      </x:c>
      <x:c r="C1034" s="65" t="str">
        <x:v>压轴题</x:v>
      </x:c>
      <x:c r="D1034" s="65" t="str">
        <x:v>压轴题</x:v>
      </x:c>
      <x:c r="E1034" s="65" t="str">
        <x:v>逐题复核后保留GPT裁定</x:v>
      </x:c>
      <x:c r="F1034" s="65" t="str">
        <x:v>高</x:v>
      </x:c>
      <x:c r="G1034" s="65" t="str">
        <x:v>压轴题</x:v>
      </x:c>
      <x:c r="H1034" s="65" t="str">
        <x:v>压轴题</x:v>
      </x:c>
      <x:c r="I1034" s="65" t="str">
        <x:v>多对象、多状态和多约束形成共享模型网络，并含临界、分类、边界或有效解筛选。 题目证据：保留原标。最长有效链为3-5步、题型为跨模块综合、涉及双状态、含单一约束、实验要求达到“方案设计或误差评价”、图表要求达到“多组比较归纳”、推理为多层因果推理，与压轴题边界一致。 复核证据：教师标签与独立盲评一致；三次模型运行使用相近提示词，仅作为辅助证据，不足以推翻两者一致结论。。</x:v>
      </x:c>
      <x:c r="J1034" s="65" t="str">
        <x:v>三次运行错题并集逐题复核</x:v>
      </x:c>
      <x:c r="K1034" s="63" t="str">
        <x:v>科技小组计划制作一个电加热装置。 【项目要求】 发热体由220V家庭电路供电，装置在工作时要能够自动控温。 【器材准备】 查阅了PTC和NTC两种热敏电阻，它们的阻值R随温度t变化关系如图甲所示，NTC的阻值随温度升高而减小，PTC的阻值随温度升高而增大。小组采购了这两种电阻和足够长的电热丝（电热丝规格为20Ω/m,安全工作电流不超过2.2A）。 【设计与制作】 为方便接入发热体，小组制作了图乙装置，A、B为两根接线桩（两端电压为220V），可供接入多组加热元件。 （一）第一小组讨论后，选用电热丝做发热体，同时使用电磁继电器、NTC热敏电阻等元件制作控温电路</x:v>
      </x:c>
      <x:c r="L1034" s="63" t="str"/>
      <x:c r="M1034" s="63" t="str"/>
      <x:c r="N1034" s="63" t="str">
        <x:v>https://k12static.xdf.cn/k12/image/externalized/1dbfbeb0-7363-4c20-bc34-9063ca8dc7cc.png</x:v>
      </x:c>
      <x:c r="O1034" s="63" t="str">
        <x:v>https://k12static.xdf.cn/k12/image/externalized/1f6a927f-6103-4814-bb8d-c752ce74993e.png</x:v>
      </x:c>
      <x:c r="P1034" s="63" t="str">
        <x:v>3-5步</x:v>
      </x:c>
      <x:c r="Q1034" s="63" t="str">
        <x:v>跨模块综合</x:v>
      </x:c>
      <x:c r="R1034" s="63" t="str">
        <x:v>双状态</x:v>
      </x:c>
      <x:c r="S1034" s="63" t="str">
        <x:v>单一约束</x:v>
      </x:c>
      <x:c r="T1034" s="63" t="str">
        <x:v>方案设计或误差评价</x:v>
      </x:c>
      <x:c r="U1034" s="63" t="str">
        <x:v>多组比较归纳</x:v>
      </x:c>
      <x:c r="V1034" s="63" t="str">
        <x:v>多层因果推理</x:v>
      </x:c>
    </x:row>
    <x:row r="1035">
      <x:c r="A1035" s="64" t="str">
        <x:v>​3659088718118010880</x:v>
      </x:c>
      <x:c r="B1035" s="65" t="str">
        <x:v>拔高题</x:v>
      </x:c>
      <x:c r="C1035" s="65" t="str">
        <x:v>拔高题</x:v>
      </x:c>
      <x:c r="D1035" s="65" t="str">
        <x:v>拔高题</x:v>
      </x:c>
      <x:c r="E1035" s="65" t="str">
        <x:v>逐题复核后保留GPT裁定</x:v>
      </x:c>
      <x:c r="F1035" s="65" t="str">
        <x:v>高</x:v>
      </x:c>
      <x:c r="G1035" s="65" t="str">
        <x:v>拔高题</x:v>
      </x:c>
      <x:c r="H1035" s="65" t="str">
        <x:v>拔高题</x:v>
      </x:c>
      <x:c r="I1035" s="65" t="str">
        <x:v>最高难任务在力学模型、运动/受力与能量关系中包含图线反推、状态转换、误差评价、几何/等效转换、方程联立或参数反求等决定性卡点，整体约5—6个有效决策；尚未形成压轴所需的完整复杂约束网络。</x:v>
      </x:c>
      <x:c r="J1035" s="65" t="str">
        <x:v>三次运行错题并集逐题复核</x:v>
      </x:c>
      <x:c r="K1035" s="63" t="str">
        <x:v>如图为某曳引式电梯示意图，在轿厢和配重的上端、下端各连了一根粗细均匀的钢丝绳，钢丝绳质量较大，上方钢丝绳绕过固定于电梯井道顶部的两个转轮，左边转轮为曳引机的动力轮，它对钢丝绳提供摩擦力，引导电梯运行。右边转轮为定滑轮，起导向作用，对钢丝绳的摩擦力忽略不计。 （1）轿厢下降时，配重的重力势能会 。 （2）若轿厢空载时质量为480kg,配重质量为660kg。当质量为80kg的人进入静止的空轿厢时，曳引机转轮对钢丝绳施加的摩擦力大小会 。 （3）电梯在长距离向上（或向下）匀速运行过程中，为了保障运行安全，曳引机施加给钢丝绳的曳引力需要尽量稳定，下方钢丝绳对此发挥着重要作用。请简要说明其中的道理： 。</x:v>
      </x:c>
      <x:c r="L1035" s="63" t="str"/>
      <x:c r="M1035" s="63" t="str">
        <x:v>解：（1）在曳引式电梯中，轿厢与配重通过钢丝绳连接，运动方向始终相反。当轿厢向下运动时，配重必然向上运动。配重在上升过程中，其质量不变，高度增大，因此它的重力势能会随之增大。 （2）电梯静止时，系统处于受力平衡状态。进人前：轿厢侧总重力为480kg,配重侧重力为660kg。由于配重更重，钢丝绳有向配重侧滑动的趋势，因此曳引轮对钢丝绳的静摩擦力方向向上（指向轿厢侧），大小为两侧重力之差：f1=660kg−480kg=180kg。进人后：轿厢侧总重力变为480kg+80kg=560kg。此时配重侧依然更重，钢丝绳仍有向配重侧滑动的趋势，静摩擦力方向依然向上，但大小变为：f2=660kg−560kg=100kg。 对比可知，100kg＜180kg,因此曳引机转轮对钢丝绳施加的摩擦力确实变小了。 （3）这道题的关键在于理解“下方钢丝绳”的作用。在长距离运行中，随着轿厢和配重位置的改变，悬挂在曳引轮两侧的钢丝绳长度会发生变化（一侧变长，另一侧必然等量变短）。 由于题目已知“钢丝绳质量较大”且“粗细均匀”，如果忽略下方钢丝绳，两侧钢丝绳的重力差会随着轿厢位置改变而不断变化，这将导致曳引轮两侧的压力（正压力）发生波动，进而引起摩擦力（曳引力）不稳定，容易引发打滑等安全隐患。 道理总结：下方钢丝绳的存在，使得当轿厢侧钢丝绳增加一定长度（及重力）时，配重侧钢丝绳必然减少相同的长度（及重力）。这使运行时每侧钢丝绳的总重保持不变（或两侧物体的重力差保持不变），从而保证了曳引轮对钢丝绳的正压力恒定。根据摩擦力原理，正压力不变就能使曳引机的动力轮与钢丝绳之间的摩擦力保持不变，实现曳引力尽量稳定，最终保障电梯安全运行。 故答案为：（1）增大；（2）变小； （3）使运行时每侧钢丝绳的总重保持不变（或两侧物体的重力差保持不变），这样就能使曳引机的动力轮与钢丝绳之间的摩擦力保持不变，实现曳引力尽量稳定。</x:v>
      </x:c>
      <x:c r="N1035" s="63" t="str">
        <x:v>https://k12static.xdf.cn/k12/image/externalized/62058650-2026-4b02-973d-dac0f8ebf555.png</x:v>
      </x:c>
      <x:c r="O1035" s="63" t="str">
        <x:v>https://k12static.xdf.cn/k12/image/externalized/2b36bceb-8369-4797-810e-ae5430772ec3.png</x:v>
      </x:c>
      <x:c r="P1035" s="63" t="str">
        <x:v>3-5步</x:v>
      </x:c>
      <x:c r="Q1035" s="63" t="str">
        <x:v>力学综合</x:v>
      </x:c>
      <x:c r="R1035" s="63" t="str">
        <x:v>双状态</x:v>
      </x:c>
      <x:c r="S1035" s="63" t="str">
        <x:v>单一约束</x:v>
      </x:c>
      <x:c r="T1035" s="63" t="str">
        <x:v>无</x:v>
      </x:c>
      <x:c r="U1035" s="63" t="str">
        <x:v>无</x:v>
      </x:c>
      <x:c r="V1035" s="63" t="str">
        <x:v>多层因果推理</x:v>
      </x:c>
    </x:row>
    <x:row r="1036">
      <x:c r="A1036" s="64" t="str">
        <x:v>​3659089275641675776</x:v>
      </x:c>
      <x:c r="B1036" s="65" t="str">
        <x:v>送分题</x:v>
      </x:c>
      <x:c r="C1036" s="65" t="str">
        <x:v>送分题</x:v>
      </x:c>
      <x:c r="D1036" s="65" t="str">
        <x:v>送分题</x:v>
      </x:c>
      <x:c r="E1036" s="65" t="str">
        <x:v>保留原GPT裁定</x:v>
      </x:c>
      <x:c r="F1036" s="65" t="str">
        <x:v>高</x:v>
      </x:c>
      <x:c r="G1036" s="65" t="str">
        <x:v>送分题</x:v>
      </x:c>
      <x:c r="H1036" s="65" t="str">
        <x:v>送分题</x:v>
      </x:c>
      <x:c r="I1036" s="65" t="str">
        <x:v>题干、解析与结构证据支持送分题：step=1-2步，题型=概念判断，状态=单状态，约束=无约束，推理=直接套用。教师、盲评和多次模型证据中未形成足以推翻原裁定的同向结构证据。</x:v>
      </x:c>
      <x:c r="J1036" s="65" t="str">
        <x:v>未进入三次错题并集；逐题结构一致性复核</x:v>
      </x:c>
      <x:c r="K1036" s="63" t="str">
        <x:v>如图，出土于湖南宁乡的四羊方尊，生动展现了商朝青铜器的精美。加工青铜时，青铜原料由固态变成液态所经历的物态变化是（ ）</x:v>
      </x:c>
      <x:c r="L1036" s="63" t="str">
        <x:v>A. 熔化 B. 液化 C. 汽化 D. 凝固</x:v>
      </x:c>
      <x:c r="M1036" s="63" t="str">
        <x:v>解：青铜原料由固态变成液态，属于熔化现象。 故选：A。</x:v>
      </x:c>
      <x:c r="N1036" s="63" t="str">
        <x:v>https://k12static.xdf.cn/k12/image/externalized/86e9aa12-0194-4914-ad6d-c6a4c1a49e6a.png</x:v>
      </x:c>
      <x:c r="O1036" s="63" t="str">
        <x:v>https://k12static.xdf.cn/k12/image/externalized/1a4f9457-ae46-4a14-8d76-6c8f4e3312c0.png</x:v>
      </x:c>
      <x:c r="P1036" s="63" t="str">
        <x:v>1-2步</x:v>
      </x:c>
      <x:c r="Q1036" s="63" t="str">
        <x:v>概念判断</x:v>
      </x:c>
      <x:c r="R1036" s="63" t="str">
        <x:v>单状态</x:v>
      </x:c>
      <x:c r="S1036" s="63" t="str">
        <x:v>无约束</x:v>
      </x:c>
      <x:c r="T1036" s="63" t="str">
        <x:v>无</x:v>
      </x:c>
      <x:c r="U1036" s="63" t="str">
        <x:v>无</x:v>
      </x:c>
      <x:c r="V1036" s="63" t="str">
        <x:v>直接套用</x:v>
      </x:c>
    </x:row>
    <x:row r="1037">
      <x:c r="A1037" s="64" t="str">
        <x:v>​3659089279081005056</x:v>
      </x:c>
      <x:c r="B1037" s="65" t="str">
        <x:v>送分题</x:v>
      </x:c>
      <x:c r="C1037" s="65" t="str">
        <x:v>送分题</x:v>
      </x:c>
      <x:c r="D1037" s="65" t="str">
        <x:v>送分题</x:v>
      </x:c>
      <x:c r="E1037" s="65" t="str">
        <x:v>保留原GPT裁定</x:v>
      </x:c>
      <x:c r="F1037" s="65" t="str">
        <x:v>高</x:v>
      </x:c>
      <x:c r="G1037" s="65" t="str">
        <x:v>送分题</x:v>
      </x:c>
      <x:c r="H1037" s="65" t="str">
        <x:v>送分题</x:v>
      </x:c>
      <x:c r="I1037" s="65" t="str">
        <x:v>题干、解析与结构证据支持送分题：step=1-2步，题型=概念判断，状态=单状态，约束=无约束，推理=直接套用。教师、盲评和多次模型证据中未形成足以推翻原裁定的同向结构证据。</x:v>
      </x:c>
      <x:c r="J1037" s="65" t="str">
        <x:v>未进入三次错题并集；逐题结构一致性复核</x:v>
      </x:c>
      <x:c r="K1037" s="63" t="str">
        <x:v>阳光大课间，班级拔河比赛正激烈地进行中，同学们的加油声震耳欲聋。“震耳欲聋”主要描述的是声音的（ ）</x:v>
      </x:c>
      <x:c r="L1037" s="63" t="str">
        <x:v>A. 声速 B. 音调 C. 响度 D. 音色</x:v>
      </x:c>
      <x:c r="M1037" s="63" t="str">
        <x:v>解：“震耳欲聋”是指声音的响度很大，几乎把耳朵震聋，故ABD不符合题意，C符合题意。 故选：C。</x:v>
      </x:c>
      <x:c r="N1037" s="63" t="str">
        <x:v>https://k12static.xdf.cn/k12/image/externalized/7d8c265e-b9bb-4336-9b65-37107c629e7b.png</x:v>
      </x:c>
      <x:c r="O1037" s="63" t="str">
        <x:v>https://k12static.xdf.cn/k12/image/externalized/36adb169-9d26-4a71-ae88-12cec3115863.png</x:v>
      </x:c>
      <x:c r="P1037" s="63" t="str">
        <x:v>1-2步</x:v>
      </x:c>
      <x:c r="Q1037" s="63" t="str">
        <x:v>概念判断</x:v>
      </x:c>
      <x:c r="R1037" s="63" t="str">
        <x:v>单状态</x:v>
      </x:c>
      <x:c r="S1037" s="63" t="str">
        <x:v>无约束</x:v>
      </x:c>
      <x:c r="T1037" s="63" t="str">
        <x:v>无</x:v>
      </x:c>
      <x:c r="U1037" s="63" t="str">
        <x:v>无</x:v>
      </x:c>
      <x:c r="V1037" s="63" t="str">
        <x:v>直接套用</x:v>
      </x:c>
    </x:row>
    <x:row r="1038">
      <x:c r="A1038" s="64" t="str">
        <x:v>​3659089303273750528</x:v>
      </x:c>
      <x:c r="B1038" s="65" t="str">
        <x:v>基础题</x:v>
      </x:c>
      <x:c r="C1038" s="65" t="str">
        <x:v>基础题</x:v>
      </x:c>
      <x:c r="D1038" s="65" t="str">
        <x:v>基础题</x:v>
      </x:c>
      <x:c r="E1038" s="65" t="str">
        <x:v>保留原GPT裁定</x:v>
      </x:c>
      <x:c r="F1038" s="65" t="str">
        <x:v>高</x:v>
      </x:c>
      <x:c r="G1038" s="65" t="str">
        <x:v>基础题</x:v>
      </x:c>
      <x:c r="H1038" s="65" t="str">
        <x:v>基础题</x:v>
      </x:c>
      <x:c r="I1038" s="65" t="str">
        <x:v>题干、解析与结构证据支持基础题：step=1-2步，题型=概念判断，状态=单状态，约束=无约束，推理=简单因果推理。教师、盲评和多次模型证据中未形成足以推翻原裁定的同向结构证据。</x:v>
      </x:c>
      <x:c r="J1038" s="65" t="str">
        <x:v>未进入三次错题并集；逐题结构一致性复核</x:v>
      </x:c>
      <x:c r="K1038" s="63" t="str">
        <x:v>某学生自制的验电器结构如图所示。下列说法正确的是（ ）</x:v>
      </x:c>
      <x:c r="L1038" s="63" t="str">
        <x:v>A. 玻璃瓶是导体 B. 金属丝是绝缘体 C. 检验时，铝箔条张开是因为同种电荷相互排斥 D. 只有带正电的物体接触铝箔球，才能使铝箔条张开</x:v>
      </x:c>
      <x:c r="M1038" s="63" t="str">
        <x:v>解：A、玻璃瓶是玻璃制成，玻璃不容易导电，属于绝缘体，故A错误； B、金属丝由金属构成，金属容易导电，属于导体，故B错误； C、带电物体接触铝箔球后，电荷传导到两根铝箔条，两根铝箔带上同种电荷，同种电荷相互排斥，铝箔张开，故C正确； D、带负电的物体接触铝箔球，同样会让铝箔带上同种负电荷，铝箔也能张开，不只是带正电物体，故D错误。 故选：C。</x:v>
      </x:c>
      <x:c r="N1038" s="63" t="str">
        <x:v>https://k12static.xdf.cn/k12/image/externalized/b8b1f090-eff3-406e-947c-2acc7fb2de6d.png</x:v>
      </x:c>
      <x:c r="O1038" s="63" t="str">
        <x:v>https://k12static.xdf.cn/k12/image/externalized/df7b42bf-140a-4584-9a91-e9a6e1075b46.png</x:v>
      </x:c>
      <x:c r="P1038" s="63" t="str">
        <x:v>1-2步</x:v>
      </x:c>
      <x:c r="Q1038" s="63" t="str">
        <x:v>概念判断</x:v>
      </x:c>
      <x:c r="R1038" s="63" t="str">
        <x:v>单状态</x:v>
      </x:c>
      <x:c r="S1038" s="63" t="str">
        <x:v>无约束</x:v>
      </x:c>
      <x:c r="T1038" s="63" t="str">
        <x:v>无</x:v>
      </x:c>
      <x:c r="U1038" s="63" t="str">
        <x:v>无</x:v>
      </x:c>
      <x:c r="V1038" s="63" t="str">
        <x:v>简单因果推理</x:v>
      </x:c>
    </x:row>
    <x:row r="1039">
      <x:c r="A1039" s="64" t="str">
        <x:v>​3659089318071255040</x:v>
      </x:c>
      <x:c r="B1039" s="65" t="str">
        <x:v>基础题</x:v>
      </x:c>
      <x:c r="C1039" s="65" t="str">
        <x:v>基础题</x:v>
      </x:c>
      <x:c r="D1039" s="65" t="str">
        <x:v>基础题</x:v>
      </x:c>
      <x:c r="E1039" s="65" t="str">
        <x:v>保留原GPT裁定</x:v>
      </x:c>
      <x:c r="F1039" s="65" t="str">
        <x:v>高</x:v>
      </x:c>
      <x:c r="G1039" s="65" t="str">
        <x:v>基础题</x:v>
      </x:c>
      <x:c r="H1039" s="65" t="str">
        <x:v>基础题</x:v>
      </x:c>
      <x:c r="I1039" s="65" t="str">
        <x:v>题干、解析与结构证据支持基础题：step=1-2步，题型=概念判断，状态=单状态，约束=无约束，推理=简单因果推理。教师、盲评和多次模型证据中未形成足以推翻原裁定的同向结构证据。</x:v>
      </x:c>
      <x:c r="J1039" s="65" t="str">
        <x:v>未进入三次错题并集；逐题结构一致性复核</x:v>
      </x:c>
      <x:c r="K1039" s="63" t="str">
        <x:v>2025年11月25日，“长征”2号F遥22运载火箭托举“神舟”22号飞船在酒泉卫星发射中心顺利升空。火箭在上升过程中短暂遮挡部分太阳圆面，形成如图所示的“神箭凌日”画面。关于此过程，说法正确的是（ ）</x:v>
      </x:c>
      <x:c r="L1039" s="63" t="str">
        <x:v>A. 飞船重力势能变小 B. 火箭的热机效率为100% C. 飞船相对于火箭始终是运动的 D. “神箭凌日”现象是由光的直线传播形成的</x:v>
      </x:c>
      <x:c r="M1039" s="63" t="str">
        <x:v>解：A、重力势能的大小与物体的质量和高度有关，火箭上升过程中，飞船的质量不变，高度不断增加，所以重力势能变大，故A错误。 B、热机在工作过程中，必然会有能量损失，比如废气带走热量、机械摩擦消耗能量等，故热机的效率不可能达到100%，故B错误。 C、判断物体是否运动，需要看相对于参照物的位置是否变化。飞船被火箭托举上升时，与火箭的相对位置没有发生改变，所以飞船相对于火箭是静止的，故C错误。 D、“神箭凌日”是火箭遮挡了太阳射向地球的光线，因为光在同种均匀介质中沿直线传播，所以会在地球上看到火箭遮挡太阳的影子，该现象符合光的直线传播规律，故D正确。 故选：D。</x:v>
      </x:c>
      <x:c r="N1039" s="63" t="str">
        <x:v>https://k12static.xdf.cn/k12/image/externalized/1065323a-39ad-425e-a98a-7f72a557b1a2.png</x:v>
      </x:c>
      <x:c r="O1039" s="63" t="str">
        <x:v>https://k12static.xdf.cn/k12/image/externalized/f36b27db-265d-4098-b90b-136f9e294322.png</x:v>
      </x:c>
      <x:c r="P1039" s="63" t="str">
        <x:v>1-2步</x:v>
      </x:c>
      <x:c r="Q1039" s="63" t="str">
        <x:v>概念判断</x:v>
      </x:c>
      <x:c r="R1039" s="63" t="str">
        <x:v>单状态</x:v>
      </x:c>
      <x:c r="S1039" s="63" t="str">
        <x:v>无约束</x:v>
      </x:c>
      <x:c r="T1039" s="63" t="str">
        <x:v>无</x:v>
      </x:c>
      <x:c r="U1039" s="63" t="str">
        <x:v>无</x:v>
      </x:c>
      <x:c r="V1039" s="63" t="str">
        <x:v>简单因果推理</x:v>
      </x:c>
    </x:row>
    <x:row r="1040">
      <x:c r="A1040" s="64" t="str">
        <x:v>​3659089342918311936</x:v>
      </x:c>
      <x:c r="B1040" s="65" t="str">
        <x:v>中等题</x:v>
      </x:c>
      <x:c r="C1040" s="65" t="str">
        <x:v>中等题</x:v>
      </x:c>
      <x:c r="D1040" s="65" t="str">
        <x:v>中等题</x:v>
      </x:c>
      <x:c r="E1040" s="65" t="str">
        <x:v>逐题复核后保留GPT裁定</x:v>
      </x:c>
      <x:c r="F1040" s="65" t="str">
        <x:v>高</x:v>
      </x:c>
      <x:c r="G1040" s="65" t="str">
        <x:v>中等题</x:v>
      </x:c>
      <x:c r="H1040" s="65" t="str">
        <x:v>中等题</x:v>
      </x:c>
      <x:c r="I1040" s="65" t="str">
        <x:v>需要围绕实验方案、误差/评价或改进任务完成常规的3—4个有效决策，或完成一套完整标准实验/共享过程分析。关系仍显性、方法常规，没有决定性隐含转换、复杂边界筛选或多状态强耦合。</x:v>
      </x:c>
      <x:c r="J1040" s="65" t="str">
        <x:v>三次运行错题并集逐题复核</x:v>
      </x:c>
      <x:c r="K1040" s="63" t="str">
        <x:v>某实验小组用太阳能板、可充电电池、单刀双掷开关S和电动机（用符号M表示）设计电路，要求：电池给电动机供电时，电动机工作；太阳能板给电池充电时，电动机不工作。符合要求的是（ ）</x:v>
      </x:c>
      <x:c r="L1040" s="63" t="str"/>
      <x:c r="M1040" s="63" t="str">
        <x:v>解：A、图中电路当开关连接a点时，太阳能板无法直接给电动机供电，电动机不工作，故A不合题意； B、图中电路当开关连接a点时，电池给电动机供电，电动机工作；当开关连接b点时，太阳能板给电池充电，电动机不工作，故B符合题意； C、图中电路当开关连接a点时，太阳能板无法直接给电动机供电，电动机不工作，故C不合题意； D、图中电路当开关连接b点时，太阳能板无法直接给电动机供电，电动机不工作，故D不合题意。 故选：B。</x:v>
      </x:c>
      <x:c r="N1040" s="63" t="str">
        <x:v>https://k12static.xdf.cn/k12/image/externalized/95b7c38b-6922-4cf2-936e-a03f8f79c072.png</x:v>
      </x:c>
      <x:c r="O1040" s="63" t="str">
        <x:v>https://k12static.xdf.cn/k12/image/externalized/6fa6c99e-5c25-4dc3-946c-3ae622b528f4.png</x:v>
      </x:c>
      <x:c r="P1040" s="63" t="str">
        <x:v>1-2步</x:v>
      </x:c>
      <x:c r="Q1040" s="63" t="str">
        <x:v>概念判断</x:v>
      </x:c>
      <x:c r="R1040" s="63" t="str">
        <x:v>双状态</x:v>
      </x:c>
      <x:c r="S1040" s="63" t="str">
        <x:v>单一约束</x:v>
      </x:c>
      <x:c r="T1040" s="63" t="str">
        <x:v>无</x:v>
      </x:c>
      <x:c r="U1040" s="63" t="str">
        <x:v>无</x:v>
      </x:c>
      <x:c r="V1040" s="63" t="str">
        <x:v>简单因果推理</x:v>
      </x:c>
    </x:row>
    <x:row r="1041">
      <x:c r="A1041" s="64" t="str">
        <x:v>​3659089348756783104</x:v>
      </x:c>
      <x:c r="B1041" s="65" t="str">
        <x:v>送分题</x:v>
      </x:c>
      <x:c r="C1041" s="65" t="str">
        <x:v>送分题</x:v>
      </x:c>
      <x:c r="D1041" s="65" t="str">
        <x:v>送分题</x:v>
      </x:c>
      <x:c r="E1041" s="65" t="str">
        <x:v>保留原GPT裁定</x:v>
      </x:c>
      <x:c r="F1041" s="65" t="str">
        <x:v>高</x:v>
      </x:c>
      <x:c r="G1041" s="65" t="str">
        <x:v>送分题</x:v>
      </x:c>
      <x:c r="H1041" s="65" t="str">
        <x:v>送分题</x:v>
      </x:c>
      <x:c r="I1041" s="65" t="str">
        <x:v>题干、解析与结构证据支持送分题：step=1-2步，题型=概念判断，状态=单状态，约束=无约束，推理=直接套用。教师、盲评和多次模型证据中未形成足以推翻原裁定的同向结构证据。</x:v>
      </x:c>
      <x:c r="J1041" s="65" t="str">
        <x:v>未进入三次错题并集；逐题结构一致性复核</x:v>
      </x:c>
      <x:c r="K1041" s="63" t="str">
        <x:v>春假期间，同学们外出踏青，闻到阵阵花香，是因为具有香味的物质分子跑到了空气中，这是一种 现象。沿途看到风力发电机高高耸立山头，巨大的叶片随风转动。请你写出一条风力发电的优点： 。</x:v>
      </x:c>
      <x:c r="L1041" s="63" t="str"/>
      <x:c r="M1041" s="63" t="str">
        <x:v>解：具有香味的物质分子跑到了空气中，属于扩散现象。 风力发电的优点是清洁无污染。 故答案为：扩散；清洁无污染。</x:v>
      </x:c>
      <x:c r="N1041" s="63" t="str">
        <x:v>https://k12static.xdf.cn/k12/image/externalized/b5edebe5-de71-4765-ad8a-c1a0bb2720dc.png</x:v>
      </x:c>
      <x:c r="O1041" s="63" t="str">
        <x:v>https://k12static.xdf.cn/k12/image/externalized/d3216416-df2f-4d2d-a4be-6128940e00ae.png</x:v>
      </x:c>
      <x:c r="P1041" s="63" t="str">
        <x:v>1-2步</x:v>
      </x:c>
      <x:c r="Q1041" s="63" t="str">
        <x:v>概念判断</x:v>
      </x:c>
      <x:c r="R1041" s="63" t="str">
        <x:v>单状态</x:v>
      </x:c>
      <x:c r="S1041" s="63" t="str">
        <x:v>无约束</x:v>
      </x:c>
      <x:c r="T1041" s="63" t="str">
        <x:v>无</x:v>
      </x:c>
      <x:c r="U1041" s="63" t="str">
        <x:v>无</x:v>
      </x:c>
      <x:c r="V1041" s="63" t="str">
        <x:v>直接套用</x:v>
      </x:c>
    </x:row>
    <x:row r="1042">
      <x:c r="A1042" s="64" t="str">
        <x:v>​3659089365601107968</x:v>
      </x:c>
      <x:c r="B1042" s="65" t="str">
        <x:v>基础题</x:v>
      </x:c>
      <x:c r="C1042" s="65" t="str">
        <x:v>基础题</x:v>
      </x:c>
      <x:c r="D1042" s="65" t="str">
        <x:v>基础题</x:v>
      </x:c>
      <x:c r="E1042" s="65" t="str">
        <x:v>保留原GPT裁定</x:v>
      </x:c>
      <x:c r="F1042" s="65" t="str">
        <x:v>高</x:v>
      </x:c>
      <x:c r="G1042" s="65" t="str">
        <x:v>基础题</x:v>
      </x:c>
      <x:c r="H1042" s="65" t="str">
        <x:v>基础题</x:v>
      </x:c>
      <x:c r="I1042" s="65" t="str">
        <x:v>题干、解析与结构证据支持基础题：step=1-2步，题型=概念判断，状态=单状态，约束=无约束，推理=简单因果推理。教师、盲评和多次模型证据中未形成足以推翻原裁定的同向结构证据。</x:v>
      </x:c>
      <x:c r="J1042" s="65" t="str">
        <x:v>未进入三次错题并集；逐题结构一致性复核</x:v>
      </x:c>
      <x:c r="K1042" s="63" t="str">
        <x:v>每个人都是自己健康的第一责任人。图甲中，某中学生单肩背着较重的书包，经提醒后，她换用双肩背书包，感觉更舒适，这是通过 的方式减小了压强。图乙中，某小朋友低头近距离看书，若长期如此，请从物理的角度思考并写出一条可能对她身体产生的不良影响： 。</x:v>
      </x:c>
      <x:c r="L1042" s="63" t="str"/>
      <x:c r="M1042" s="63" t="str">
        <x:v>解：（1）双肩背书包，是在压力一定时，通过增大受力面积来减小书包对肩膀的压强，使肩膀感觉比较舒服。 （2）小朋友低头近距离看书，若长期如此会形成近视眼。 故答案为：增大受力面积；形成近视眼。</x:v>
      </x:c>
      <x:c r="N1042" s="63" t="str">
        <x:v>https://k12static.xdf.cn/k12/image/externalized/b9db8e2e-52a6-434f-8a81-e1eba165f0fe.png</x:v>
      </x:c>
      <x:c r="O1042" s="63" t="str">
        <x:v>https://k12static.xdf.cn/k12/image/externalized/391bdab8-8a33-443c-82c3-df6f2ba051f2.png</x:v>
      </x:c>
      <x:c r="P1042" s="63" t="str">
        <x:v>1-2步</x:v>
      </x:c>
      <x:c r="Q1042" s="63" t="str">
        <x:v>概念判断</x:v>
      </x:c>
      <x:c r="R1042" s="63" t="str">
        <x:v>单状态</x:v>
      </x:c>
      <x:c r="S1042" s="63" t="str">
        <x:v>无约束</x:v>
      </x:c>
      <x:c r="T1042" s="63" t="str">
        <x:v>无</x:v>
      </x:c>
      <x:c r="U1042" s="63" t="str">
        <x:v>无</x:v>
      </x:c>
      <x:c r="V1042" s="63" t="str">
        <x:v>简单因果推理</x:v>
      </x:c>
    </x:row>
    <x:row r="1043">
      <x:c r="A1043" s="64" t="str">
        <x:v>​3659089371557019648</x:v>
      </x:c>
      <x:c r="B1043" s="65" t="str">
        <x:v>中等题</x:v>
      </x:c>
      <x:c r="C1043" s="65" t="str">
        <x:v>中等题</x:v>
      </x:c>
      <x:c r="D1043" s="65" t="str">
        <x:v>中等题</x:v>
      </x:c>
      <x:c r="E1043" s="65" t="str">
        <x:v>逐题复核后保留GPT裁定</x:v>
      </x:c>
      <x:c r="F1043" s="65" t="str">
        <x:v>高</x:v>
      </x:c>
      <x:c r="G1043" s="65" t="str">
        <x:v>中等题</x:v>
      </x:c>
      <x:c r="H1043" s="65" t="str">
        <x:v>中等题</x:v>
      </x:c>
      <x:c r="I1043" s="65" t="str">
        <x:v>存在约3—4步常规连续分析、共享过程或完整标准实验任务，关系仍显性。 题目证据：最高难小问（第二问）实际有3个有效物理决策：先计算原电阻R1的阻值，再分析并联电路功率关系得到R2的功率，最后代入公式计算R2阻值。五维中知识量2-3个关联知识点，过程为单状态并联电路模型，数学工具是多步常规计算，情境为熟悉的电热水壶变式，思维层次为常规应用分析，整体落在中等区间。整题两个小问相互独立，不存在答案或模型依赖。</x:v>
      </x:c>
      <x:c r="J1043" s="65" t="str">
        <x:v>三次运行错题并集逐题复核</x:v>
      </x:c>
      <x:c r="K1043" s="63" t="str">
        <x:v>如表为某电热水壶铭牌部分参数，图甲是简化电路，忽略温度对电阻的影响。 产品名称：电热水壶 容量：1L 额定电压：220V 额定功率：550W （1）电热水壶是利用电流的 效应来工作的，它的额定电流为 A； （2）小湘想把电路总功率提高到原额定功率的3倍，重新设计了如图乙所示电路，则电阻R2的阻值应为 Ω。</x:v>
      </x:c>
      <x:c r="L1043" s="63" t="str"/>
      <x:c r="M1043" s="63" t="str">
        <x:v>解：（1）热水壶是利用电流的热效应来工作的。 额定电流I=$\frac{P}{U}=\frac{550W}{220V}$=2.5A。 （2）电热水壶R1=$\frac{{U}^{2}}{P}$=$\frac{(220V)^{2}}{550W}$=88Ω。 把电路总功率提高到原额定功率的3倍，此时的电功率P′=3P=3×550W=1650W。 由图乙可知，两电阻此时并联，因为的R1功率不变，故R2的电功率P2=P′-P=1650W-550W=1100W。 R2 =$\frac{{U}^{2}}{{P}_{2}}$=$\frac{(220V)^{2}}{1100W}$=44Ω。 故答案为：（1）热；2.5；（2）44。</x:v>
      </x:c>
      <x:c r="N1043" s="63" t="str">
        <x:v>https://k12static.xdf.cn/k12/image/externalized/104a4d3e-013c-4e47-b2b4-f0681250e994.png</x:v>
      </x:c>
      <x:c r="O1043" s="63" t="str">
        <x:v>https://k12static.xdf.cn/k12/image/externalized/a11e8f35-22d7-4b3b-bcb4-ce6afca218bb.png</x:v>
      </x:c>
      <x:c r="P1043" s="63" t="str">
        <x:v>3-5步</x:v>
      </x:c>
      <x:c r="Q1043" s="63" t="str">
        <x:v>电路综合</x:v>
      </x:c>
      <x:c r="R1043" s="63" t="str">
        <x:v>单状态</x:v>
      </x:c>
      <x:c r="S1043" s="63" t="str">
        <x:v>单一约束</x:v>
      </x:c>
      <x:c r="T1043" s="63" t="str">
        <x:v>无</x:v>
      </x:c>
      <x:c r="U1043" s="63" t="str">
        <x:v>无</x:v>
      </x:c>
      <x:c r="V1043" s="63" t="str">
        <x:v>多层因果推理</x:v>
      </x:c>
    </x:row>
    <x:row r="1044">
      <x:c r="A1044" s="64" t="str">
        <x:v>​3659089396571848704</x:v>
      </x:c>
      <x:c r="B1044" s="65" t="str">
        <x:v>中等题</x:v>
      </x:c>
      <x:c r="C1044" s="65" t="str">
        <x:v>中等题</x:v>
      </x:c>
      <x:c r="D1044" s="65" t="str">
        <x:v>中等题</x:v>
      </x:c>
      <x:c r="E1044" s="65" t="str">
        <x:v>保留原GPT裁定</x:v>
      </x:c>
      <x:c r="F1044" s="65" t="str">
        <x:v>高</x:v>
      </x:c>
      <x:c r="G1044" s="65" t="str">
        <x:v>中等题</x:v>
      </x:c>
      <x:c r="H1044" s="65" t="str">
        <x:v>中等题</x:v>
      </x:c>
      <x:c r="I1044" s="65" t="str">
        <x:v>题干、解析与结构证据支持中等题：step=3-5步，题型=实验探究，状态=单状态，约束=无约束，推理=多层因果推理。教师、盲评和多次模型证据中未形成足以推翻原裁定的同向结构证据。</x:v>
      </x:c>
      <x:c r="J1044" s="65" t="str">
        <x:v>未进入三次错题并集；逐题结构一致性复核</x:v>
      </x:c>
      <x:c r="K1044" s="63" t="str">
        <x:v>某实验小组利用图甲所示装置做“探究光的反射定律”的实验时： 实验序号 1 2 3 4 5 6 入射角/度 ①</x:v>
      </x:c>
      <x:c r="L1044" s="63" t="str"/>
      <x:c r="M1044" s="63" t="str"/>
      <x:c r="N1044" s="63" t="str">
        <x:v>https://k12static.xdf.cn/k12/image/externalized/23eb8a1d-395f-4d7e-b1b6-be276956602d.png</x:v>
      </x:c>
      <x:c r="O1044" s="63" t="str">
        <x:v>https://k12static.xdf.cn/k12/image/externalized/1c663f1b-d78a-4af7-a70a-ff98b8991fe9.png</x:v>
      </x:c>
      <x:c r="P1044" s="63" t="str">
        <x:v>3-5步</x:v>
      </x:c>
      <x:c r="Q1044" s="63" t="str">
        <x:v>实验探究</x:v>
      </x:c>
      <x:c r="R1044" s="63" t="str">
        <x:v>单状态</x:v>
      </x:c>
      <x:c r="S1044" s="63" t="str">
        <x:v>无约束</x:v>
      </x:c>
      <x:c r="T1044" s="63" t="str">
        <x:v>控制变量或故障分析</x:v>
      </x:c>
      <x:c r="U1044" s="63" t="str">
        <x:v>多组比较归纳</x:v>
      </x:c>
      <x:c r="V1044" s="63" t="str">
        <x:v>多层因果推理</x:v>
      </x:c>
    </x:row>
    <x:row r="1045">
      <x:c r="A1045" s="64" t="str">
        <x:v>​3659089416419295232</x:v>
      </x:c>
      <x:c r="B1045" s="65" t="str">
        <x:v>中等题</x:v>
      </x:c>
      <x:c r="C1045" s="65" t="str">
        <x:v>中等题</x:v>
      </x:c>
      <x:c r="D1045" s="65" t="str">
        <x:v>中等题</x:v>
      </x:c>
      <x:c r="E1045" s="65" t="str">
        <x:v>保留原GPT裁定</x:v>
      </x:c>
      <x:c r="F1045" s="65" t="str">
        <x:v>高</x:v>
      </x:c>
      <x:c r="G1045" s="65" t="str">
        <x:v>中等题</x:v>
      </x:c>
      <x:c r="H1045" s="65" t="str">
        <x:v>中等题</x:v>
      </x:c>
      <x:c r="I1045" s="65" t="str">
        <x:v>题干、解析与结构证据支持中等题：step=1-2步，题型=实验探究，状态=单状态，约束=无约束，推理=多层因果推理。教师、盲评和多次模型证据中未形成足以推翻原裁定的同向结构证据。</x:v>
      </x:c>
      <x:c r="J1045" s="65" t="str">
        <x:v>未进入三次错题并集；逐题结构一致性复核</x:v>
      </x:c>
      <x:c r="K1045" s="63" t="str">
        <x:v>在“探究串联电路中电压的特点”的实验中：</x:v>
      </x:c>
      <x:c r="L1045" s="63" t="str"/>
      <x:c r="M1045" s="63" t="str"/>
      <x:c r="N1045" s="63" t="str">
        <x:v>https://k12static.xdf.cn/k12/image/externalized/e0b2c361-6438-4f0f-9f22-a51e83c685fd.png</x:v>
      </x:c>
      <x:c r="O1045" s="63" t="str">
        <x:v>https://k12static.xdf.cn/k12/image/externalized/64b0b0b5-0810-4a35-a2fe-9e2dd49adff0.png</x:v>
      </x:c>
      <x:c r="P1045" s="63" t="str">
        <x:v>1-2步</x:v>
      </x:c>
      <x:c r="Q1045" s="63" t="str">
        <x:v>实验探究</x:v>
      </x:c>
      <x:c r="R1045" s="63" t="str">
        <x:v>单状态</x:v>
      </x:c>
      <x:c r="S1045" s="63" t="str">
        <x:v>无约束</x:v>
      </x:c>
      <x:c r="T1045" s="63" t="str">
        <x:v>控制变量或故障分析</x:v>
      </x:c>
      <x:c r="U1045" s="63" t="str">
        <x:v>直接读数</x:v>
      </x:c>
      <x:c r="V1045" s="63" t="str">
        <x:v>多层因果推理</x:v>
      </x:c>
    </x:row>
    <x:row r="1046">
      <x:c r="A1046" s="64" t="str">
        <x:v>​3659089422928855040</x:v>
      </x:c>
      <x:c r="B1046" s="65" t="str">
        <x:v>中等题</x:v>
      </x:c>
      <x:c r="C1046" s="65" t="str">
        <x:v>中等题</x:v>
      </x:c>
      <x:c r="D1046" s="65" t="str">
        <x:v>中等题</x:v>
      </x:c>
      <x:c r="E1046" s="65" t="str">
        <x:v>保留原GPT裁定</x:v>
      </x:c>
      <x:c r="F1046" s="65" t="str">
        <x:v>高</x:v>
      </x:c>
      <x:c r="G1046" s="65" t="str">
        <x:v>中等题</x:v>
      </x:c>
      <x:c r="H1046" s="65" t="str">
        <x:v>中等题</x:v>
      </x:c>
      <x:c r="I1046" s="65" t="str">
        <x:v>题干、解析与结构证据支持中等题：step=1-2步，题型=实验探究，状态=单状态，约束=无约束，推理=简单因果推理。教师、盲评和多次模型证据中未形成足以推翻原裁定的同向结构证据。</x:v>
      </x:c>
      <x:c r="J1046" s="65" t="str">
        <x:v>未进入三次错题并集；逐题结构一致性复核</x:v>
      </x:c>
      <x:c r="K1046" s="63" t="str">
        <x:v>在“探究液体压强与哪些因素有关”的实验中： 实验序号 深度/cm 探头方向 U形管液面高度差/格 1 10.0 向下 17 2 10.0 向左 17 3 10.0 向上 17 4 15.0 向下 25 5 20.0 向下 32</x:v>
      </x:c>
      <x:c r="L1046" s="63" t="str"/>
      <x:c r="M1046" s="63" t="str"/>
      <x:c r="N1046" s="63" t="str">
        <x:v>https://k12static.xdf.cn/k12/image/externalized/f4b4b6a0-a45d-448d-9ac1-c46f79312fa2.png</x:v>
      </x:c>
      <x:c r="O1046" s="63" t="str">
        <x:v>https://k12static.xdf.cn/k12/image/externalized/df8aec54-dc30-4fc7-a5f4-9eaffad85b02.png</x:v>
      </x:c>
      <x:c r="P1046" s="63" t="str">
        <x:v>1-2步</x:v>
      </x:c>
      <x:c r="Q1046" s="63" t="str">
        <x:v>实验探究</x:v>
      </x:c>
      <x:c r="R1046" s="63" t="str">
        <x:v>单状态</x:v>
      </x:c>
      <x:c r="S1046" s="63" t="str">
        <x:v>无约束</x:v>
      </x:c>
      <x:c r="T1046" s="63" t="str">
        <x:v>控制变量或故障分析</x:v>
      </x:c>
      <x:c r="U1046" s="63" t="str">
        <x:v>多组比较归纳</x:v>
      </x:c>
      <x:c r="V1046" s="63" t="str">
        <x:v>简单因果推理</x:v>
      </x:c>
    </x:row>
    <x:row r="1047">
      <x:c r="A1047" s="64" t="str">
        <x:v>​3659089430361161728</x:v>
      </x:c>
      <x:c r="B1047" s="65" t="str">
        <x:v>压轴题</x:v>
      </x:c>
      <x:c r="C1047" s="65" t="str">
        <x:v>压轴题</x:v>
      </x:c>
      <x:c r="D1047" s="65" t="str">
        <x:v>压轴题</x:v>
      </x:c>
      <x:c r="E1047" s="65" t="str">
        <x:v>逐题复核后保留GPT裁定</x:v>
      </x:c>
      <x:c r="F1047" s="65" t="str">
        <x:v>高</x:v>
      </x:c>
      <x:c r="G1047" s="65" t="str">
        <x:v>压轴题</x:v>
      </x:c>
      <x:c r="H1047" s="65" t="str">
        <x:v>压轴题</x:v>
      </x:c>
      <x:c r="I1047" s="65" t="str">
        <x:v>题目把实验方案、误差/评价或改进任务组织成多对象、多状态、多约束的共享模型网络，后续任务依赖前述状态/参数，并要求分类、临界/边界、有效解筛选或可行性验证，属于7步以上的完整耦合链。</x:v>
      </x:c>
      <x:c r="J1047" s="65" t="str">
        <x:v>三次运行错题并集逐题复核</x:v>
      </x:c>
      <x:c r="K1047" s="63" t="str">
        <x:v>某学校正组织一场液体密度测量挑战赛，待测液体有酒精、食用油、白醋、盐水、酱油。老师已提前测得以上液体的密度值，仅告知待测液体密度在0.85～1.26g/cm3之间。已知水的密度为1.0g/cm3。 【项目提出】将托盘天平改装成液体密度测量仪来参加挑战赛 【项目分析】</x:v>
      </x:c>
      <x:c r="L1047" s="63" t="str"/>
      <x:c r="M1047" s="63" t="str"/>
      <x:c r="N1047" s="63" t="str">
        <x:v>https://k12static.xdf.cn/k12/image/externalized/f5553e15-8e69-4d68-94c6-ce31c7677abf.png</x:v>
      </x:c>
      <x:c r="O1047" s="63" t="str">
        <x:v>https://k12static.xdf.cn/k12/image/externalized/d441d735-ba41-4624-aa0e-a0d7a3c8b915.png</x:v>
      </x:c>
      <x:c r="P1047" s="63" t="str">
        <x:v>3-5步</x:v>
      </x:c>
      <x:c r="Q1047" s="63" t="str">
        <x:v>实验探究</x:v>
      </x:c>
      <x:c r="R1047" s="63" t="str">
        <x:v>单状态</x:v>
      </x:c>
      <x:c r="S1047" s="63" t="str">
        <x:v>单一约束</x:v>
      </x:c>
      <x:c r="T1047" s="63" t="str">
        <x:v>方案设计或误差评价</x:v>
      </x:c>
      <x:c r="U1047" s="63" t="str">
        <x:v>无</x:v>
      </x:c>
      <x:c r="V1047" s="63" t="str">
        <x:v>多层因果推理</x:v>
      </x:c>
    </x:row>
    <x:row r="1048">
      <x:c r="A1048" s="64" t="str">
        <x:v>​3659089440914030592</x:v>
      </x:c>
      <x:c r="B1048" s="65" t="str">
        <x:v>基础题</x:v>
      </x:c>
      <x:c r="C1048" s="65" t="str">
        <x:v>基础题</x:v>
      </x:c>
      <x:c r="D1048" s="65" t="str">
        <x:v>基础题</x:v>
      </x:c>
      <x:c r="E1048" s="65" t="str">
        <x:v>保留原GPT裁定</x:v>
      </x:c>
      <x:c r="F1048" s="65" t="str">
        <x:v>高</x:v>
      </x:c>
      <x:c r="G1048" s="65" t="str">
        <x:v>基础题</x:v>
      </x:c>
      <x:c r="H1048" s="65" t="str">
        <x:v>基础题</x:v>
      </x:c>
      <x:c r="I1048" s="65" t="str">
        <x:v>题干、解析与结构证据支持基础题：step=1-2步，题型=力学综合，状态=单状态，约束=无约束，推理=简单因果推理。教师、盲评和多次模型证据中未形成足以推翻原裁定的同向结构证据。</x:v>
      </x:c>
      <x:c r="J1048" s="65" t="str">
        <x:v>未进入三次错题并集；逐题结构一致性复核</x:v>
      </x:c>
      <x:c r="K1048" s="63" t="str">
        <x:v>为加强消防安全，一些工厂会配备如图甲所示的推车式干粉灭火器，该推车式灭火器的总质量为55kg,g取10N/kg</x:v>
      </x:c>
      <x:c r="L1048" s="63" t="str"/>
      <x:c r="M1048" s="63" t="str"/>
      <x:c r="N1048" s="63" t="str">
        <x:v>https://k12static.xdf.cn/k12/image/externalized/b95a847f-f922-47b9-97d2-c9b1d130447d.png</x:v>
      </x:c>
      <x:c r="O1048" s="63" t="str">
        <x:v>https://k12static.xdf.cn/k12/image/externalized/4e54ad8d-58cb-467e-9ba6-34d2af67c1d9.png</x:v>
      </x:c>
      <x:c r="P1048" s="63" t="str">
        <x:v>1-2步</x:v>
      </x:c>
      <x:c r="Q1048" s="63" t="str">
        <x:v>力学综合</x:v>
      </x:c>
      <x:c r="R1048" s="63" t="str">
        <x:v>单状态</x:v>
      </x:c>
      <x:c r="S1048" s="63" t="str">
        <x:v>无约束</x:v>
      </x:c>
      <x:c r="T1048" s="63" t="str">
        <x:v>无</x:v>
      </x:c>
      <x:c r="U1048" s="63" t="str">
        <x:v>无</x:v>
      </x:c>
      <x:c r="V1048" s="63" t="str">
        <x:v>简单因果推理</x:v>
      </x:c>
    </x:row>
    <x:row r="1049">
      <x:c r="A1049" s="64" t="str">
        <x:v>​3659089451315904512</x:v>
      </x:c>
      <x:c r="B1049" s="65" t="str">
        <x:v>拔高题</x:v>
      </x:c>
      <x:c r="C1049" s="65" t="str">
        <x:v>拔高题</x:v>
      </x:c>
      <x:c r="D1049" s="65" t="str">
        <x:v>拔高题</x:v>
      </x:c>
      <x:c r="E1049" s="65" t="str">
        <x:v>保留原GPT裁定</x:v>
      </x:c>
      <x:c r="F1049" s="65" t="str">
        <x:v>高</x:v>
      </x:c>
      <x:c r="G1049" s="65" t="str">
        <x:v>拔高题</x:v>
      </x:c>
      <x:c r="H1049" s="65" t="str">
        <x:v>拔高题</x:v>
      </x:c>
      <x:c r="I1049" s="65" t="str">
        <x:v>题干、解析与结构证据支持拔高题：step=3-5步，题型=跨模块综合，状态=双状态，约束=单一约束，推理=多层因果推理。教师、盲评和多次模型证据中未形成足以推翻原裁定的同向结构证据。</x:v>
      </x:c>
      <x:c r="J1049" s="65" t="str">
        <x:v>未进入三次错题并集；逐题结构一致性复核</x:v>
      </x:c>
      <x:c r="K1049" s="63" t="str">
        <x:v>某科技小组设计了一款智能注水装置，图甲是简化的工作原理示意图。控制电路的电源电压保持不变，R0为定值电阻，线圈和光控开关的电阻忽略不计。当杯子放置在托盘上时，托盘压缩弹簧与轻质绝缘连杆一起下降，带动R上的滑片P向下移动，同时光控开关自动闭合，控制电路接通，衔铁被吸下，注水电机稍后开始缓慢注水（忽略水流动带来的影响）。当线圈中的电流等于或小于40mA时，衔铁弹回，工作电路断开。取下杯子，光控开关自动断开。滑动变阻器R连入电路的阻值与托盘受到的压力F关系如图乙所示。杯中水无溢出，g取10N/kg。</x:v>
      </x:c>
      <x:c r="L1049" s="63" t="str"/>
      <x:c r="M1049" s="63" t="str"/>
      <x:c r="N1049" s="63" t="str">
        <x:v>https://k12static.xdf.cn/k12/image/externalized/8b3565cb-311e-4faa-bbd8-4faef1fb86ee.png</x:v>
      </x:c>
      <x:c r="O1049" s="63" t="str">
        <x:v>https://k12static.xdf.cn/k12/image/externalized/26f1f347-0295-475b-aa8b-7b760d54eaf5.png</x:v>
      </x:c>
      <x:c r="P1049" s="63" t="str">
        <x:v>3-5步</x:v>
      </x:c>
      <x:c r="Q1049" s="63" t="str">
        <x:v>跨模块综合</x:v>
      </x:c>
      <x:c r="R1049" s="63" t="str">
        <x:v>双状态</x:v>
      </x:c>
      <x:c r="S1049" s="63" t="str">
        <x:v>单一约束</x:v>
      </x:c>
      <x:c r="T1049" s="63" t="str">
        <x:v>方案设计或误差评价</x:v>
      </x:c>
      <x:c r="U1049" s="63" t="str">
        <x:v>直接读数</x:v>
      </x:c>
      <x:c r="V1049" s="63" t="str">
        <x:v>多层因果推理</x:v>
      </x:c>
    </x:row>
    <x:row r="1050">
      <x:c r="A1050" s="64" t="str">
        <x:v>​3660631927249285120</x:v>
      </x:c>
      <x:c r="B1050" s="65" t="str">
        <x:v>中等题</x:v>
      </x:c>
      <x:c r="C1050" s="65" t="str">
        <x:v>中等题</x:v>
      </x:c>
      <x:c r="D1050" s="65" t="str">
        <x:v>中等题</x:v>
      </x:c>
      <x:c r="E1050" s="65" t="str">
        <x:v>逐题复核后保留GPT裁定</x:v>
      </x:c>
      <x:c r="F1050" s="65" t="str">
        <x:v>高</x:v>
      </x:c>
      <x:c r="G1050" s="65" t="str">
        <x:v>中等题</x:v>
      </x:c>
      <x:c r="H1050" s="65" t="str">
        <x:v>中等题</x:v>
      </x:c>
      <x:c r="I1050" s="65" t="str">
        <x:v>存在约3—4步常规连续分析、共享过程或完整标准实验任务，关系仍显性。 题目证据：最长连续有效物理决策为小题2的3步，分别是：串联电路电流电压规律计算R2阻值、从图丙读取对应酒精浓度、对照酒驾标准判断是否属于酒驾；五个维度中，知识量覆盖电学欧姆定律、能源分类两个跨模块知识点，过程对象为单状态常规串联电路，数学工具为多步简单笔算，情境为真实酒精测试仪背景需要映射物理规律，思维层次为常规多层因果推理。各小问相互独立，无答案依赖或模型依赖；其中小题1、小题2共同构成常规电路分析任务，小题3为能源分类概念题，小题4为开放性警示语。</x:v>
      </x:c>
      <x:c r="J1050" s="65" t="str">
        <x:v>三次运行错题并集逐题复核</x:v>
      </x:c>
      <x:c r="K1050" s="63" t="str">
        <x:v>阅读短文，回答问题。酒精测试仪人饮酒后，有部分酒精通过肺部呼气排出。因此，测量呼气中的酒精气体浓度可判断其饮酒程度。酒精测试仪的核心元件是酒精气体传感器，目前普遍使用的有半导体型和燃料电池型（电化学型）两种，这两种都能用来制造便携式呼气酒精测试仪。如图甲所示，是一种适合现场使用的呼气式酒精测试仪。我国现在公认的酒驾标准为$0.2\mathrm{mg}/\mathrm{mL}\leq \text{酒精气体浓度}\mathrm{＜}0.8\mathrm{mg}/\mathrm{mL}$，半导体型呼气酒精测试仪采用氧化锡半导体作为传感器，这类半导体元件具有气敏特性，这种酒精测试仪的电路可简化为图乙所示，图中定值电阻的电阻为R1，酒精气体传感器的电阻为R2，酒精气体传感器的电阻随酒精气体浓度的变化如图丙所示，半导体型呼气酒精测试仪就是利用这个原理制成的。燃料电池型呼气酒精测试仪采用燃料电池酒精传感器作为气敏元件，它属于电化学型。采用铂作为电极，电池内部有特种催化剂，能使进入电池内的酒精发生化学反应进而转变为电能，也就是在两个电极间产生电压，电能消耗在外接负载上，此电压与进入电池内气体的酒精浓度成正比，这就是燃料电池型呼气酒精测试仪的基本工作原理。</x:v>
      </x:c>
      <x:c r="L1050" s="63" t="str"/>
      <x:c r="M1050" s="63" t="str"/>
      <x:c r="N1050" s="63" t="str">
        <x:v>https://k12static.xdf.cn/k12/image/externalized/d5a87d8c-47f0-44e9-ad72-1daee94c3c37.png</x:v>
      </x:c>
      <x:c r="O1050" s="63" t="str">
        <x:v>https://k12static.xdf.cn/k12/image/externalized/a701acf5-4d63-4370-beed-3a861637dfb3.png</x:v>
      </x:c>
      <x:c r="P1050" s="63" t="str">
        <x:v>3-5步</x:v>
      </x:c>
      <x:c r="Q1050" s="63" t="str">
        <x:v>电路综合</x:v>
      </x:c>
      <x:c r="R1050" s="63" t="str">
        <x:v>单状态</x:v>
      </x:c>
      <x:c r="S1050" s="63" t="str">
        <x:v>单一约束</x:v>
      </x:c>
      <x:c r="T1050" s="63" t="str">
        <x:v>无</x:v>
      </x:c>
      <x:c r="U1050" s="63" t="str">
        <x:v>直接读数</x:v>
      </x:c>
      <x:c r="V1050" s="63" t="str">
        <x:v>多层因果推理</x:v>
      </x:c>
    </x:row>
    <x:row r="1051">
      <x:c r="A1051" s="64" t="str">
        <x:v>​3661683115815710720</x:v>
      </x:c>
      <x:c r="B1051" s="65" t="str">
        <x:v>拔高题</x:v>
      </x:c>
      <x:c r="C1051" s="65" t="str">
        <x:v>拔高题</x:v>
      </x:c>
      <x:c r="D1051" s="65" t="str">
        <x:v>拔高题</x:v>
      </x:c>
      <x:c r="E1051" s="65" t="str">
        <x:v>逐题复核后保留GPT裁定</x:v>
      </x:c>
      <x:c r="F1051" s="65" t="str">
        <x:v>高</x:v>
      </x:c>
      <x:c r="G1051" s="65" t="str">
        <x:v>拔高题</x:v>
      </x:c>
      <x:c r="H1051" s="65" t="str">
        <x:v>拔高题</x:v>
      </x:c>
      <x:c r="I1051" s="65" t="str">
        <x:v>存在决定性反推/等效/误差/几何转换，或同一装置中的5—6步高密度综合链。 题目证据：自动调整：teacher_medium_to_hard_joint_structure；证据：真实跨模块综合；多公式或复杂范围计算；方案设计或误差评价。最高难小问（小题2）实际有效物理决策为3步：分别建立空杯未注水、注水停止两个状态的欧姆定律方程，联立求解定值电阻和电源电压，再根据总压力反推水的质量，属于两个状态的常规分析，无决定性转换或全链耦合；三个小问相互独立，小题1为基础定性分析，小题3为开放性方案建议。五维锚定：知识量为2-3个跨模块关联知识点，过程/对象为双状态，数学工具为两个方程联立，情境为熟悉变式，思</x:v>
      </x:c>
      <x:c r="J1051" s="65" t="str">
        <x:v>三次运行错题并集逐题复核</x:v>
      </x:c>
      <x:c r="K1051" s="63" t="str">
        <x:v>某科技小组设计了一款智能注水装置，图甲是简化的工作原理示意图。控制电路的电源电压保持不变，R0为定值电阻，线圈和光控开关的电阻忽略不计。当杯子放置在托盘上时，托盘压缩弹簧与轻质绝缘连杆一起下降，带动R上的滑片P向下移动，同时光控开关自动闭合，控制电路接通，衔铁被吸下，注水电机稍后开始缓慢注水（忽略水流动带来的影响）。当线圈中的电流等于或小于40mA时，衔铁弹回，工作电路断开。取下杯子，光控开关自动断开。滑动变阻器R连入电路的阻值与托盘受到的压力F关系如图乙所示。杯中水无溢出，g取10N/kg。</x:v>
      </x:c>
      <x:c r="L1051" s="63" t="str"/>
      <x:c r="M1051" s="63" t="str"/>
      <x:c r="N1051" s="63" t="str">
        <x:v>https://k12static.xdf.cn/k12/image/externalized/f4b154a7-e502-42d0-9608-af3e66c34bcb.png</x:v>
      </x:c>
      <x:c r="O1051" s="63" t="str">
        <x:v>https://k12static.xdf.cn/k12/image/externalized/28cbbeac-e847-49dd-b976-2bc08d1f1114.png</x:v>
      </x:c>
      <x:c r="P1051" s="63" t="str">
        <x:v>3-5步</x:v>
      </x:c>
      <x:c r="Q1051" s="63" t="str">
        <x:v>电路综合</x:v>
      </x:c>
      <x:c r="R1051" s="63" t="str">
        <x:v>双状态</x:v>
      </x:c>
      <x:c r="S1051" s="63" t="str">
        <x:v>单一约束</x:v>
      </x:c>
      <x:c r="T1051" s="63" t="str">
        <x:v>无</x:v>
      </x:c>
      <x:c r="U1051" s="63" t="str">
        <x:v>直接读数</x:v>
      </x:c>
      <x:c r="V1051" s="63" t="str">
        <x:v>多层因果推理</x:v>
      </x:c>
    </x:row>
    <x:row r="1052">
      <x:c r="A1052" s="64" t="str">
        <x:v>​3661834722138427392</x:v>
      </x:c>
      <x:c r="B1052" s="65" t="str">
        <x:v>送分题</x:v>
      </x:c>
      <x:c r="C1052" s="65" t="str">
        <x:v>送分题</x:v>
      </x:c>
      <x:c r="D1052" s="65" t="str">
        <x:v>送分题</x:v>
      </x:c>
      <x:c r="E1052" s="65" t="str">
        <x:v>保留原GPT裁定</x:v>
      </x:c>
      <x:c r="F1052" s="65" t="str">
        <x:v>高</x:v>
      </x:c>
      <x:c r="G1052" s="65" t="str">
        <x:v>送分题</x:v>
      </x:c>
      <x:c r="H1052" s="65" t="str">
        <x:v>送分题</x:v>
      </x:c>
      <x:c r="I1052" s="65" t="str">
        <x:v>题干、解析与结构证据支持送分题：step=1-2步，题型=概念判断，状态=单状态，约束=无约束，推理=直接套用。教师、盲评和多次模型证据中未形成足以推翻原裁定的同向结构证据。</x:v>
      </x:c>
      <x:c r="J1052" s="65" t="str">
        <x:v>未进入三次错题并集；逐题结构一致性复核</x:v>
      </x:c>
      <x:c r="K1052" s="63" t="str">
        <x:v>城市公交是市民出行的重要交通工具，关于公交车的说法，与实际相符的是（ ）</x:v>
      </x:c>
      <x:c r="L1052" s="63" t="str">
        <x:v>A. 一辆普通公交车的长度约$\rm10m$ B. 一辆普通公交车的质量一般在$\rm100t$ 左右 C. 公交车在冬季行驶中车内的温度可达$-10℃$ D. 公交车在市区正常行驶的平均速度约$\rm80m/s$</x:v>
      </x:c>
      <x:c r="M1052" s="63" t="str">
        <x:v>A：普通公交车长度约 $8 - 12\text{ m}$， $10\text{ m}$ 左右符合实际，故A正确； B：普通公交车质量约 $7 - 15\text{ t}$， $100\text{ t}$ 远超实际，故B错误； C：冬季公交车内有供暖系统，温度通常保持在 $15 - 25^\circ\text{C}$， $-10^\circ\text{C}$ 不符合实际，故C错误； D：$80\text{ m/s} = 288\text{ km/h}$​​​​，市区公交车受红绿灯、行人等因素影响，平均速度通常为 $20 - 30\text{ km/h}$，故D错误。 故选 A</x:v>
      </x:c>
      <x:c r="N1052" s="63" t="str">
        <x:v>https://k12static.xdf.cn/k12/image/externalized/e66b6306-5ec5-47da-9ae3-c873de24ab2d.png</x:v>
      </x:c>
      <x:c r="O1052" s="63" t="str">
        <x:v>https://k12static.xdf.cn/k12/image/externalized/1c0038aa-0df2-4aad-bb28-1b2749c6ff9c.png</x:v>
      </x:c>
      <x:c r="P1052" s="63" t="str">
        <x:v>1-2步</x:v>
      </x:c>
      <x:c r="Q1052" s="63" t="str">
        <x:v>概念判断</x:v>
      </x:c>
      <x:c r="R1052" s="63" t="str">
        <x:v>单状态</x:v>
      </x:c>
      <x:c r="S1052" s="63" t="str">
        <x:v>无约束</x:v>
      </x:c>
      <x:c r="T1052" s="63" t="str">
        <x:v>无</x:v>
      </x:c>
      <x:c r="U1052" s="63" t="str">
        <x:v>无</x:v>
      </x:c>
      <x:c r="V1052" s="63" t="str">
        <x:v>直接套用</x:v>
      </x:c>
    </x:row>
    <x:row r="1053">
      <x:c r="A1053" s="64" t="str">
        <x:v>​3665218882510569472</x:v>
      </x:c>
      <x:c r="B1053" s="65" t="str">
        <x:v>中等题</x:v>
      </x:c>
      <x:c r="C1053" s="65" t="str">
        <x:v>中等题</x:v>
      </x:c>
      <x:c r="D1053" s="65" t="str">
        <x:v>中等题</x:v>
      </x:c>
      <x:c r="E1053" s="65" t="str">
        <x:v>保留原GPT裁定</x:v>
      </x:c>
      <x:c r="F1053" s="65" t="str">
        <x:v>高</x:v>
      </x:c>
      <x:c r="G1053" s="65" t="str">
        <x:v>中等题</x:v>
      </x:c>
      <x:c r="H1053" s="65" t="str">
        <x:v>中等题</x:v>
      </x:c>
      <x:c r="I1053" s="65" t="str">
        <x:v>题干、解析与结构证据支持中等题：step=3-5步，题型=概念判断，状态=单状态，约束=无约束，推理=多层因果推理。教师、盲评和多次模型证据中未形成足以推翻原裁定的同向结构证据。</x:v>
      </x:c>
      <x:c r="J1053" s="65" t="str">
        <x:v>未进入三次错题并集；逐题结构一致性复核</x:v>
      </x:c>
      <x:c r="K1053" s="63" t="str">
        <x:v>某同学用甲球和乙球进行颠球训练。当两球离地高度相同时，两球的重力势能和动能大小比较如图，可知（ ）</x:v>
      </x:c>
      <x:c r="L1053" s="63" t="str">
        <x:v>A. 甲球质量更小 B. 两球质量相等 C. 甲球速度更小 D. 两球速度相等</x:v>
      </x:c>
      <x:c r="M1053" s="63" t="str">
        <x:v>AB．已知两球离地高度$h$相同，$g$为定值，由图可知甲球重力势能大于乙球重力势能，则甲球质量大于乙球质量，故AB不符合题意；CD．由图可知甲、乙两球动能大小相等，又$m_{甲}&gt; m_{乙}$，动能相等时，质量越大，速度越小，因此甲球速度更小，故C符合题意，D不符合题意。故选C。</x:v>
      </x:c>
      <x:c r="N1053" s="63" t="str">
        <x:v>https://k12static.xdf.cn/k12/image/externalized/8be3adee-7bdf-494e-bbb2-e6e7f15b6d36.png</x:v>
      </x:c>
      <x:c r="O1053" s="63" t="str">
        <x:v>https://k12static.xdf.cn/k12/image/externalized/fe65ce3e-03fc-4b6c-8a63-4c44fcd15740.png</x:v>
      </x:c>
      <x:c r="P1053" s="63" t="str">
        <x:v>3-5步</x:v>
      </x:c>
      <x:c r="Q1053" s="63" t="str">
        <x:v>概念判断</x:v>
      </x:c>
      <x:c r="R1053" s="63" t="str">
        <x:v>单状态</x:v>
      </x:c>
      <x:c r="S1053" s="63" t="str">
        <x:v>无约束</x:v>
      </x:c>
      <x:c r="T1053" s="63" t="str">
        <x:v>无</x:v>
      </x:c>
      <x:c r="U1053" s="63" t="str">
        <x:v>无</x:v>
      </x:c>
      <x:c r="V1053" s="63" t="str">
        <x:v>多层因果推理</x:v>
      </x:c>
    </x:row>
    <x:row r="1054">
      <x:c r="A1054" s="64" t="str">
        <x:v>​3665218918933405696</x:v>
      </x:c>
      <x:c r="B1054" s="65" t="str">
        <x:v>基础题</x:v>
      </x:c>
      <x:c r="C1054" s="65" t="str">
        <x:v>基础题</x:v>
      </x:c>
      <x:c r="D1054" s="65" t="str">
        <x:v>基础题</x:v>
      </x:c>
      <x:c r="E1054" s="65" t="str">
        <x:v>保留原GPT裁定</x:v>
      </x:c>
      <x:c r="F1054" s="65" t="str">
        <x:v>高</x:v>
      </x:c>
      <x:c r="G1054" s="65" t="str">
        <x:v>基础题</x:v>
      </x:c>
      <x:c r="H1054" s="65" t="str">
        <x:v>基础题</x:v>
      </x:c>
      <x:c r="I1054" s="65" t="str">
        <x:v>题干、解析与结构证据支持基础题：step=1-2步，题型=概念判断，状态=单状态，约束=无约束，推理=简单因果推理。教师、盲评和多次模型证据中未形成足以推翻原裁定的同向结构证据。</x:v>
      </x:c>
      <x:c r="J1054" s="65" t="str">
        <x:v>未进入三次错题并集；逐题结构一致性复核</x:v>
      </x:c>
      <x:c r="K1054" s="63" t="str">
        <x:v>某仿生机器人骨架采用新材料，使其更加坚韧轻巧，这是因为该材料（ ）</x:v>
      </x:c>
      <x:c r="L1054" s="63" t="str">
        <x:v>A. 强度高，密度小 B. 强度高，密度大 C. 强度低，密度小 D. 强度低，密度大</x:v>
      </x:c>
      <x:c r="M1054" s="63" t="str">
        <x:v>“坚韧”说明材料强度高，“轻巧”意味着在骨架体积相同时，根据$m=\rho V$，密度小的材料质量更小，故A符合题意，BCD不符合题意。故选A。</x:v>
      </x:c>
      <x:c r="N1054" s="63" t="str">
        <x:v>https://k12static.xdf.cn/k12/image/externalized/e30d5074-8b45-466a-9c15-0082df1d503f.png</x:v>
      </x:c>
      <x:c r="O1054" s="63" t="str">
        <x:v>https://k12static.xdf.cn/k12/image/externalized/488afb27-30d2-4255-82d3-d9222ff4b971.png</x:v>
      </x:c>
      <x:c r="P1054" s="63" t="str">
        <x:v>1-2步</x:v>
      </x:c>
      <x:c r="Q1054" s="63" t="str">
        <x:v>概念判断</x:v>
      </x:c>
      <x:c r="R1054" s="63" t="str">
        <x:v>单状态</x:v>
      </x:c>
      <x:c r="S1054" s="63" t="str">
        <x:v>无约束</x:v>
      </x:c>
      <x:c r="T1054" s="63" t="str">
        <x:v>无</x:v>
      </x:c>
      <x:c r="U1054" s="63" t="str">
        <x:v>无</x:v>
      </x:c>
      <x:c r="V1054" s="63" t="str">
        <x:v>简单因果推理</x:v>
      </x:c>
    </x:row>
    <x:row r="1055">
      <x:c r="A1055" s="64" t="str">
        <x:v>​3665218942505893888</x:v>
      </x:c>
      <x:c r="B1055" s="65" t="str">
        <x:v>基础题</x:v>
      </x:c>
      <x:c r="C1055" s="65" t="str">
        <x:v>基础题</x:v>
      </x:c>
      <x:c r="D1055" s="65" t="str">
        <x:v>基础题</x:v>
      </x:c>
      <x:c r="E1055" s="65" t="str">
        <x:v>逐题复核后保留GPT裁定</x:v>
      </x:c>
      <x:c r="F1055" s="65" t="str">
        <x:v>高</x:v>
      </x:c>
      <x:c r="G1055" s="65" t="str">
        <x:v>基础题</x:v>
      </x:c>
      <x:c r="H1055" s="65" t="str">
        <x:v>基础题</x:v>
      </x:c>
      <x:c r="I1055" s="65" t="str">
        <x:v>最高难任务为1—2步显性应用、规范操作或简单因果，没有连续模型转换。 题目证据：最高难选项实际有效推理约2步。五维中知识量为2个关联知识点（家庭电路并联特点、开关控制作用），过程对象为单状态，数学工具无计算，情境为常规家庭电路，思维层次为简单应用，锚定基础/中等区间。核心任务是分析电路图中各用电器与开关、插座的连接关系，判断开关通断对两个用电器的影响，没有复杂隐含转换或连续多步推理。</x:v>
      </x:c>
      <x:c r="J1055" s="65" t="str">
        <x:v>三次运行错题并集逐题复核</x:v>
      </x:c>
      <x:c r="K1055" s="63" t="str">
        <x:v>如图a，某房间墙面有一插座。现将小夜灯插在插座上，吸顶灯、小夜灯、插座与相线、中性线连接如图b。电路无故障，则（ ）</x:v>
      </x:c>
      <x:c r="L1055" s="63" t="str">
        <x:v>A. 断开开关，小夜灯不工作、吸顶灯工作 B. 断开开关，小夜灯工作、吸顶灯不工作 C. 闭合开关，小夜灯不工作、吸顶灯工作 D. 闭合开关，小夜灯工作、吸顶灯不工作</x:v>
      </x:c>
      <x:c r="M1055" s="63" t="str">
        <x:v>由图可知，小夜灯通过插座直接并联在相线与中性线之间，电路始终保持通路；开关仅串联在吸顶灯的电路中，只控制吸顶灯的通断；AB．断开开关后，吸顶灯电路断路，无法工作；小夜灯电路始终通路，可以工作，故A不符合题意，B符合题意； CD．闭合开关后，吸顶灯电路接通，吸顶灯正常工作，小夜灯两端仍接在相线与中性线之间，电路通路，正常工作，故CD不符合题意。 故选B。</x:v>
      </x:c>
      <x:c r="N1055" s="63" t="str">
        <x:v>https://k12static.xdf.cn/k12/image/externalized/3f871f6c-ffd0-4d7d-ba63-3215eb263446.png</x:v>
      </x:c>
      <x:c r="O1055" s="63" t="str">
        <x:v>https://k12static.xdf.cn/k12/image/externalized/6f90f4a3-a499-4b13-97f5-8e25ce04011b.png</x:v>
      </x:c>
      <x:c r="P1055" s="63" t="str">
        <x:v>1-2步</x:v>
      </x:c>
      <x:c r="Q1055" s="63" t="str">
        <x:v>概念判断</x:v>
      </x:c>
      <x:c r="R1055" s="63" t="str">
        <x:v>单状态</x:v>
      </x:c>
      <x:c r="S1055" s="63" t="str">
        <x:v>无约束</x:v>
      </x:c>
      <x:c r="T1055" s="63" t="str">
        <x:v>无</x:v>
      </x:c>
      <x:c r="U1055" s="63" t="str">
        <x:v>无</x:v>
      </x:c>
      <x:c r="V1055" s="63" t="str">
        <x:v>简单因果推理</x:v>
      </x:c>
    </x:row>
    <x:row r="1056">
      <x:c r="A1056" s="64" t="str">
        <x:v>​3665219004011167744</x:v>
      </x:c>
      <x:c r="B1056" s="65" t="str">
        <x:v>送分题</x:v>
      </x:c>
      <x:c r="C1056" s="65" t="str">
        <x:v>送分题</x:v>
      </x:c>
      <x:c r="D1056" s="65" t="str">
        <x:v>送分题</x:v>
      </x:c>
      <x:c r="E1056" s="65" t="str">
        <x:v>保留原GPT裁定</x:v>
      </x:c>
      <x:c r="F1056" s="65" t="str">
        <x:v>高</x:v>
      </x:c>
      <x:c r="G1056" s="65" t="str">
        <x:v>送分题</x:v>
      </x:c>
      <x:c r="H1056" s="65" t="str">
        <x:v>送分题</x:v>
      </x:c>
      <x:c r="I1056" s="65" t="str">
        <x:v>题干、解析与结构证据支持送分题：step=1-2步，题型=概念判断，状态=单状态，约束=无约束，推理=直接套用。教师、盲评和多次模型证据中未形成足以推翻原裁定的同向结构证据。</x:v>
      </x:c>
      <x:c r="J1056" s="65" t="str">
        <x:v>未进入三次错题并集；逐题结构一致性复核</x:v>
      </x:c>
      <x:c r="K1056" s="63" t="str">
        <x:v>C919客机使用复合材料将舱内噪声降至60 dB，这是改变了舱内噪声的（ ）</x:v>
      </x:c>
      <x:c r="L1056" s="63" t="str">
        <x:v>A. 频率 B. 响度 C. 音调 D. 速度</x:v>
      </x:c>
      <x:c r="M1056" s="63" t="str">
        <x:v>分贝（dB）是响度的单位，将舱内噪声降至60 dB，是减小了噪声的响度，故选B。</x:v>
      </x:c>
      <x:c r="N1056" s="63" t="str">
        <x:v>https://k12static.xdf.cn/k12/image/externalized/eb3127fd-d796-43e6-8f50-08f02f70c716.png</x:v>
      </x:c>
      <x:c r="O1056" s="63" t="str">
        <x:v>https://k12static.xdf.cn/k12/image/externalized/c42ee552-0825-4248-8a04-b1269535627d.png</x:v>
      </x:c>
      <x:c r="P1056" s="63" t="str">
        <x:v>1-2步</x:v>
      </x:c>
      <x:c r="Q1056" s="63" t="str">
        <x:v>概念判断</x:v>
      </x:c>
      <x:c r="R1056" s="63" t="str">
        <x:v>单状态</x:v>
      </x:c>
      <x:c r="S1056" s="63" t="str">
        <x:v>无约束</x:v>
      </x:c>
      <x:c r="T1056" s="63" t="str">
        <x:v>无</x:v>
      </x:c>
      <x:c r="U1056" s="63" t="str">
        <x:v>无</x:v>
      </x:c>
      <x:c r="V1056" s="63" t="str">
        <x:v>直接套用</x:v>
      </x:c>
    </x:row>
    <x:row r="1057">
      <x:c r="A1057" s="64" t="str">
        <x:v>​3665219054764908544</x:v>
      </x:c>
      <x:c r="B1057" s="65" t="str">
        <x:v>中等题</x:v>
      </x:c>
      <x:c r="C1057" s="65" t="str">
        <x:v>中等题</x:v>
      </x:c>
      <x:c r="D1057" s="65" t="str">
        <x:v>中等题</x:v>
      </x:c>
      <x:c r="E1057" s="65" t="str">
        <x:v>逐题复核后保留GPT裁定</x:v>
      </x:c>
      <x:c r="F1057" s="65" t="str">
        <x:v>高</x:v>
      </x:c>
      <x:c r="G1057" s="65" t="str">
        <x:v>中等题</x:v>
      </x:c>
      <x:c r="H1057" s="65" t="str">
        <x:v>中等题</x:v>
      </x:c>
      <x:c r="I1057" s="65" t="str">
        <x:v>需要围绕电路状态、图线/参数与安全约束完成常规的3—4个有效决策，或完成一套完整标准实验/共享过程分析。关系仍显性、方法常规，没有决定性隐含转换、复杂边界筛选或多状态强耦合。</x:v>
      </x:c>
      <x:c r="J1057" s="65" t="str">
        <x:v>三次运行错题并集逐题复核</x:v>
      </x:c>
      <x:c r="K1057" s="63" t="str">
        <x:v>如图为某种手电筒的小灯泡，其前端相当于一个凸透镜，可以减小光的发散。灯丝S发出的两条光线经透镜折射的光路，可能正确的是（ ）</x:v>
      </x:c>
      <x:c r="L1057" s="63" t="str"/>
      <x:c r="M1057" s="63" t="str">
        <x:v>由凸透镜的三条特殊光线可知，平行于主光轴的光线经过凸透镜折射后过焦点，如图，若光线自右向左入射时，两条会聚的入射光线经凸透镜折射后应交于左焦点右侧，根据光路可逆，S位于左焦点和光心之间，故ABC错误，D正确。 故选D。</x:v>
      </x:c>
      <x:c r="N1057" s="63" t="str">
        <x:v>https://k12static.xdf.cn/k12/image/externalized/de9ea2fd-b794-4776-9d17-a9dbb4769647.png</x:v>
      </x:c>
      <x:c r="O1057" s="63" t="str">
        <x:v>https://k12static.xdf.cn/k12/image/externalized/28c04a65-2706-4cce-b911-fd0bb182bf6e.png</x:v>
      </x:c>
      <x:c r="P1057" s="63" t="str">
        <x:v>1-2步</x:v>
      </x:c>
      <x:c r="Q1057" s="63" t="str">
        <x:v>光学声学综合</x:v>
      </x:c>
      <x:c r="R1057" s="63" t="str">
        <x:v>单状态</x:v>
      </x:c>
      <x:c r="S1057" s="63" t="str">
        <x:v>无约束</x:v>
      </x:c>
      <x:c r="T1057" s="63" t="str">
        <x:v>无</x:v>
      </x:c>
      <x:c r="U1057" s="63" t="str">
        <x:v>无</x:v>
      </x:c>
      <x:c r="V1057" s="63" t="str">
        <x:v>简单因果推理</x:v>
      </x:c>
    </x:row>
    <x:row r="1058">
      <x:c r="A1058" s="64" t="str">
        <x:v>​3665219067361935360</x:v>
      </x:c>
      <x:c r="B1058" s="65" t="str">
        <x:v>中等题</x:v>
      </x:c>
      <x:c r="C1058" s="65" t="str">
        <x:v>中等题</x:v>
      </x:c>
      <x:c r="D1058" s="65" t="str">
        <x:v>中等题</x:v>
      </x:c>
      <x:c r="E1058" s="65" t="str">
        <x:v>逐题复核后保留GPT裁定</x:v>
      </x:c>
      <x:c r="F1058" s="65" t="str">
        <x:v>高</x:v>
      </x:c>
      <x:c r="G1058" s="65" t="str">
        <x:v>中等题</x:v>
      </x:c>
      <x:c r="H1058" s="65" t="str">
        <x:v>中等题</x:v>
      </x:c>
      <x:c r="I1058" s="65" t="str">
        <x:v>存在约3—4步常规连续分析、共享过程或完整标准实验任务，关系仍显性。 题目证据：最长连续链有3个有效物理决策：1.识别串联电路结构；2.从图像读取R₁随温度/湿度的变化规律；3.结合欧姆定律分析总电阻变化对电流的影响。五维中知识量2-3个关联知识点，过程为单状态但需要从图像提取规律，数学工具无复杂计算，情境为常规实验变式，思维层次属于多层因果推理，落在基础/中等区间，整体符合中等题的常规分析要求。</x:v>
      </x:c>
      <x:c r="J1058" s="65" t="str">
        <x:v>三次运行错题并集逐题复核</x:v>
      </x:c>
      <x:c r="K1058" s="63" t="str">
        <x:v>某同学在育苗棚中按图a连接电路，$R_{0}$是定值电阻，电阻$R_{1}$在不同温度下的阻值随湿度变化的曲线如图b。闭合开关，棚内环境（ ）</x:v>
      </x:c>
      <x:c r="L1058" s="63" t="str">
        <x:v>A. 温度不变、湿度增加时，电流表示数变大 B. 温度不变、湿度增加时，电流表示数变小 C. 湿度不变、温度升高时，电流表示数不变 D. 湿度不变、温度升高时，电流表示数变小</x:v>
      </x:c>
      <x:c r="M1058" s="63" t="str">
        <x:v>由图a可知，定值电阻$R_{0}$与可变电阻$R_{1}$串联，电流表测电路电流，电源电压$U$保持不变，根据欧姆定律，电路电流为： $I=\dfrac{U}{R_{总}}=\dfrac{U}{R_{0}+R_{1}}$ AB．温度不变时，由图b可知，湿度增加，$R_{1}$阻值减小。总电阻$R_{总}=R_{0}+R_{1}$减小，电源电压$U$不变，根据$I=\dfrac{U}{R_{总}}$，电流$I$变大，电流表示数变大，故A正确，B错误； CD．湿度不变时，由图b可知，温度升高，$R_{1}$阻值减小，总电阻减小，根据$I=\dfrac{U}{R_{总}}$，电流表示数变大，故CD错误。故选A。</x:v>
      </x:c>
      <x:c r="N1058" s="63" t="str">
        <x:v>https://k12static.xdf.cn/k12/image/externalized/300ee07f-a448-4a2c-9aae-f1653bd1b590.png</x:v>
      </x:c>
      <x:c r="O1058" s="63" t="str">
        <x:v>https://k12static.xdf.cn/k12/image/externalized/517551ea-c575-4253-bc9b-4ccc39c32de3.png</x:v>
      </x:c>
      <x:c r="P1058" s="63" t="str">
        <x:v>3-5步</x:v>
      </x:c>
      <x:c r="Q1058" s="63" t="str">
        <x:v>电路综合</x:v>
      </x:c>
      <x:c r="R1058" s="63" t="str">
        <x:v>单状态</x:v>
      </x:c>
      <x:c r="S1058" s="63" t="str">
        <x:v>无约束</x:v>
      </x:c>
      <x:c r="T1058" s="63" t="str">
        <x:v>无</x:v>
      </x:c>
      <x:c r="U1058" s="63" t="str">
        <x:v>直接读数</x:v>
      </x:c>
      <x:c r="V1058" s="63" t="str">
        <x:v>多层因果推理</x:v>
      </x:c>
    </x:row>
    <x:row r="1059">
      <x:c r="A1059" s="64" t="str">
        <x:v>​3665219082024722432</x:v>
      </x:c>
      <x:c r="B1059" s="65" t="str">
        <x:v>中等题</x:v>
      </x:c>
      <x:c r="C1059" s="65" t="str">
        <x:v>中等题</x:v>
      </x:c>
      <x:c r="D1059" s="65" t="str">
        <x:v>中等题</x:v>
      </x:c>
      <x:c r="E1059" s="65" t="str">
        <x:v>逐题复核后保留GPT裁定</x:v>
      </x:c>
      <x:c r="F1059" s="65" t="str">
        <x:v>高</x:v>
      </x:c>
      <x:c r="G1059" s="65" t="str">
        <x:v>中等题</x:v>
      </x:c>
      <x:c r="H1059" s="65" t="str">
        <x:v>中等题</x:v>
      </x:c>
      <x:c r="I1059" s="65" t="str">
        <x:v>存在约3—4步常规连续分析、共享过程或完整标准实验任务，关系仍显性。 题目证据：三个小问相互独立，最高难小问（小题2）实际有效推理为3步。五维锚定：知识量为电磁波谱、速度公式、液体压强三个不同模块知识点，过程对象均为单状态，数学工具为简单笔算，情境仅为现实包装不增加理解负担，思维层次为常规应用。最长连续链对应：由往返时间算总路程、除以二得单程距离、总距离减单程距离得到液面高度，共3个有效物理决策；各小问独立，无复杂模型依赖或耦合。</x:v>
      </x:c>
      <x:c r="J1059" s="65" t="str">
        <x:v>三次运行错题并集逐题复核</x:v>
      </x:c>
      <x:c r="K1059" s="63" t="str">
        <x:v>如图a是某储液罐内雷达料位器的工作简图。探头发射的电磁波，经液面反射后被探头接收。通过记录电磁波往返时间，监测罐内液体余量。</x:v>
      </x:c>
      <x:c r="L1059" s="63" t="str"/>
      <x:c r="M1059" s="63" t="str"/>
      <x:c r="N1059" s="63" t="str">
        <x:v>https://k12static.xdf.cn/k12/image/externalized/cd14160c-056f-4849-b8a7-579dd6a6473a.png</x:v>
      </x:c>
      <x:c r="O1059" s="63" t="str">
        <x:v>https://k12static.xdf.cn/k12/image/externalized/19007092-f625-420a-9cd7-8dbc29274fee.png</x:v>
      </x:c>
      <x:c r="P1059" s="63" t="str">
        <x:v>1-2步</x:v>
      </x:c>
      <x:c r="Q1059" s="63" t="str">
        <x:v>跨模块综合</x:v>
      </x:c>
      <x:c r="R1059" s="63" t="str">
        <x:v>单状态</x:v>
      </x:c>
      <x:c r="S1059" s="63" t="str">
        <x:v>无约束</x:v>
      </x:c>
      <x:c r="T1059" s="63" t="str">
        <x:v>无</x:v>
      </x:c>
      <x:c r="U1059" s="63" t="str">
        <x:v>直接读数</x:v>
      </x:c>
      <x:c r="V1059" s="63" t="str">
        <x:v>多层因果推理</x:v>
      </x:c>
    </x:row>
    <x:row r="1060">
      <x:c r="A1060" s="64" t="str">
        <x:v>​3665219116960403456</x:v>
      </x:c>
      <x:c r="B1060" s="65" t="str">
        <x:v>中等题</x:v>
      </x:c>
      <x:c r="C1060" s="65" t="str">
        <x:v>中等题</x:v>
      </x:c>
      <x:c r="D1060" s="65" t="str">
        <x:v>中等题</x:v>
      </x:c>
      <x:c r="E1060" s="65" t="str">
        <x:v>保留原GPT裁定</x:v>
      </x:c>
      <x:c r="F1060" s="65" t="str">
        <x:v>高</x:v>
      </x:c>
      <x:c r="G1060" s="65" t="str">
        <x:v>中等题</x:v>
      </x:c>
      <x:c r="H1060" s="65" t="str">
        <x:v>中等题</x:v>
      </x:c>
      <x:c r="I1060" s="65" t="str">
        <x:v>题干、解析与结构证据支持中等题：step=3-5步，题型=跨模块综合，状态=单状态，约束=单一约束，推理=多层因果推理。教师、盲评和多次模型证据中未形成足以推翻原裁定的同向结构证据。</x:v>
      </x:c>
      <x:c r="J1060" s="65" t="str">
        <x:v>未进入三次错题并集；逐题结构一致性复核</x:v>
      </x:c>
      <x:c r="K1060" s="63" t="str">
        <x:v>如图是带有电加热功能的太阳能热水器的结构简图。</x:v>
      </x:c>
      <x:c r="L1060" s="63" t="str"/>
      <x:c r="M1060" s="63" t="str"/>
      <x:c r="N1060" s="63" t="str">
        <x:v>https://k12static.xdf.cn/k12/image/externalized/ffdac73e-0793-4498-a3f5-4b31aeb013da.png</x:v>
      </x:c>
      <x:c r="O1060" s="63" t="str">
        <x:v>https://k12static.xdf.cn/k12/image/externalized/f803f914-59b9-4c93-ad05-461889053018.png</x:v>
      </x:c>
      <x:c r="P1060" s="63" t="str">
        <x:v>3-5步</x:v>
      </x:c>
      <x:c r="Q1060" s="63" t="str">
        <x:v>跨模块综合</x:v>
      </x:c>
      <x:c r="R1060" s="63" t="str">
        <x:v>单状态</x:v>
      </x:c>
      <x:c r="S1060" s="63" t="str">
        <x:v>单一约束</x:v>
      </x:c>
      <x:c r="T1060" s="63" t="str">
        <x:v>无</x:v>
      </x:c>
      <x:c r="U1060" s="63" t="str">
        <x:v>无</x:v>
      </x:c>
      <x:c r="V1060" s="63" t="str">
        <x:v>多层因果推理</x:v>
      </x:c>
    </x:row>
    <x:row r="1061">
      <x:c r="A1061" s="64" t="str">
        <x:v>​3668902653159612416</x:v>
      </x:c>
      <x:c r="B1061" s="65" t="str">
        <x:v>拔高题</x:v>
      </x:c>
      <x:c r="C1061" s="65" t="str">
        <x:v>拔高题</x:v>
      </x:c>
      <x:c r="D1061" s="65" t="str">
        <x:v>拔高题</x:v>
      </x:c>
      <x:c r="E1061" s="65" t="str">
        <x:v>逐题复核后保留GPT裁定</x:v>
      </x:c>
      <x:c r="F1061" s="65" t="str">
        <x:v>高</x:v>
      </x:c>
      <x:c r="G1061" s="65" t="str">
        <x:v>拔高题</x:v>
      </x:c>
      <x:c r="H1061" s="65" t="str">
        <x:v>拔高题</x:v>
      </x:c>
      <x:c r="I1061" s="65" t="str">
        <x:v>最高难任务在电路状态、图线/参数与安全约束中包含图线反推、状态转换、误差评价、几何/等效转换、方程联立或参数反求等决定性卡点，整体约5—6个有效决策；尚未形成压轴所需的完整复杂约束网络。</x:v>
      </x:c>
      <x:c r="J1061" s="65" t="str">
        <x:v>三次运行错题并集逐题复核</x:v>
      </x:c>
      <x:c r="K1061" s="63" t="str">
        <x:v>电梯为居民出入带来了很大的便利，出于安全考虑，电梯设置有超载响铃报警系统。如图1所示为电梯的报警系统工作原理图，已知控制电路电源电压为8V，定值电阻$R_{1}$的阻值为$100\Omega$，压敏电阻$R_{2}$的阻值随所受压力$F$的变化图像如图2所示。当控制电路中的电流为20mA时，衔铁刚好被吸下（此时控制电路中的电流称为吸合电流），工作电路电铃发出报警信号（电磁铁线圈电阻忽略不计）。</x:v>
      </x:c>
      <x:c r="L1061" s="63" t="str"/>
      <x:c r="M1061" s="63" t="str"/>
      <x:c r="N1061" s="63" t="str">
        <x:v>https://k12static.xdf.cn/k12/image/externalized/fc8d85ab-8496-4e57-bf9a-8f8b660f5460.png</x:v>
      </x:c>
      <x:c r="O1061" s="63" t="str">
        <x:v>https://k12static.xdf.cn/k12/image/externalized/2e6209fd-2f8d-4687-aa61-20be038c2c55.png</x:v>
      </x:c>
      <x:c r="P1061" s="63" t="str">
        <x:v>3-5步</x:v>
      </x:c>
      <x:c r="Q1061" s="63" t="str">
        <x:v>电路综合</x:v>
      </x:c>
      <x:c r="R1061" s="63" t="str">
        <x:v>双状态</x:v>
      </x:c>
      <x:c r="S1061" s="63" t="str">
        <x:v>单一约束</x:v>
      </x:c>
      <x:c r="T1061" s="63" t="str">
        <x:v>无</x:v>
      </x:c>
      <x:c r="U1061" s="63" t="str">
        <x:v>直接读数</x:v>
      </x:c>
      <x:c r="V1061" s="63" t="str">
        <x:v>多层因果推理</x:v>
      </x:c>
    </x:row>
    <x:row r="1062">
      <x:c r="A1062" s="64" t="str">
        <x:v>​3670042130840657920</x:v>
      </x:c>
      <x:c r="B1062" s="65" t="str">
        <x:v>中等题</x:v>
      </x:c>
      <x:c r="C1062" s="65" t="str">
        <x:v>中等题</x:v>
      </x:c>
      <x:c r="D1062" s="65" t="str">
        <x:v>中等题</x:v>
      </x:c>
      <x:c r="E1062" s="65" t="str">
        <x:v>保留原GPT裁定</x:v>
      </x:c>
      <x:c r="F1062" s="65" t="str">
        <x:v>高</x:v>
      </x:c>
      <x:c r="G1062" s="65" t="str">
        <x:v>中等题</x:v>
      </x:c>
      <x:c r="H1062" s="65" t="str">
        <x:v>中等题</x:v>
      </x:c>
      <x:c r="I1062" s="65" t="str">
        <x:v>题干、解析与结构证据支持中等题：step=3-5步，题型=力学综合，状态=双状态，约束=单一约束，推理=多层因果推理。教师、盲评和多次模型证据中未形成足以推翻原裁定的同向结构证据。</x:v>
      </x:c>
      <x:c r="J1062" s="65" t="str">
        <x:v>未进入三次错题并集；逐题结构一致性复核</x:v>
      </x:c>
      <x:c r="K1062" s="63" t="str">
        <x:v>如图所示，小海设计了一种测量物体重力的“浮力秤”：取一带有秤盘的小桶，其底面积为30 cm2，高为50 cm，另取一只大桶，大桶高度足够高且小桶可放入大桶内。向大桶里倒入适量的水，将带有秤盘的小桶轻轻放入大桶中，小桶漂浮在水面上，水面与小桶上10 cm刻度线齐平，在10 cm处标记0N；计算得出“浮力秤”能称量的最大重力，在50 cm刻度线处标注最大称量值，再将10 cm到50 cm之间等间距标注其它称量值，即完成了“浮力秤”的制作（g取10N/kg，$\rho _{\mathrm{水}}=1.0\times 10^{3}\,\mathrm{kg}/\mathrm{m}^{3}$）。求：</x:v>
      </x:c>
      <x:c r="L1062" s="63" t="str"/>
      <x:c r="M1062" s="63" t="str"/>
      <x:c r="N1062" s="63" t="str">
        <x:v>https://k12static.xdf.cn/k12/image/externalized/8aa45b88-06c7-4596-9ee7-ae0a2832792f.png</x:v>
      </x:c>
      <x:c r="O1062" s="63" t="str">
        <x:v>https://k12static.xdf.cn/k12/image/externalized/a1b7b40a-97e1-441a-b1cd-408104565cfa.png</x:v>
      </x:c>
      <x:c r="P1062" s="63" t="str">
        <x:v>3-5步</x:v>
      </x:c>
      <x:c r="Q1062" s="63" t="str">
        <x:v>力学综合</x:v>
      </x:c>
      <x:c r="R1062" s="63" t="str">
        <x:v>双状态</x:v>
      </x:c>
      <x:c r="S1062" s="63" t="str">
        <x:v>单一约束</x:v>
      </x:c>
      <x:c r="T1062" s="63" t="str">
        <x:v>无</x:v>
      </x:c>
      <x:c r="U1062" s="63" t="str">
        <x:v>无</x:v>
      </x:c>
      <x:c r="V1062" s="63" t="str">
        <x:v>多层因果推理</x:v>
      </x:c>
    </x:row>
    <x:row r="1063">
      <x:c r="A1063" s="64" t="str">
        <x:v>​3670212136582877184</x:v>
      </x:c>
      <x:c r="B1063" s="65" t="str">
        <x:v>压轴题</x:v>
      </x:c>
      <x:c r="C1063" s="65" t="str">
        <x:v>压轴题</x:v>
      </x:c>
      <x:c r="D1063" s="65" t="str">
        <x:v>压轴题</x:v>
      </x:c>
      <x:c r="E1063" s="65" t="str">
        <x:v>逐题复核后保留GPT裁定</x:v>
      </x:c>
      <x:c r="F1063" s="65" t="str">
        <x:v>高</x:v>
      </x:c>
      <x:c r="G1063" s="65" t="str">
        <x:v>压轴题</x:v>
      </x:c>
      <x:c r="H1063" s="65" t="str">
        <x:v>压轴题</x:v>
      </x:c>
      <x:c r="I1063" s="65" t="str">
        <x:v>题目把电路状态、图线/参数与安全约束组织成多对象、多状态、多约束的共享模型网络，后续任务依赖前述状态/参数，并要求分类、临界/边界、有效解筛选或可行性验证，属于7步以上的完整耦合链。</x:v>
      </x:c>
      <x:c r="J1063" s="65" t="str">
        <x:v>三次运行错题并集逐题复核</x:v>
      </x:c>
      <x:c r="K1063" s="63" t="str">
        <x:v>我国是少数能自主建造自航式半潜船的国家之一，半潜船可运输重型设备。如图甲所示，一个底面积为$40\mathrm{m}^{2}$，质量为$2\times 10^{6}\mathrm{kg}$的长方体密闭货箱放置在半潜船的甲板上，甲板位于水面下5m处。已知水的密度为$1.0\times 10^{3}\mathrm{kg}/\mathrm{m}^{3}$，g取10N/kg。</x:v>
      </x:c>
      <x:c r="L1063" s="63" t="str"/>
      <x:c r="M1063" s="63" t="str"/>
      <x:c r="N1063" s="63" t="str">
        <x:v>https://k12static.xdf.cn/k12/image/externalized/0cb04cfd-7ef7-45d8-9730-1a1ae9ddef6c.png</x:v>
      </x:c>
      <x:c r="O1063" s="63" t="str">
        <x:v>https://k12static.xdf.cn/k12/image/externalized/e575e415-e627-4627-a316-e3318a8f50e1.png</x:v>
      </x:c>
      <x:c r="P1063" s="63" t="str">
        <x:v>6-8步</x:v>
      </x:c>
      <x:c r="Q1063" s="63" t="str">
        <x:v>跨模块综合</x:v>
      </x:c>
      <x:c r="R1063" s="63" t="str">
        <x:v>连续变化或临界状态</x:v>
      </x:c>
      <x:c r="S1063" s="63" t="str">
        <x:v>单一约束</x:v>
      </x:c>
      <x:c r="T1063" s="63" t="str">
        <x:v>无</x:v>
      </x:c>
      <x:c r="U1063" s="63" t="str">
        <x:v>图像反推或外推</x:v>
      </x:c>
      <x:c r="V1063" s="63" t="str">
        <x:v>多层因果推理</x:v>
      </x:c>
    </x:row>
    <x:row r="1064">
      <x:c r="A1064" s="64" t="str">
        <x:v>​3673901887540535296</x:v>
      </x:c>
      <x:c r="B1064" s="65" t="str">
        <x:v>拔高题</x:v>
      </x:c>
      <x:c r="C1064" s="65" t="str">
        <x:v>拔高题</x:v>
      </x:c>
      <x:c r="D1064" s="65" t="str">
        <x:v>拔高题</x:v>
      </x:c>
      <x:c r="E1064" s="65" t="str">
        <x:v>保留原GPT裁定</x:v>
      </x:c>
      <x:c r="F1064" s="65" t="str">
        <x:v>高</x:v>
      </x:c>
      <x:c r="G1064" s="65" t="str">
        <x:v>拔高题</x:v>
      </x:c>
      <x:c r="H1064" s="65" t="str">
        <x:v>拔高题</x:v>
      </x:c>
      <x:c r="I1064" s="65" t="str">
        <x:v>题干、解析与结构证据支持拔高题：step=6-8步，题型=力学综合，状态=多状态，约束=单一约束，推理=多层因果推理。教师、盲评和多次模型证据中未形成足以推翻原裁定的同向结构证据。</x:v>
      </x:c>
      <x:c r="J1064" s="65" t="str">
        <x:v>未进入三次错题并集；逐题结构一致性复核</x:v>
      </x:c>
      <x:c r="K1064" s="63" t="str">
        <x:v>小明找了一个底面积$200\mathrm{cm}^{2}$的水槽并加入适量的水，在水槽中放入一个重为4 N，底面积为$100\mathrm{cm}^{2}$的烧杯，烧杯漂浮在水槽中，如图甲所示。他又在烧杯内放入25个小球，使烧杯底部恰好接触水槽底部，此时烧杯与水槽底部之间无压力，水槽中水的深度为14 cm，如图乙所示。（水的密度为$1.0\times 10^{3}\mathrm{kg}/\mathrm{m}^{3}$）求：</x:v>
      </x:c>
      <x:c r="L1064" s="63" t="str"/>
      <x:c r="M1064" s="63" t="str"/>
      <x:c r="N1064" s="63" t="str">
        <x:v>https://k12static.xdf.cn/k12/image/externalized/28427c22-5846-4d05-b2a0-f9eebad23fb2.png</x:v>
      </x:c>
      <x:c r="O1064" s="63" t="str">
        <x:v>https://k12static.xdf.cn/k12/image/externalized/857060e4-adf1-4c5d-bf7a-5eb41416b8e9.png</x:v>
      </x:c>
      <x:c r="P1064" s="63" t="str">
        <x:v>6-8步</x:v>
      </x:c>
      <x:c r="Q1064" s="63" t="str">
        <x:v>力学综合</x:v>
      </x:c>
      <x:c r="R1064" s="63" t="str">
        <x:v>多状态</x:v>
      </x:c>
      <x:c r="S1064" s="63" t="str">
        <x:v>单一约束</x:v>
      </x:c>
      <x:c r="T1064" s="63" t="str">
        <x:v>无</x:v>
      </x:c>
      <x:c r="U1064" s="63" t="str">
        <x:v>无</x:v>
      </x:c>
      <x:c r="V1064" s="63" t="str">
        <x:v>多层因果推理</x:v>
      </x:c>
    </x:row>
    <x:row r="1065">
      <x:c r="A1065" s="64" t="str">
        <x:v>​3675924807436034048</x:v>
      </x:c>
      <x:c r="B1065" s="65" t="str">
        <x:v>压轴题</x:v>
      </x:c>
      <x:c r="C1065" s="65" t="str">
        <x:v>压轴题</x:v>
      </x:c>
      <x:c r="D1065" s="65" t="str">
        <x:v>压轴题</x:v>
      </x:c>
      <x:c r="E1065" s="65" t="str">
        <x:v>保留原GPT裁定</x:v>
      </x:c>
      <x:c r="F1065" s="65" t="str">
        <x:v>高</x:v>
      </x:c>
      <x:c r="G1065" s="65" t="str">
        <x:v>压轴题</x:v>
      </x:c>
      <x:c r="H1065" s="65" t="str">
        <x:v>压轴题</x:v>
      </x:c>
      <x:c r="I1065" s="65" t="str">
        <x:v>题干、解析与结构证据支持压轴题：step=9-12步，题型=力学综合，状态=多状态，约束=多约束，推理=逆向推理或临界分析。教师、盲评和多次模型证据中未形成足以推翻原裁定的同向结构证据。</x:v>
      </x:c>
      <x:c r="J1065" s="65" t="str">
        <x:v>未进入三次错题并集；逐题结构一致性复核</x:v>
      </x:c>
      <x:c r="K1065" s="63" t="str">
        <x:v>小郡在实验室模拟浮箱种植情境，他将底面积为$400\mathrm{cm}^{2}$、足够高的柱形容器置于水平桌面上，A是棱长为$10\mathrm{cm}$的正方体浮箱模型，通过长为$4\mathrm{cm}$的细线连接着底面积为$25\mathrm{cm}^{2}$的柱形物体B（B与容器底部未紧密黏合），细线的最大拉力$1.5\mathrm{N}$。先将A、B两物体叠放在容器中央，然后缓慢向容器中注水，注水过程中A、B一直保持竖直状态。当水的深度为$12\mathrm{cm}$时，细线处于自由状态，如图甲所示，此时容器底对物体B的支持力为$1.7\mathrm{N}$；继续向容器中注水，正方体A所受浮力$F$与水的深度$h$的关系如图乙所示。（细线不可伸长，且质量、体积不计）。$\rho _{\mathrm{水}}=1.0\times 10^{3}\mathrm{kg}/\mathrm{m}^{3}$，$g$取$10\mathrm{N}/\mathrm{kg}$。求：</x:v>
      </x:c>
      <x:c r="L1065" s="63" t="str"/>
      <x:c r="M1065" s="63" t="str"/>
      <x:c r="N1065" s="63" t="str">
        <x:v>https://k12static.xdf.cn/k12/image/externalized/b888356b-020b-4afb-88f2-267f544cd1bf.png</x:v>
      </x:c>
      <x:c r="O1065" s="63" t="str">
        <x:v>https://k12static.xdf.cn/k12/image/externalized/45a2e8e8-bf3b-4cbf-bf02-6185f52e2013.png</x:v>
      </x:c>
      <x:c r="P1065" s="63" t="str">
        <x:v>9-12步</x:v>
      </x:c>
      <x:c r="Q1065" s="63" t="str">
        <x:v>力学综合</x:v>
      </x:c>
      <x:c r="R1065" s="63" t="str">
        <x:v>多状态</x:v>
      </x:c>
      <x:c r="S1065" s="63" t="str">
        <x:v>多约束</x:v>
      </x:c>
      <x:c r="T1065" s="63" t="str">
        <x:v>无</x:v>
      </x:c>
      <x:c r="U1065" s="63" t="str">
        <x:v>图像反推或外推</x:v>
      </x:c>
      <x:c r="V1065" s="63" t="str">
        <x:v>逆向推理或临界分析</x:v>
      </x:c>
    </x:row>
    <x:row r="1066">
      <x:c r="A1066" s="64" t="str">
        <x:v>​3676898426779443200</x:v>
      </x:c>
      <x:c r="B1066" s="65" t="str">
        <x:v>中等题</x:v>
      </x:c>
      <x:c r="C1066" s="65" t="str">
        <x:v>中等题</x:v>
      </x:c>
      <x:c r="D1066" s="65" t="str">
        <x:v>中等题</x:v>
      </x:c>
      <x:c r="E1066" s="65" t="str">
        <x:v>保留原GPT裁定</x:v>
      </x:c>
      <x:c r="F1066" s="65" t="str">
        <x:v>高</x:v>
      </x:c>
      <x:c r="G1066" s="65" t="str">
        <x:v>中等题</x:v>
      </x:c>
      <x:c r="H1066" s="65" t="str">
        <x:v>中等题</x:v>
      </x:c>
      <x:c r="I1066" s="65" t="str">
        <x:v>题干、解析与结构证据支持中等题：step=3-5步，题型=力学综合，状态=双状态，约束=单一约束，推理=多层因果推理。教师、盲评和多次模型证据中未形成足以推翻原裁定的同向结构证据。</x:v>
      </x:c>
      <x:c r="J1066" s="65" t="str">
        <x:v>未进入三次错题并集；逐题结构一致性复核</x:v>
      </x:c>
      <x:c r="K1066" s="63" t="str">
        <x:v>如图甲，一个底面积为100 cm2的柱形物块，被一根体积不计的细线系住，固定在底面积为200 cm2的柱形容器底部，向容器中加水。如图乙，随着水深增加，物块开始上浮并处于漂浮状态，此时物块底部浸入水中的深度为6 cm。当水继续增加，细线被拉直，物块静止，当水面刚好与物块的上表面相平时，停止加水，如图丙所示。此时物块底部浸入水中的深度为10 cm。（水的密度为1×103 kg/m3，g取10 N/kg），求：</x:v>
      </x:c>
      <x:c r="L1066" s="63" t="str"/>
      <x:c r="M1066" s="63" t="str"/>
      <x:c r="N1066" s="63" t="str">
        <x:v>https://k12static.xdf.cn/k12/image/externalized/4c3a6ec7-8929-4cc9-aa79-5d91a00efa44.png</x:v>
      </x:c>
      <x:c r="O1066" s="63" t="str">
        <x:v>https://k12static.xdf.cn/k12/image/externalized/40c42870-7487-439e-be82-82f2864917ed.png</x:v>
      </x:c>
      <x:c r="P1066" s="63" t="str">
        <x:v>3-5步</x:v>
      </x:c>
      <x:c r="Q1066" s="63" t="str">
        <x:v>力学综合</x:v>
      </x:c>
      <x:c r="R1066" s="63" t="str">
        <x:v>双状态</x:v>
      </x:c>
      <x:c r="S1066" s="63" t="str">
        <x:v>单一约束</x:v>
      </x:c>
      <x:c r="T1066" s="63" t="str">
        <x:v>无</x:v>
      </x:c>
      <x:c r="U1066" s="63" t="str">
        <x:v>无</x:v>
      </x:c>
      <x:c r="V1066" s="63" t="str">
        <x:v>多层因果推理</x:v>
      </x:c>
    </x:row>
    <x:row r="1067">
      <x:c r="A1067" s="64" t="str">
        <x:v>​3678642562398265344</x:v>
      </x:c>
      <x:c r="B1067" s="65" t="str">
        <x:v>拔高题</x:v>
      </x:c>
      <x:c r="C1067" s="65" t="str">
        <x:v>拔高题</x:v>
      </x:c>
      <x:c r="D1067" s="65" t="str">
        <x:v>拔高题</x:v>
      </x:c>
      <x:c r="E1067" s="65" t="str">
        <x:v>保留原GPT裁定</x:v>
      </x:c>
      <x:c r="F1067" s="65" t="str">
        <x:v>高</x:v>
      </x:c>
      <x:c r="G1067" s="65" t="str">
        <x:v>拔高题</x:v>
      </x:c>
      <x:c r="H1067" s="65" t="str">
        <x:v>拔高题</x:v>
      </x:c>
      <x:c r="I1067" s="65" t="str">
        <x:v>题干、解析与结构证据支持拔高题：step=3-5步，题型=力学综合，状态=双状态，约束=单一约束，推理=多层因果推理。教师、盲评和多次模型证据中未形成足以推翻原裁定的同向结构证据。</x:v>
      </x:c>
      <x:c r="J1067" s="65" t="str">
        <x:v>未进入三次错题并集；逐题结构一致性复核</x:v>
      </x:c>
      <x:c r="K1067" s="63" t="str">
        <x:v>在底面积为20$\mathrm{cm}^{2}$的圆柱形容器中装适量的水，用细线悬挂物体A，当它有一半体积浸入水中静止时，电子秤的示数为70g，如图甲所示。当把细线剪断，物体A全部浸入水中且沉于容器底部时，电子秤的示数为150g，如图乙所示。若前、后两次容器内水未溢出，且液面上升了2cm。已知$\rho _{\mathrm{水}}=1\times 10^{3}\mathrm{kg}/\mathrm{m}^{3}$，g取10N/kg。下列说法正确的是（ ）</x:v>
      </x:c>
      <x:c r="L1067" s="63" t="str">
        <x:v>A. 物体A的体积为80$\mathrm{cm}^{3}$ B. 前、后两次容器底部所受水的压强增加了20Pa C. 物体A全部浸入水中时受到的浮力为0.8N D. 物体A沉在容器底部时对容器底的压力为0.4N</x:v>
      </x:c>
      <x:c r="M1067" s="63" t="str">
        <x:v>A．物体A从一半浸入到全部浸入，排开水的体积增加量 $\Delta V_{\mathrm{排}}=S\Delta h=20\mathrm{cm}^{2}\times 2\mathrm{cm}=40\mathrm{cm}^{3}$因为 $\Delta V_{\mathrm{排}}=\dfrac{1}{2}V_{\mathrm{A}}$，所以 $V_{\mathrm{A}}=2\Delta V_{\mathrm{排}}=2\times 40\mathrm{cm}^{3}=80\mathrm{cm}^{3}$，故A正确。B．容器底部所受水的压强增加量 $\Delta p=\rho _{\mathrm{水}}g\Delta h=1\times 10^{3}\mathrm{kg}/\mathrm{m}^{3}\times 10\mathrm{N}/\mathrm{kg}\times 0.02\mathrm{m}=200\mathrm{Pa}$，故B错误。C．物体A全部浸入水中时受到的浮力 $F_{\mathrm{浮}}=\rho _{\mathrm{水}}gV_{\mathrm{A}}=1\times 10^{3}\mathrm{kg}/\mathrm{m}^{3}\times 10\mathrm{N}/\mathrm{kg}\times 80\times 10^{-6}\mathrm{m}^{3}=0.8\mathrm{N}$，故C正确。D．甲图中物体A受到的浮力 $F_{\text{浮1}} = \dfrac{1}{2} F_{\text{浮}} = 0.4\text{N}$电子秤示数对应的压力 $F_1 = m_1 g = 0.07\text{kg} \times 10\text{N/kg} = 0.7\text{N}$容器和水的总重力 $G_{\text{容+水}} = F_1 - F_{\text{浮1}} = 0.7\text{N} - 0.4\text{N} = 0.3\text{N}$乙图中电子秤示数对应的压力 $F_2 = m_2 g = 0.15\text{kg} \times 10\text{N/kg} = 1.5\text{N}$物体A的重力 $G_A = F_2 - G_{\text{容+水}} = 1.5\text{N} - 0.3\text{N} = 1.2\text{N}$物体A沉底时对容器底的压力 $F_{\text{压}} = G_A - F_{\text{浮}} = 1.2\text{N} - 0.8\text{N} = 0.4\text{N}$，故D正确。故选ACD。</x:v>
      </x:c>
      <x:c r="N1067" s="63" t="str">
        <x:v>https://k12static.xdf.cn/k12/image/externalized/1fd1d22b-ffc6-476a-bbfb-6651edcf25dc.png</x:v>
      </x:c>
      <x:c r="O1067" s="63" t="str">
        <x:v>https://k12static.xdf.cn/k12/image/externalized/a99d8a34-ddf7-4c4e-959b-de38b73d30cd.png</x:v>
      </x:c>
      <x:c r="P1067" s="63" t="str">
        <x:v>3-5步</x:v>
      </x:c>
      <x:c r="Q1067" s="63" t="str">
        <x:v>力学综合</x:v>
      </x:c>
      <x:c r="R1067" s="63" t="str">
        <x:v>双状态</x:v>
      </x:c>
      <x:c r="S1067" s="63" t="str">
        <x:v>单一约束</x:v>
      </x:c>
      <x:c r="T1067" s="63" t="str">
        <x:v>无</x:v>
      </x:c>
      <x:c r="U1067" s="63" t="str">
        <x:v>无</x:v>
      </x:c>
      <x:c r="V1067" s="63" t="str">
        <x:v>多层因果推理</x:v>
      </x:c>
    </x:row>
    <x:row r="1068">
      <x:c r="A1068" s="64" t="str">
        <x:v>​3678677694189154304</x:v>
      </x:c>
      <x:c r="B1068" s="65" t="str">
        <x:v>压轴题</x:v>
      </x:c>
      <x:c r="C1068" s="65" t="str">
        <x:v>压轴题</x:v>
      </x:c>
      <x:c r="D1068" s="65" t="str">
        <x:v>压轴题</x:v>
      </x:c>
      <x:c r="E1068" s="65" t="str">
        <x:v>保留原GPT裁定</x:v>
      </x:c>
      <x:c r="F1068" s="65" t="str">
        <x:v>高</x:v>
      </x:c>
      <x:c r="G1068" s="65" t="str">
        <x:v>压轴题</x:v>
      </x:c>
      <x:c r="H1068" s="65" t="str">
        <x:v>压轴题</x:v>
      </x:c>
      <x:c r="I1068" s="65" t="str">
        <x:v>题干、解析与结构证据支持压轴题：step=9-12步，题型=力学综合，状态=多状态，约束=多约束，推理=逆向推理或临界分析。教师、盲评和多次模型证据中未形成足以推翻原裁定的同向结构证据。</x:v>
      </x:c>
      <x:c r="J1068" s="65" t="str">
        <x:v>未进入三次错题并集；逐题结构一致性复核</x:v>
      </x:c>
      <x:c r="K1068" s="63" t="str">
        <x:v>如图甲所示，薄壁柱形容器放在水平面上，小明向容器内放入一底面积200 cm2、高40 cm的柱形木块A，现向容器内缓慢注水直到水面与容器顶部齐平，木块A始终保持竖直，水深与注水质量的关系如图乙所示，已知$\rho _{\mathrm{水}}=1.0\times 10^{3}\,\mathrm{kg}/\mathrm{m}^{3}$，g取10 N/kg。求：</x:v>
      </x:c>
      <x:c r="L1068" s="63" t="str"/>
      <x:c r="M1068" s="63" t="str"/>
      <x:c r="N1068" s="63" t="str">
        <x:v>https://k12static.xdf.cn/k12/image/externalized/8370f3ff-b62d-4e43-8839-fbffed465c2c.png</x:v>
      </x:c>
      <x:c r="O1068" s="63" t="str">
        <x:v>https://k12static.xdf.cn/k12/image/externalized/8cb6cea3-5a92-416c-b9c0-b272e7866096.png</x:v>
      </x:c>
      <x:c r="P1068" s="63" t="str">
        <x:v>9-12步</x:v>
      </x:c>
      <x:c r="Q1068" s="63" t="str">
        <x:v>力学综合</x:v>
      </x:c>
      <x:c r="R1068" s="63" t="str">
        <x:v>多状态</x:v>
      </x:c>
      <x:c r="S1068" s="63" t="str">
        <x:v>多约束</x:v>
      </x:c>
      <x:c r="T1068" s="63" t="str">
        <x:v>无</x:v>
      </x:c>
      <x:c r="U1068" s="63" t="str">
        <x:v>图像反推或外推</x:v>
      </x:c>
      <x:c r="V1068" s="63" t="str">
        <x:v>逆向推理或临界分析</x:v>
      </x:c>
    </x:row>
  </x:sheetData>
  <x:mergeCells>
    <x:mergeCell ref="A1:V1"/>
  </x:mergeCells>
  <x:conditionalFormatting sqref="I3:I1068">
    <x:cfRule type="containsText" dxfId="0" priority="1" operator="containsText" text="修订GPT主标签"/>
    <x:cfRule type="containsText" dxfId="1" priority="2" operator="containsText" text="边界"/>
  </x:conditionalFormatting>
  <x:pageMargins left="0.7" right="0.7" top="0.75" bottom="0.75" header="0.3" footer="0.3"/>
  <x:tableParts count="1">
    <x:tablePart xmlns:r="http://schemas.openxmlformats.org/officeDocument/2006/relationships" r:id="R6c0dd443ee124fd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2" hidden="0" customWidth="1"/>
    <x:col min="2" max="2" width="12" hidden="0" customWidth="1"/>
    <x:col min="3" max="3" width="12" hidden="0" customWidth="1"/>
    <x:col min="4" max="4" width="19" hidden="0" customWidth="1"/>
    <x:col min="5" max="5" width="22" hidden="0" customWidth="1"/>
    <x:col min="6" max="6" width="12" hidden="0" customWidth="1"/>
    <x:col min="7" max="7" width="12" hidden="0" customWidth="1"/>
    <x:col min="8" max="8" width="12" hidden="0" customWidth="1"/>
    <x:col min="9" max="9" width="55" hidden="0" customWidth="1"/>
    <x:col min="10" max="10" width="30" hidden="0" customWidth="1"/>
    <x:col min="11" max="11" width="70" hidden="0" customWidth="1"/>
    <x:col min="12" max="12" width="42" hidden="0" customWidth="1"/>
    <x:col min="13" max="13" width="72" hidden="0" customWidth="1"/>
    <x:col min="14" max="14" width="36" hidden="0" customWidth="1"/>
    <x:col min="15" max="15" width="36" hidden="0" customWidth="1"/>
    <x:col min="16" max="16" width="12" hidden="0" customWidth="1"/>
    <x:col min="17" max="17" width="14" hidden="0" customWidth="1"/>
    <x:col min="18" max="18" width="12" hidden="0" customWidth="1"/>
    <x:col min="19" max="19" width="12" hidden="0" customWidth="1"/>
    <x:col min="20" max="20" width="14" hidden="0" customWidth="1"/>
    <x:col min="21" max="21" width="14" hidden="0" customWidth="1"/>
    <x:col min="22" max="22" width="16" hidden="0" customWidth="1"/>
    <x:col min="23" max="23" width="14" hidden="0" customWidth="1"/>
  </x:cols>
  <x:sheetData>
    <x:row r="1" ht="34" customHeight="1">
      <x:c r="A1" s="3" t="str">
        <x:v>20道明确主标签修改</x:v>
      </x:c>
      <x:c r="B1" s="3" t="str">
        <x:v>20道明确主标签修改</x:v>
      </x:c>
      <x:c r="C1" s="3" t="str">
        <x:v>20道明确主标签修改</x:v>
      </x:c>
      <x:c r="D1" s="3" t="str">
        <x:v>20道明确主标签修改</x:v>
      </x:c>
      <x:c r="E1" s="3" t="str">
        <x:v>20道明确主标签修改</x:v>
      </x:c>
      <x:c r="F1" s="3" t="str">
        <x:v>20道明确主标签修改</x:v>
      </x:c>
      <x:c r="G1" s="3" t="str">
        <x:v>20道明确主标签修改</x:v>
      </x:c>
      <x:c r="H1" s="3" t="str">
        <x:v>20道明确主标签修改</x:v>
      </x:c>
      <x:c r="I1" s="3" t="str">
        <x:v>20道明确主标签修改</x:v>
      </x:c>
      <x:c r="J1" s="3" t="str">
        <x:v>20道明确主标签修改</x:v>
      </x:c>
      <x:c r="K1" s="3" t="str">
        <x:v>20道明确主标签修改</x:v>
      </x:c>
      <x:c r="L1" s="3" t="str">
        <x:v>20道明确主标签修改</x:v>
      </x:c>
      <x:c r="M1" s="3" t="str">
        <x:v>20道明确主标签修改</x:v>
      </x:c>
      <x:c r="N1" s="3" t="str">
        <x:v>20道明确主标签修改</x:v>
      </x:c>
      <x:c r="O1" s="3" t="str">
        <x:v>20道明确主标签修改</x:v>
      </x:c>
      <x:c r="P1" s="3" t="str">
        <x:v>20道明确主标签修改</x:v>
      </x:c>
      <x:c r="Q1" s="3" t="str">
        <x:v>20道明确主标签修改</x:v>
      </x:c>
      <x:c r="R1" s="3" t="str">
        <x:v>20道明确主标签修改</x:v>
      </x:c>
      <x:c r="S1" s="3" t="str">
        <x:v>20道明确主标签修改</x:v>
      </x:c>
      <x:c r="T1" s="3" t="str">
        <x:v>20道明确主标签修改</x:v>
      </x:c>
      <x:c r="U1" s="3" t="str">
        <x:v>20道明确主标签修改</x:v>
      </x:c>
      <x:c r="V1" s="3" t="str">
        <x:v>20道明确主标签修改</x:v>
      </x:c>
    </x:row>
    <x:row r="2" ht="28" customHeight="1">
      <x:c r="A2" s="59" t="str">
        <x:v>题目ID</x:v>
      </x:c>
      <x:c r="B2" s="60" t="str">
        <x:v>原GPT裁定档</x:v>
      </x:c>
      <x:c r="C2" s="60" t="str">
        <x:v>修订后主标签</x:v>
      </x:c>
      <x:c r="D2" s="60" t="str">
        <x:v>可接受等级</x:v>
      </x:c>
      <x:c r="E2" s="60" t="str">
        <x:v>复核状态</x:v>
      </x:c>
      <x:c r="F2" s="60" t="str">
        <x:v>修订后置信度</x:v>
      </x:c>
      <x:c r="G2" s="60" t="str">
        <x:v>教师标准档</x:v>
      </x:c>
      <x:c r="H2" s="60" t="str">
        <x:v>初次盲评档</x:v>
      </x:c>
      <x:c r="I2" s="60" t="str">
        <x:v>复核依据</x:v>
      </x:c>
      <x:c r="J2" s="60" t="str">
        <x:v>复核证据来源</x:v>
      </x:c>
      <x:c r="K2" s="60" t="str">
        <x:v>题干</x:v>
      </x:c>
      <x:c r="L2" s="60" t="str">
        <x:v>选项</x:v>
      </x:c>
      <x:c r="M2" s="60" t="str">
        <x:v>官方解析</x:v>
      </x:c>
      <x:c r="N2" s="60" t="str">
        <x:v>题目图片URL</x:v>
      </x:c>
      <x:c r="O2" s="60" t="str">
        <x:v>解析图片URL</x:v>
      </x:c>
      <x:c r="P2" s="60" t="str">
        <x:v>结构_步骤</x:v>
      </x:c>
      <x:c r="Q2" s="60" t="str">
        <x:v>结构_题型</x:v>
      </x:c>
      <x:c r="R2" s="60" t="str">
        <x:v>结构_状态</x:v>
      </x:c>
      <x:c r="S2" s="60" t="str">
        <x:v>结构_约束</x:v>
      </x:c>
      <x:c r="T2" s="60" t="str">
        <x:v>结构_实验</x:v>
      </x:c>
      <x:c r="U2" s="60" t="str">
        <x:v>结构_图表</x:v>
      </x:c>
      <x:c r="V2" s="61" t="str">
        <x:v>结构_推理</x:v>
      </x:c>
    </x:row>
    <x:row r="3">
      <x:c r="A3" s="64" t="str">
        <x:v>​2355737047499063296</x:v>
      </x:c>
      <x:c r="B3" s="65" t="str">
        <x:v>拔高题</x:v>
      </x:c>
      <x:c r="C3" s="65" t="str">
        <x:v>中等题</x:v>
      </x:c>
      <x:c r="D3" s="65" t="str">
        <x:v>中等题|拔高题</x:v>
      </x:c>
      <x:c r="E3" s="65" t="str">
        <x:v>修订GPT主标签</x:v>
      </x:c>
      <x:c r="F3" s="65" t="str">
        <x:v>高</x:v>
      </x:c>
      <x:c r="G3" s="65" t="str">
        <x:v>拔高题</x:v>
      </x:c>
      <x:c r="H3" s="65" t="str">
        <x:v>拔高题</x:v>
      </x:c>
      <x:c r="I3" s="65" t="str">
        <x:v>需要围绕标准实验流程、读数与数据归纳完成常规的3—4个有效决策，或完成一套完整标准实验/共享过程分析。关系仍显性、方法常规，没有决定性隐含转换、复杂边界筛选或多状态强耦合。</x:v>
      </x:c>
      <x:c r="J3" s="65" t="str">
        <x:v>三次运行错题并集逐题复核</x:v>
      </x:c>
      <x:c r="K3" s="63" t="str">
        <x:v>某同学在做萘的熔解[熔化]实验时，根据记录的数据，画出了如图所示的曲线。如果记录和作图没有错误，则以下判断中错误的是（ ）</x:v>
      </x:c>
      <x:c r="L3" s="63" t="str">
        <x:v>A. 在t1时刻刚停止加热，t2时刻又开始加热 B. 在t=0的时刻显示的温度就是萘的熔点 C. 在0～t1的时间内含有萘的放热过程 D. 在t1～t2的时间内萘在不断地放出热量</x:v>
      </x:c>
      <x:c r="M3" s="63" t="str">
        <x:v>解：A、这个图显示的应该是萘从固液混合态慢慢冷却之后又加热的过程。所以“在t1时刻刚停止加热，t2时刻又开始加热”的前半句是错误的。 B、0到t1是萘正在结晶的过程，这个过程中液态的萘不断变成固态的萘，但因为是晶体而不会有温度变化，但凝固过程肯定是放热的，当然是不需要加热的。所以“在t=0的时刻显示的温度就是萘的熔点”； C、“在0～t1的时间内含有萘的放热过程”是正确的； D、t1到t2的时间段里，萘已经全部是固体了，但由于温度还比常温高，所以仍在放热冷却，所以“在t1～t2的时间内萘在不断地放出热量”正确。 故选：A。</x:v>
      </x:c>
      <x:c r="N3" s="63" t="str">
        <x:v>https://k12static.xdf.cn/k12/image/externalized/18da4178-ba49-4f46-b936-8fac5dc06c14.png</x:v>
      </x:c>
      <x:c r="O3" s="63" t="str">
        <x:v>https://k12static.xdf.cn/k12/image/externalized/88a2e8c7-64af-4759-b5c7-4b9f314f4dfd.png</x:v>
      </x:c>
      <x:c r="P3" s="63" t="str">
        <x:v>3-5步</x:v>
      </x:c>
      <x:c r="Q3" s="63" t="str">
        <x:v>概念判断</x:v>
      </x:c>
      <x:c r="R3" s="63" t="str">
        <x:v>双状态</x:v>
      </x:c>
      <x:c r="S3" s="63" t="str">
        <x:v>无约束</x:v>
      </x:c>
      <x:c r="T3" s="63" t="str">
        <x:v>无</x:v>
      </x:c>
      <x:c r="U3" s="63" t="str">
        <x:v>多组比较归纳</x:v>
      </x:c>
      <x:c r="V3" s="63" t="str">
        <x:v>多层因果推理</x:v>
      </x:c>
    </x:row>
    <x:row r="4">
      <x:c r="A4" s="64" t="str">
        <x:v>​2359091761527738368</x:v>
      </x:c>
      <x:c r="B4" s="65" t="str">
        <x:v>拔高题</x:v>
      </x:c>
      <x:c r="C4" s="65" t="str">
        <x:v>中等题</x:v>
      </x:c>
      <x:c r="D4" s="65" t="str">
        <x:v>中等题|拔高题</x:v>
      </x:c>
      <x:c r="E4" s="65" t="str">
        <x:v>修订GPT主标签</x:v>
      </x:c>
      <x:c r="F4" s="65" t="str">
        <x:v>高</x:v>
      </x:c>
      <x:c r="G4" s="65" t="str">
        <x:v>拔高题</x:v>
      </x:c>
      <x:c r="H4" s="65" t="str">
        <x:v>拔高题</x:v>
      </x:c>
      <x:c r="I4" s="65" t="str">
        <x:v>需要围绕力学模型、运动/受力与能量关系完成常规的3—4个有效决策，或完成一套完整标准实验/共享过程分析。关系仍显性、方法常规，没有决定性隐含转换、复杂边界筛选或多状态强耦合。</x:v>
      </x:c>
      <x:c r="J4" s="65" t="str">
        <x:v>三次运行错题并集逐题复核</x:v>
      </x:c>
      <x:c r="K4" s="63" t="str">
        <x:v>随着人们生活水平的日益提高，小汽车越来越多地走进了百姓人家。一辆使用汽油为燃料的小汽车，以72km/h的速度在水平路面上匀速行驶时，发动机的实际功率为20kW；若小汽车行驶的路程为108km,汽油的热值q=4.6×107J/kg,小汽车发动机的效率为25%。则关于小汽车在这段路程中，下列说法正确的是（ ）</x:v>
      </x:c>
      <x:c r="L4" s="63" t="str">
        <x:v>A. 运动的时间为1.2h B. 发动机所做的功为1.08×108J C. 汽车所受的阻力为1000N D. 消耗汽油的质量为5kg</x:v>
      </x:c>
      <x:c r="M4" s="63" t="str">
        <x:v>解：A、运动的时间t=$\frac{s}{v}$=$\frac{108km}{72km/h}$=1.5h,故A错误。 B、发动机所做的功W有=Pt=20×103W×1.5×3600s=1.08×108J，故B正确。 C、汽车的牵引力F=$\frac{P}{v}$=$\frac{20×10^{3}W}{20\;m/s}$=103N，因为汽车的功率是20kW，汽车做匀速运动，所以阻力等于牵引力，为1000N，故C正确。 D、汽油燃烧放出的热量Q=$\frac{{W}_{有}}{η}$=$\frac{1.08×1{0}^{8}J}{0.25}$=4.32×108J，消耗汽油的质量m=$\frac{Q}{q}$=$\frac{4.32×1{0}^{8}J}{4.6×1{0}^{7}J}$≈9.4kg,故D错误。 故选：BC。</x:v>
      </x:c>
      <x:c r="N4" s="63" t="str">
        <x:v>https://k12static.xdf.cn/k12/image/externalized/57f7fa94-b4e4-4119-b2ad-0898401cd827.png</x:v>
      </x:c>
      <x:c r="O4" s="63" t="str">
        <x:v>https://k12static.xdf.cn/k12/image/externalized/82475d13-8dee-4fd0-a6d9-6407742074fc.png</x:v>
      </x:c>
      <x:c r="P4" s="63" t="str">
        <x:v>3-5步</x:v>
      </x:c>
      <x:c r="Q4" s="63" t="str">
        <x:v>热学综合</x:v>
      </x:c>
      <x:c r="R4" s="63" t="str">
        <x:v>单状态</x:v>
      </x:c>
      <x:c r="S4" s="63" t="str">
        <x:v>无约束</x:v>
      </x:c>
      <x:c r="T4" s="63" t="str">
        <x:v>无</x:v>
      </x:c>
      <x:c r="U4" s="63" t="str">
        <x:v>无</x:v>
      </x:c>
      <x:c r="V4" s="63" t="str">
        <x:v>多层因果推理</x:v>
      </x:c>
    </x:row>
    <x:row r="5">
      <x:c r="A5" s="64" t="str">
        <x:v>​2426820619775299584</x:v>
      </x:c>
      <x:c r="B5" s="65" t="str">
        <x:v>中等题</x:v>
      </x:c>
      <x:c r="C5" s="65" t="str">
        <x:v>拔高题</x:v>
      </x:c>
      <x:c r="D5" s="65" t="str">
        <x:v>中等题|拔高题</x:v>
      </x:c>
      <x:c r="E5" s="65" t="str">
        <x:v>修订GPT主标签</x:v>
      </x:c>
      <x:c r="F5" s="65" t="str">
        <x:v>高</x:v>
      </x:c>
      <x:c r="G5" s="65" t="str">
        <x:v>中等题</x:v>
      </x:c>
      <x:c r="H5" s="65" t="str">
        <x:v>拔高题</x:v>
      </x:c>
      <x:c r="I5" s="65" t="str">
        <x:v>最高难任务在受力、浮力/压强与状态变化中包含图线反推、状态转换、误差评价、几何/等效转换、方程联立或参数反求等决定性卡点，整体约5—6个有效决策；尚未形成压轴所需的完整复杂约束网络。</x:v>
      </x:c>
      <x:c r="J5" s="65" t="str">
        <x:v>三次运行错题并集逐题复核</x:v>
      </x:c>
      <x:c r="K5" s="63" t="str">
        <x:v>如图所示，底面积不同的物体甲、乙分别放置在水平地面上，它们对地面的压强相等。若在两物体上方分别水平截去部分物体后，剩余部分物体对地面的压强仍然相等，则截去部分的物体可能具有（ ）​</x:v>
      </x:c>
      <x:c r="L5" s="63" t="str">
        <x:v>A. 相同的高度，不同的质量 B. 相同的体积，不同的质量 C. 相同的质量，不同的高度 D. 相同的质量，不同的体积</x:v>
      </x:c>
      <x:c r="M5" s="63" t="str">
        <x:v>解：CD、已知底面积不同的物体甲、乙分别放置在水平地面上，它们对地面的压强相等，即p甲=p乙，由图可知，S甲＞S乙，由p=$\frac{F}{S}$可知，甲、乙对地面的压力F甲＞F乙，则G甲＞G乙，m甲＞m乙， 若在两物体上方分别水平截去部分物体后，剩余部分物体对地面的压强仍然相等，即p甲剩=p乙剩， 设水平截去部分物体的质量分别为m甲切、m乙切，则$\frac{{F}_{甲}-{m}_{甲切}g}{{S}_{甲}}$=$\frac{{F}_{乙}-{m}_{乙切}g}{{S}_{乙}}$， 因为F甲＞F乙，S甲＞S乙，所以截去部分的物体质量m甲切＞m乙切，因此截去部分的物体质量不可能相同，故CD错误； AB、已知底面积不同的物体甲、乙分别放置在水平地面上，它们对地面的压强相等，即p甲=p乙， 由图可知，h甲＜h乙，由p=$\frac{F}{S}$=$\frac{G}{S}$=$\frac{mg}{S}$=$\frac{ρVgh}{S}$=ρgh可知，甲、乙的密度关系ρ甲＞ρ乙， 若截取相同的高度，则剩余部分物体对地面的压强不会相等，故A错误； 已经推出m甲切＞m乙切，由ρ=$\frac{m}{V}$可得，截去部分的物体体积可能相同，也可能不同，故B正确。 故选：B。</x:v>
      </x:c>
      <x:c r="N5" s="63" t="str">
        <x:v>https://k12static.xdf.cn/k12/image/externalized/5e2ee2fc-2c61-417e-9aea-e6ef0927d8c3.png</x:v>
      </x:c>
      <x:c r="O5" s="63" t="str">
        <x:v>https://k12static.xdf.cn/k12/image/externalized/9f7ac9e1-d411-4063-a362-f50741d690b5.png</x:v>
      </x:c>
      <x:c r="P5" s="63" t="str">
        <x:v>3-5步</x:v>
      </x:c>
      <x:c r="Q5" s="63" t="str">
        <x:v>力学综合</x:v>
      </x:c>
      <x:c r="R5" s="63" t="str">
        <x:v>双状态</x:v>
      </x:c>
      <x:c r="S5" s="63" t="str">
        <x:v>单一约束</x:v>
      </x:c>
      <x:c r="T5" s="63" t="str">
        <x:v>无</x:v>
      </x:c>
      <x:c r="U5" s="63" t="str">
        <x:v>无</x:v>
      </x:c>
      <x:c r="V5" s="63" t="str">
        <x:v>多层因果推理</x:v>
      </x:c>
    </x:row>
    <x:row r="6">
      <x:c r="A6" s="64" t="str">
        <x:v>​2538082621992771584</x:v>
      </x:c>
      <x:c r="B6" s="65" t="str">
        <x:v>送分题</x:v>
      </x:c>
      <x:c r="C6" s="65" t="str">
        <x:v>基础题</x:v>
      </x:c>
      <x:c r="D6" s="65" t="str">
        <x:v>送分题|基础题</x:v>
      </x:c>
      <x:c r="E6" s="65" t="str">
        <x:v>修订GPT主标签</x:v>
      </x:c>
      <x:c r="F6" s="65" t="str">
        <x:v>高</x:v>
      </x:c>
      <x:c r="G6" s="65" t="str">
        <x:v>基础题</x:v>
      </x:c>
      <x:c r="H6" s="65" t="str">
        <x:v>中等题</x:v>
      </x:c>
      <x:c r="I6" s="65" t="str">
        <x:v>需要将光的折射规律映射到水中刻度的视觉变化，超过送分题的直接检索，但最长链仍只有1—2个常规决策，不足以达到中等题。</x:v>
      </x:c>
      <x:c r="J6" s="65" t="str">
        <x:v>三次运行错题并集逐题复核</x:v>
      </x:c>
      <x:c r="K6" s="63" t="str">
        <x:v>如图所示，将刻度尺斜插入水中，从水面上看去，水中尺子的刻度情况（ ）</x:v>
      </x:c>
      <x:c r="L6" s="63" t="str">
        <x:v>A. 变得疏了 B. 变得密了 C. 一部分变疏一部分变密 D. 疏密没有变化</x:v>
      </x:c>
      <x:c r="M6" s="63" t="str">
        <x:v>解：将刻度尺斜插入水中，从水中的尺子上反射出的光线由水中斜射入空气时，在水面上发生折射，折射角大于入射角，折射光线进入人眼，人眼会逆着折射光线的方向看去，就会觉得尺子变短了，所以水中尺子的刻度看起来变得密了。 故选：B。</x:v>
      </x:c>
      <x:c r="N6" s="63" t="str">
        <x:v>https://k12static.xdf.cn/k12/image/externalized/86378710-5a54-4e2e-9176-d4b0ed65ce6d.png</x:v>
      </x:c>
      <x:c r="O6" s="63" t="str">
        <x:v>https://k12static.xdf.cn/k12/image/externalized/86c97aad-a436-4963-a1e1-02fdd382411f.png</x:v>
      </x:c>
      <x:c r="P6" s="63" t="str">
        <x:v>1-2步</x:v>
      </x:c>
      <x:c r="Q6" s="63" t="str">
        <x:v>光学声学综合</x:v>
      </x:c>
      <x:c r="R6" s="63" t="str">
        <x:v>单状态</x:v>
      </x:c>
      <x:c r="S6" s="63" t="str">
        <x:v>无约束</x:v>
      </x:c>
      <x:c r="T6" s="63" t="str">
        <x:v>无</x:v>
      </x:c>
      <x:c r="U6" s="63" t="str">
        <x:v>无</x:v>
      </x:c>
      <x:c r="V6" s="63" t="str">
        <x:v>简单因果推理</x:v>
      </x:c>
    </x:row>
    <x:row r="7">
      <x:c r="A7" s="64" t="str">
        <x:v>​2747544369375850496</x:v>
      </x:c>
      <x:c r="B7" s="65" t="str">
        <x:v>拔高题</x:v>
      </x:c>
      <x:c r="C7" s="65" t="str">
        <x:v>中等题</x:v>
      </x:c>
      <x:c r="D7" s="65" t="str">
        <x:v>中等题|拔高题</x:v>
      </x:c>
      <x:c r="E7" s="65" t="str">
        <x:v>修订GPT主标签</x:v>
      </x:c>
      <x:c r="F7" s="65" t="str">
        <x:v>高</x:v>
      </x:c>
      <x:c r="G7" s="65" t="str">
        <x:v>拔高题</x:v>
      </x:c>
      <x:c r="H7" s="65" t="str">
        <x:v>拔高题</x:v>
      </x:c>
      <x:c r="I7" s="65" t="str">
        <x:v>需要围绕标准实验流程、读数与数据归纳完成常规的3—4个有效决策，或完成一套完整标准实验/共享过程分析。关系仍显性、方法常规，没有决定性隐含转换、复杂边界筛选或多状态强耦合。</x:v>
      </x:c>
      <x:c r="J7" s="65" t="str">
        <x:v>三次运行错题并集逐题复核</x:v>
      </x:c>
      <x:c r="K7" s="63" t="str">
        <x:v>茶圣陆羽在《茶经》中，形容沸腾的水“势如奔涛”。小明组装了如图甲所示的装置，探究水沸腾的特点。（1）装置中温度计的使用存在错误。请指出： ；（2）改正错误后进行实验，某时刻温度计的示数如图乙所示，此时水的温度为 ℃；（3）持续加热至水沸腾，观察到“势如奔涛”的景象，这是一种剧烈的汽化现象。根据图像丙可知水沸腾时的特点是 ，为了缩短加热时间，你建议采取的方法是 （写出一种即可）；（4）根据实验数据绘制出水温随加热时间变化的图像，如图丙所示，该实验地点可能在 （选填字母序号）；A.拉萨B.威海C.北京（5）利用图丁所示装置探究酒精在沸腾前后温度变化的特点，实验中，小明发现当试管内的酒精沸腾时，烧杯中的亚麻仁油却没有沸腾，由此可知亚麻仁油的沸点比酒精 。</x:v>
      </x:c>
      <x:c r="L7" s="63" t="str"/>
      <x:c r="M7" s="63" t="str">
        <x:v>（1）[1]观察甲图可知，图中有的错误是温度计玻璃泡碰到了烧杯壁。（2）[2]图乙知温度计的分度值为1℃，温度计的示数为92℃，即此时水的温度为92℃。（3）[3]由丙图可知水沸腾时仍需要酒精灯进行加热，温度不再升高，因此沸腾的特点是不断吸热但温度保持不变。[4]为了缩短加热时间，可以减少水的质量或提高水的温度。（4）[5]水的沸点与气压有关，气压越低，沸点越低。由图可知沸点约为80℃，气压很低，拉萨属于高原地区，气压比较低，故A符合题意，BC不符合题意。故选A。（5）[6]酒精达到沸点后，酒精沸腾，酒精能从亚麻仁油吸收热量，而亚麻仁油没有沸腾，说明没有到达沸点，所以亚麻仁油的沸点比酒精高。</x:v>
      </x:c>
      <x:c r="N7" s="63" t="str">
        <x:v>https://k12static.xdf.cn/k12/image/externalized/8358d23e-490b-47ca-a59f-8e727ff75d93.png</x:v>
      </x:c>
      <x:c r="O7" s="63" t="str">
        <x:v>https://k12static.xdf.cn/k12/image/externalized/1ad17f29-bac3-4067-8581-c1f88a85fd0d.png</x:v>
      </x:c>
      <x:c r="P7" s="63" t="str">
        <x:v>1-2步</x:v>
      </x:c>
      <x:c r="Q7" s="63" t="str">
        <x:v>实验探究</x:v>
      </x:c>
      <x:c r="R7" s="63" t="str">
        <x:v>单状态</x:v>
      </x:c>
      <x:c r="S7" s="63" t="str">
        <x:v>无约束</x:v>
      </x:c>
      <x:c r="T7" s="63" t="str">
        <x:v>控制变量或故障分析</x:v>
      </x:c>
      <x:c r="U7" s="63" t="str">
        <x:v>多组比较归纳</x:v>
      </x:c>
      <x:c r="V7" s="63" t="str">
        <x:v>多层因果推理</x:v>
      </x:c>
    </x:row>
    <x:row r="8">
      <x:c r="A8" s="64" t="str">
        <x:v>​2779382891008229376</x:v>
      </x:c>
      <x:c r="B8" s="65" t="str">
        <x:v>基础题</x:v>
      </x:c>
      <x:c r="C8" s="65" t="str">
        <x:v>中等题</x:v>
      </x:c>
      <x:c r="D8" s="65" t="str">
        <x:v>基础题|中等题</x:v>
      </x:c>
      <x:c r="E8" s="65" t="str">
        <x:v>修订GPT主标签</x:v>
      </x:c>
      <x:c r="F8" s="65" t="str">
        <x:v>高</x:v>
      </x:c>
      <x:c r="G8" s="65" t="str">
        <x:v>中等题</x:v>
      </x:c>
      <x:c r="H8" s="65" t="str">
        <x:v>基础题</x:v>
      </x:c>
      <x:c r="I8" s="65" t="str">
        <x:v>需要围绕图表信息提取与关系反推完成常规的3—4个有效决策，或完成一套完整标准实验/共享过程分析。关系仍显性、方法常规，没有决定性隐含转换、复杂边界筛选或多状态强耦合。</x:v>
      </x:c>
      <x:c r="J8" s="65" t="str">
        <x:v>三次运行错题并集逐题复核</x:v>
      </x:c>
      <x:c r="K8" s="63" t="str">
        <x:v>如图是晚上汽车在干燥的沥青路面和潮湿的沥青路面上行驶时大灯部分光路简图，在晚上开车时（ ）</x:v>
      </x:c>
      <x:c r="L8" s="63" t="str">
        <x:v>A. 潮湿的路面更容易发生光的漫发射 B. 干燥的路面发生光的镜面反射 C. 对面无车时，驾驶员看潮湿的路面更暗 D. 照射到干燥路面上的光也遵循光的反射定律</x:v>
      </x:c>
      <x:c r="M8" s="63" t="str">
        <x:v>AC．由图可知，光射到潮湿的沥青路上容易发生镜面反射，当对面有车时，反射光线较集中，驾驶员看潮湿的路面更亮；当对面无车时，驾驶员看潮湿的路面更暗，故A不符合题意，C符合题意；BD．由图可知，光照射到干燥的沥青路面上时发生漫反射，漫反射也遵守光的反射定律，故B不符合题意，D符合题意。故选CD。</x:v>
      </x:c>
      <x:c r="N8" s="63" t="str">
        <x:v>https://k12static.xdf.cn/k12/image/externalized/028cb3e6-f1df-413e-ae4a-ee7d8bb99234.png</x:v>
      </x:c>
      <x:c r="O8" s="63" t="str">
        <x:v>https://k12static.xdf.cn/k12/image/externalized/2deb7ed6-122c-42ac-a1d6-e243adc2bd5e.png</x:v>
      </x:c>
      <x:c r="P8" s="63" t="str">
        <x:v>1-2步</x:v>
      </x:c>
      <x:c r="Q8" s="63" t="str">
        <x:v>概念判断</x:v>
      </x:c>
      <x:c r="R8" s="63" t="str">
        <x:v>单状态</x:v>
      </x:c>
      <x:c r="S8" s="63" t="str">
        <x:v>无约束</x:v>
      </x:c>
      <x:c r="T8" s="63" t="str">
        <x:v>无</x:v>
      </x:c>
      <x:c r="U8" s="63" t="str">
        <x:v>无</x:v>
      </x:c>
      <x:c r="V8" s="63" t="str">
        <x:v>多层因果推理</x:v>
      </x:c>
    </x:row>
    <x:row r="9">
      <x:c r="A9" s="64" t="str">
        <x:v>​2842562290281402368</x:v>
      </x:c>
      <x:c r="B9" s="65" t="str">
        <x:v>拔高题</x:v>
      </x:c>
      <x:c r="C9" s="65" t="str">
        <x:v>中等题</x:v>
      </x:c>
      <x:c r="D9" s="65" t="str">
        <x:v>中等题|拔高题</x:v>
      </x:c>
      <x:c r="E9" s="65" t="str">
        <x:v>修订GPT主标签</x:v>
      </x:c>
      <x:c r="F9" s="65" t="str">
        <x:v>高</x:v>
      </x:c>
      <x:c r="G9" s="65" t="str">
        <x:v>拔高题</x:v>
      </x:c>
      <x:c r="H9" s="65" t="str">
        <x:v>拔高题</x:v>
      </x:c>
      <x:c r="I9" s="65" t="str">
        <x:v>需要围绕标准实验流程、读数与数据归纳完成常规的3—4个有效决策，或完成一套完整标准实验/共享过程分析。关系仍显性、方法常规，没有决定性隐含转换、复杂边界筛选或多状态强耦合。</x:v>
      </x:c>
      <x:c r="J9" s="65" t="str">
        <x:v>三次运行错题并集逐题复核</x:v>
      </x:c>
      <x:c r="K9" s="63" t="str">
        <x:v>小云准备用如图所示装置“测量物体运动的平均速度”。（1）斜面的一端用木块垫起，使它保持 （选填“较大”或“较小”）的坡度。金属片的作用是 。（2）把小车放在斜面顶端，金属片放在斜面底端，用 测出小车将要通过的路程 s1，用停表测量小车从斜面顶端由 释放到撞击金属片的时间t1。利用公式$v_{1}=\dfrac{s_{1}}{t_{1}}$算出小车通过斜面全程的平均速度v1。（3）如图中AB段的路程sAB= cm，如果测得时间tAB=1.6s，则AB段的平均速度vAB= cm/s。（4）若小车还没开始下滑之前就已开始计时，则测得的平均速度跟真实值相比偏 （选填“大”或“小”）。（5）将金属片移至斜面的中部某位置，测出顶端到金属片的距离 s2.然后继续实验，测出小车从斜面顶端滑下到撞击金属片的时间 t2，算出小车通过全程的后段路程的平均速度为 （请用物理量s1、t1、s2和t2表示）。（6）以下能够较为准确反映小车从开始下滑到撞击金属片的运动情况的是 。</x:v>
      </x:c>
      <x:c r="L9" s="63" t="str"/>
      <x:c r="M9" s="63" t="str">
        <x:v>（1）[1]斜面的一端用木块垫起，使它保持较小的坡度，目的是使小车以较小的速度从斜面滑下，以便能较准确的测量小车运动时间。[2]金属片是为了使小车停下来并发出声音方便计时。（2）[3]小车通过的路程 s1用刻度尺进行测量。[4]用停表测量小车从斜面顶端由静止释放到撞击金属片的时间。（3）[5]由图可知， AB段的路程sAB=40.0cm。[6] AB段的平均速度为$v_{AB}=\dfrac{s_{AB}}{t_{AB}}=\dfrac{40.0\mathrm{cm}}{1.6\mathrm{s}}=25.0\mathrm{cm}/\mathrm{s}$（4）[7]若小车还没有开始下滑就已经开始计时，则测得的时间偏大，所以平均速度的测量值会偏小。（5）[8] 全程的后段路程为$s=s_{1}-s_{2}$小车通过后段路程的时间为$t=t_{1}-t_{2}$所以后段路程的平均速度为$v=\dfrac{s}{t}=\dfrac{s_{1}-s_{2}}{t_{1}-t_{2}}$（6）[9]小车从开始下滑到撞击金属片的过程中，速度一直增大，故选C。</x:v>
      </x:c>
      <x:c r="N9" s="63" t="str">
        <x:v>https://k12static.xdf.cn/k12/image/externalized/537c37b0-b8ed-481b-911b-bbf56d2ad0ea.png</x:v>
      </x:c>
      <x:c r="O9" s="63" t="str">
        <x:v>https://k12static.xdf.cn/k12/image/externalized/46e43243-ac08-4932-9b9b-5421ebb7bcbc.png</x:v>
      </x:c>
      <x:c r="P9" s="63" t="str">
        <x:v>3-5步</x:v>
      </x:c>
      <x:c r="Q9" s="63" t="str">
        <x:v>实验探究</x:v>
      </x:c>
      <x:c r="R9" s="63" t="str">
        <x:v>单状态</x:v>
      </x:c>
      <x:c r="S9" s="63" t="str">
        <x:v>无约束</x:v>
      </x:c>
      <x:c r="T9" s="63" t="str">
        <x:v>控制变量或故障分析</x:v>
      </x:c>
      <x:c r="U9" s="63" t="str">
        <x:v>直接读数</x:v>
      </x:c>
      <x:c r="V9" s="63" t="str">
        <x:v>多层因果推理</x:v>
      </x:c>
    </x:row>
    <x:row r="10">
      <x:c r="A10" s="64" t="str">
        <x:v>​2857543663990099968</x:v>
      </x:c>
      <x:c r="B10" s="65" t="str">
        <x:v>拔高题</x:v>
      </x:c>
      <x:c r="C10" s="65" t="str">
        <x:v>中等题</x:v>
      </x:c>
      <x:c r="D10" s="65" t="str">
        <x:v>中等题|拔高题</x:v>
      </x:c>
      <x:c r="E10" s="65" t="str">
        <x:v>修订GPT主标签</x:v>
      </x:c>
      <x:c r="F10" s="65" t="str">
        <x:v>高</x:v>
      </x:c>
      <x:c r="G10" s="65" t="str">
        <x:v>拔高题</x:v>
      </x:c>
      <x:c r="H10" s="65" t="str">
        <x:v>拔高题</x:v>
      </x:c>
      <x:c r="I10" s="65" t="str">
        <x:v>需要围绕标准实验流程、读数与数据归纳完成常规的3—4个有效决策，或完成一套完整标准实验/共享过程分析。关系仍显性、方法常规，没有决定性隐含转换、复杂边界筛选或多状态强耦合。</x:v>
      </x:c>
      <x:c r="J10" s="65" t="str">
        <x:v>三次运行错题并集逐题复核</x:v>
      </x:c>
      <x:c r="K10" s="63" t="str">
        <x:v>如图所示，让小车从斜面的A点由静止开始下滑，分别测出小车到达B点和C点的时间，即可测出不同阶段的平均速度。 （1）该实验是根据 ________ 公式进行测量的； （2）选用的器材除小车、木板、垫块和金属挡板外，还需要的测量工具是 ________ 和 ________ ； （3）金属片的作用是 ________ ； （4）实验中，应使斜面的坡度较 ________ （填“大”或“小”），目的是 ________ ； （5测得小车通过AB段时时间 tAB=1.6s,通过AC段时间tAC=2.4s,则AB段的距离是 ________ cm,AB段及BC的平均速度vAB= ________ m/s,vBC= ________ m/s；在整个运动过程中小车做的是 ________ ；（填“匀速直线运动”或“变速直线运动”） （6）在测量小车到达B点的时间时，如果小车过了B点才停止计时，测得AB段的平均速度vAB会偏 ________ （选填“大”或“小”）； （7）根据你的实验，你认为小车由静止释放，斜面的倾角增大后，通过相同的路程，小车运动的平均速度将要 ________ 。（填“不变”“变大”或“变小”）</x:v>
      </x:c>
      <x:c r="L10" s="63" t="str"/>
      <x:c r="M10" s="63" t="str">
        <x:v>解：（1）测量平均速度实验的原理为：v=$\frac{s}{t}$； （2）实验中要用刻度尺测量小车通过的路程，用停表测量小车通过该段路程所用的时间； （3）为了便于测量时间，斜面底端加金属片，目的是为了使小车在同一位置停下； （4）为了计时方便，应让小车运动的慢些，运动的时间长些，所以斜面的坡度要较小； （5）图中刻度尺的分度值为1cm,sAB=80.0cm-40.0cm=40.0cm,tAB=1.6s,则AB段的平均速度为：vAB=$\frac{{s}_{AB}}{{t}_{AB}}=\frac{40.0cm}{1.6s}$=25cm/s=0.25m/s； sBC=40.0cm,tBC=tAC-tAB=2.4s-1.6s=0.8s,则BC段的平均速度为：vBC=$\frac{{s}_{BC}}{{t}_{BC}}=\frac{40.0cm}{0.8s}=50cm/s$=0.5m/s； 小车全程在做变速直线运动； （6）如果小车过了B点才停止计时，会导致时间的测量结果偏大，由v=$\frac{s}{t}$可得，AB段的平均速度偏小； （7）斜面倾角加大，所用时间偏短，由v=$\frac{s}{t}$可得，通过相同的路程，小车运动的平均速度要变大。 故答案为：（1）v=$\frac{s}{t}$； （2）刻度尺；停表； （3）让小车在同一位置停下； （4）小；让小车运动的慢些，便于计时； （5）40.0；0.25；0.5；变速直线运动； （6）小； （7）变大。</x:v>
      </x:c>
      <x:c r="N10" s="63" t="str">
        <x:v>https://k12static.xdf.cn/k12/image/externalized/fd8bdb40-0f8d-4e13-b79d-fb1761b54d58.png</x:v>
      </x:c>
      <x:c r="O10" s="63" t="str">
        <x:v>https://k12static.xdf.cn/k12/image/externalized/865efe6b-e1ed-429d-bc16-35b39b45502e.png</x:v>
      </x:c>
      <x:c r="P10" s="63" t="str">
        <x:v>3-5步</x:v>
      </x:c>
      <x:c r="Q10" s="63" t="str">
        <x:v>实验探究</x:v>
      </x:c>
      <x:c r="R10" s="63" t="str">
        <x:v>双状态</x:v>
      </x:c>
      <x:c r="S10" s="63" t="str">
        <x:v>无约束</x:v>
      </x:c>
      <x:c r="T10" s="63" t="str">
        <x:v>控制变量或故障分析</x:v>
      </x:c>
      <x:c r="U10" s="63" t="str">
        <x:v>无</x:v>
      </x:c>
      <x:c r="V10" s="63" t="str">
        <x:v>多层因果推理</x:v>
      </x:c>
    </x:row>
    <x:row r="11">
      <x:c r="A11" s="64" t="str">
        <x:v>​2861647610033246208</x:v>
      </x:c>
      <x:c r="B11" s="65" t="str">
        <x:v>拔高题</x:v>
      </x:c>
      <x:c r="C11" s="65" t="str">
        <x:v>中等题</x:v>
      </x:c>
      <x:c r="D11" s="65" t="str">
        <x:v>中等题|拔高题</x:v>
      </x:c>
      <x:c r="E11" s="65" t="str">
        <x:v>修订GPT主标签</x:v>
      </x:c>
      <x:c r="F11" s="65" t="str">
        <x:v>高</x:v>
      </x:c>
      <x:c r="G11" s="65" t="str">
        <x:v>拔高题</x:v>
      </x:c>
      <x:c r="H11" s="65" t="str">
        <x:v>拔高题</x:v>
      </x:c>
      <x:c r="I11" s="65" t="str">
        <x:v>需要围绕标准实验流程、读数与数据归纳完成常规的3—4个有效决策，或完成一套完整标准实验/共享过程分析。关系仍显性、方法常规，没有决定性隐含转换、复杂边界筛选或多状态强耦合。</x:v>
      </x:c>
      <x:c r="J11" s="65" t="str">
        <x:v>三次运行错题并集逐题复核</x:v>
      </x:c>
      <x:c r="K11" s="63" t="str">
        <x:v>如图1所示是小明用易拉罐制成的简易针孔照相机： （1）使用针孔照相机时，小孔对着 ________ （选填“明亮”或“较暗”）的物体进行观察，更容易看到物体的像； （2）小明从实验室借来用发光二极管制成的“F”字样光源，如图2甲所示，将“F”字样光源、简易针孔照相机按图2乙所示位置放好，小明观察到塑料膜上所成的像是图2丙中的 ________ （填序号），这个像是 ________ （选填“实像”或“虚像”）； （3）保持“F”字样光源的位置不变，将易拉罐靠近发光的“F”，小明观察到塑料膜上所成的像的会 ________ （选填：“变大”、“变小”或“不变”）；若将“F”字样光源向上移动，则塑料薄膜上的像向 ________ （选填“上”或“下”）方移动； （4）小华无意间在易拉罐底部不同位置戳了两个小孔，用它来观察光源F，则半透明膜上会 ________ ；（填正确选项前的字母） A．只会出现一个像 B．在不同的位置出现两个像 C．出现两个重合的像 （5）当“F”字样光源顺时针旋转，小明观察到塑料膜上所成的像会 ________ （选填：“顺”或“逆”）时针旋转；若将小孔遮去一半，像会变得更 ________ （亮/暗）； （6）若只将小圆孔改为三角形小孔，则像的形状 ________ （选填“改变”或“不变”），若再将小圆孔改为10cm边长的正方形大孔，将此大孔正对太阳，则地上的光斑的形状是 ________ ； （7）晴天的正午时分，走在青枫公园的树林里，小明看到阳光透过树叶的缝隙在地上留下许多大小不同的圆形光斑是 ________ （填“太阳”、“树叶的缝隙”或“树叶”）的 ________ （选填“像”或“影子”）。圆形光斑大小不一原因是树叶间缝隙到 ________ 距离不同（选填“地面”或“太阳”）。</x:v>
      </x:c>
      <x:c r="L11" s="63" t="str"/>
      <x:c r="M11" s="63" t="str">
        <x:v>解：（1）小孔成像实验中，是物体反射的光经小孔所成的像，对着明亮的物体像也更亮一些，更容易观察。 （2）小孔成像是光的直线传播形成的，所成的像为倒立的实像，故所成的像应为②。 （3）根据小孔成像的原理是光的直线传播，当易拉罐靠近发光的“F”时，物距减小，像距不变，则像变大，如果光源向上移动，则塑料薄膜上的像向下移动。 （4）小孔成像是光经过小孔成的实像，小华无意间在易拉罐底部不同位置戳了两个小孔，用它来观察蜡烛，蜡烛光分别经过两孔，成实像，则半透明膜上会在不同的位置出现两个像，故B正确。 （5）根据小孔成像的原理是光的直线传播，当物体顺时针转动时，像也会顺时针转动，如果小孔变小了，经过的光线也会变少，像会变暗。 （6）小孔成像中所成的像与物的形状有关，与孔的形状无关，故光斑的形状不变。 太阳离我们较远，太阳光接近于平行光，如果方形的孔太大，太阳光经过大方孔时可能不会成像，会在地上留下一下方形的光斑，与孔的形状相同。 （7）根据小孔成像的原理，阳光透过树叶的缝隙在地上留下许多大小不同的圆形光斑是太阳成在地面的像，像的大小与物距有关，与像距也有关，但太阳离我们较远，树叶间缝隙与太阳的距离变化可以忽略不计，故圆形光斑大小不一原因是树叶间缝隙到地面即像距不同造成的。 故答案为：（1）明亮；（2）②；实像；（3）变大；下；（4）B；（5）顺；暗；（6）不变；方形；（7）太阳；像；地面。</x:v>
      </x:c>
      <x:c r="N11" s="63" t="str">
        <x:v>https://k12static.xdf.cn/k12/image/externalized/351b85d2-5c20-4c73-a22e-dad55d2ff194.png</x:v>
      </x:c>
      <x:c r="O11" s="63" t="str">
        <x:v>https://k12static.xdf.cn/k12/image/externalized/e8f16cb0-30a7-46f7-938a-1f4003538868.png</x:v>
      </x:c>
      <x:c r="P11" s="63" t="str">
        <x:v>1-2步</x:v>
      </x:c>
      <x:c r="Q11" s="63" t="str">
        <x:v>光学声学综合</x:v>
      </x:c>
      <x:c r="R11" s="63" t="str">
        <x:v>单状态</x:v>
      </x:c>
      <x:c r="S11" s="63" t="str">
        <x:v>无约束</x:v>
      </x:c>
      <x:c r="T11" s="63" t="str">
        <x:v>控制变量或故障分析</x:v>
      </x:c>
      <x:c r="U11" s="63" t="str">
        <x:v>无</x:v>
      </x:c>
      <x:c r="V11" s="63" t="str">
        <x:v>多层因果推理</x:v>
      </x:c>
    </x:row>
    <x:row r="12">
      <x:c r="A12" s="64" t="str">
        <x:v>​2892517851348377600</x:v>
      </x:c>
      <x:c r="B12" s="65" t="str">
        <x:v>基础题</x:v>
      </x:c>
      <x:c r="C12" s="65" t="str">
        <x:v>中等题</x:v>
      </x:c>
      <x:c r="D12" s="65" t="str">
        <x:v>基础题|中等题</x:v>
      </x:c>
      <x:c r="E12" s="65" t="str">
        <x:v>修订GPT主标签</x:v>
      </x:c>
      <x:c r="F12" s="65" t="str">
        <x:v>高</x:v>
      </x:c>
      <x:c r="G12" s="65" t="str">
        <x:v>中等题</x:v>
      </x:c>
      <x:c r="H12" s="65" t="str">
        <x:v>基础题</x:v>
      </x:c>
      <x:c r="I12" s="65" t="str">
        <x:v>需依次建立称重法浮力关系、上下表面压力差关系并比较F与G-T，形成约3步连续力学推理，基础档偏低。</x:v>
      </x:c>
      <x:c r="J12" s="65" t="str">
        <x:v>三次运行错题并集逐题复核</x:v>
      </x:c>
      <x:c r="K12" s="63" t="str">
        <x:v>在如图中，重为G的金属块静止在水面下，弹簧测力计的示数为T，金属块下表面受到水的压力为F，则下列说法正确的是（ ）</x:v>
      </x:c>
      <x:c r="L12" s="63" t="str">
        <x:v>A. T＞G B. T=G C. F＞G-T D. F=G-T</x:v>
      </x:c>
      <x:c r="M12" s="63" t="str">
        <x:v>解：AB、由称重法可知：G-T=F浮，而F浮，不为0，所以T＜G，故AB错误； CD、由称重法可知：G-T=F浮，而F浮=F-F上，F＞F浮，所以F＞G-T，故C正确、D错误。 故选：C。</x:v>
      </x:c>
      <x:c r="N12" s="63" t="str">
        <x:v>https://k12static.xdf.cn/k12/image/externalized/0f65bbc1-a8d0-41f7-bb56-4ce0956808c7.png</x:v>
      </x:c>
      <x:c r="O12" s="63" t="str">
        <x:v>https://k12static.xdf.cn/k12/image/externalized/710ecc6f-af25-4fe8-a265-31d3e46ad1d6.png</x:v>
      </x:c>
      <x:c r="P12" s="63" t="str">
        <x:v>3-5步</x:v>
      </x:c>
      <x:c r="Q12" s="63" t="str">
        <x:v>概念判断</x:v>
      </x:c>
      <x:c r="R12" s="63" t="str">
        <x:v>单状态</x:v>
      </x:c>
      <x:c r="S12" s="63" t="str">
        <x:v>单一约束</x:v>
      </x:c>
      <x:c r="T12" s="63" t="str">
        <x:v>无</x:v>
      </x:c>
      <x:c r="U12" s="63" t="str">
        <x:v>无</x:v>
      </x:c>
      <x:c r="V12" s="63" t="str">
        <x:v>多层因果推理</x:v>
      </x:c>
    </x:row>
    <x:row r="13">
      <x:c r="A13" s="64" t="str">
        <x:v>​2961803657007108096</x:v>
      </x:c>
      <x:c r="B13" s="65" t="str">
        <x:v>中等题</x:v>
      </x:c>
      <x:c r="C13" s="65" t="str">
        <x:v>拔高题</x:v>
      </x:c>
      <x:c r="D13" s="65" t="str">
        <x:v>中等题|拔高题</x:v>
      </x:c>
      <x:c r="E13" s="65" t="str">
        <x:v>修订GPT主标签</x:v>
      </x:c>
      <x:c r="F13" s="65" t="str">
        <x:v>高</x:v>
      </x:c>
      <x:c r="G13" s="65" t="str">
        <x:v>中等题</x:v>
      </x:c>
      <x:c r="H13" s="65" t="str">
        <x:v>拔高题</x:v>
      </x:c>
      <x:c r="I13" s="65" t="str">
        <x:v>最高难任务在电路状态、图线/参数与安全约束中包含图线反推、状态转换、误差评价、几何/等效转换、方程联立或参数反求等决定性卡点，整体约5—6个有效决策；尚未形成压轴所需的完整复杂约束网络。</x:v>
      </x:c>
      <x:c r="J13" s="65" t="str">
        <x:v>三次运行错题并集逐题复核</x:v>
      </x:c>
      <x:c r="K13" s="63" t="str">
        <x:v>图甲是小灯泡L和电阻R的电流随电压变化图象，由图象可知，当R两端的电压为0时，R的阻值为 Ω。将它们接入图乙所示电路中，只闭合开关S1，小灯泡的实际功率为0.4W，则电源电压为 V。若闭合开关S、S2，断开开关S1，此时电流表的示数为 。</x:v>
      </x:c>
      <x:c r="L13" s="63" t="str"/>
      <x:c r="M13" s="63" t="str">
        <x:v>解：（1）由R的I-U图象可得，R的阻值：R=$\frac{{U}_{R}}{{I}_{R}}$=$\frac{4V}{0.1A}$=40Ω， 由于电阻是导体本身的一种性质，与导体两端的电压没有关系，所以当R两端的电压为0时，R的阻值仍为40Ω； （2）电路图知，只闭合开关S1，灯泡与定值电阻R串联， 由甲图象可知，当小灯泡的实际功率为0.4W时，通过的电流I=0.2A（即串联电路的电流），其电压为UL=2V， 根据串联电路的电压特点和欧姆定律可得，电源电压为： U=UL+IR=2V+0.2A×40Ω=10V； （3）闭合开关S、S2，断开开关S1，灯泡与定值电阻R并联，电流表测干路电流， 根据并联电路的电压特点可知R两端的电压为10V， 此时通过R的电流为：IR=$\frac{{U}_{R}′}{R}$=$\frac{10V}{40Ω}$=0.25A， 由甲图象可知此时通过灯泡L的电流为0.5A， 电流表示数I′=IR+IL=0.25A+0.5A=0.75A。 故答案为：40；10；0.75A。</x:v>
      </x:c>
      <x:c r="N13" s="63" t="str">
        <x:v>https://k12static.xdf.cn/k12/image/externalized/30dacb33-b2f1-4fe0-a980-96dedf401385.png</x:v>
      </x:c>
      <x:c r="O13" s="63" t="str">
        <x:v>https://k12static.xdf.cn/k12/image/externalized/1fcef945-03a4-4da9-a49a-1f20ef1500c7.png</x:v>
      </x:c>
      <x:c r="P13" s="63" t="str">
        <x:v>3-5步</x:v>
      </x:c>
      <x:c r="Q13" s="63" t="str">
        <x:v>电路综合</x:v>
      </x:c>
      <x:c r="R13" s="63" t="str">
        <x:v>双状态</x:v>
      </x:c>
      <x:c r="S13" s="63" t="str">
        <x:v>单一约束</x:v>
      </x:c>
      <x:c r="T13" s="63" t="str">
        <x:v>无</x:v>
      </x:c>
      <x:c r="U13" s="63" t="str">
        <x:v>直接读数</x:v>
      </x:c>
      <x:c r="V13" s="63" t="str">
        <x:v>多层因果推理</x:v>
      </x:c>
    </x:row>
    <x:row r="14">
      <x:c r="A14" s="64" t="str">
        <x:v>​3021025329385111552</x:v>
      </x:c>
      <x:c r="B14" s="65" t="str">
        <x:v>送分题</x:v>
      </x:c>
      <x:c r="C14" s="65" t="str">
        <x:v>基础题</x:v>
      </x:c>
      <x:c r="D14" s="65" t="str">
        <x:v>送分题|基础题</x:v>
      </x:c>
      <x:c r="E14" s="65" t="str">
        <x:v>修订GPT主标签</x:v>
      </x:c>
      <x:c r="F14" s="65" t="str">
        <x:v>高</x:v>
      </x:c>
      <x:c r="G14" s="65" t="str">
        <x:v>送分题</x:v>
      </x:c>
      <x:c r="H14" s="65" t="str">
        <x:v>送分题</x:v>
      </x:c>
      <x:c r="I14" s="65" t="str">
        <x:v>最高难任务属于电路状态、图线/参数与安全约束中的1—2步直接应用、规范操作或简单因果判断。需要理解/应用而非纯识记，但没有共享中间结论、完整连续过程或隐含转换。</x:v>
      </x:c>
      <x:c r="J14" s="65" t="str">
        <x:v>三次运行错题并集逐题复核</x:v>
      </x:c>
      <x:c r="K14" s="63" t="str">
        <x:v>按照下图所示的电路图，连接实物图</x:v>
      </x:c>
      <x:c r="L14" s="63" t="str"/>
      <x:c r="M14" s="63" t="str">
        <x:v>暂无</x:v>
      </x:c>
      <x:c r="N14" s="63" t="str">
        <x:v>https://k12static.xdf.cn/k12/image/externalized/eeefbc19-17fd-4645-b2b0-a0090da0b438.png</x:v>
      </x:c>
      <x:c r="O14" s="63" t="str">
        <x:v>https://k12static.xdf.cn/k12/image/externalized/26f0eaaf-e72d-4cc6-b8bf-c6f90770af87.png</x:v>
      </x:c>
      <x:c r="P14" s="63" t="str">
        <x:v>1-2步</x:v>
      </x:c>
      <x:c r="Q14" s="63" t="str">
        <x:v>电路综合</x:v>
      </x:c>
      <x:c r="R14" s="63" t="str">
        <x:v>单状态</x:v>
      </x:c>
      <x:c r="S14" s="63" t="str">
        <x:v>无约束</x:v>
      </x:c>
      <x:c r="T14" s="63" t="str">
        <x:v>基础操作或读数</x:v>
      </x:c>
      <x:c r="U14" s="63" t="str">
        <x:v>无</x:v>
      </x:c>
      <x:c r="V14" s="63" t="str">
        <x:v>简单因果推理</x:v>
      </x:c>
    </x:row>
    <x:row r="15">
      <x:c r="A15" s="64" t="str">
        <x:v>​3028418693838782464</x:v>
      </x:c>
      <x:c r="B15" s="65" t="str">
        <x:v>压轴题</x:v>
      </x:c>
      <x:c r="C15" s="65" t="str">
        <x:v>拔高题</x:v>
      </x:c>
      <x:c r="D15" s="65" t="str">
        <x:v>拔高题|压轴题</x:v>
      </x:c>
      <x:c r="E15" s="65" t="str">
        <x:v>修订GPT主标签</x:v>
      </x:c>
      <x:c r="F15" s="65" t="str">
        <x:v>高</x:v>
      </x:c>
      <x:c r="G15" s="65" t="str">
        <x:v>压轴题</x:v>
      </x:c>
      <x:c r="H15" s="65" t="str">
        <x:v>中等题</x:v>
      </x:c>
      <x:c r="I15" s="65" t="str">
        <x:v>最高难任务在电路状态、图线/参数与安全约束中包含图线反推、状态转换、误差评价、几何/等效转换、方程联立或参数反求等决定性卡点，整体约5—6个有效决策；尚未形成压轴所需的完整复杂约束网络。</x:v>
      </x:c>
      <x:c r="J15" s="65" t="str">
        <x:v>三次运行错题并集逐题复核</x:v>
      </x:c>
      <x:c r="K15" s="63" t="str">
        <x:v>寒假，为给阳台上的花草制作一个可调温的加热装置，小墨网购了一根额定电流为3A的电炉丝（如图甲）。在家长陪同下，他把电炉丝分成R1、R2两段，其中R1=20Ω，R2段为阻值可调的部分。 如图乙，他将两段电炉丝接入电源电压恒为12V的电路中，闭合开关S，在通过电炉丝的电流不超过其额定电流的情况下，该加热装置的总功率P与电源的输出电流I之间的关系图象如图丙所示，其中I大、I小分别为电源的最大、最小输出电流。忽略温度对电阻的影响，闭合开关S，求：</x:v>
      </x:c>
      <x:c r="L15" s="63" t="str"/>
      <x:c r="M15" s="63" t="str"/>
      <x:c r="N15" s="63" t="str">
        <x:v>https://k12static.xdf.cn/k12/image/externalized/75f91022-4626-4a49-8aa9-c8e0340b579f.png</x:v>
      </x:c>
      <x:c r="O15" s="63" t="str">
        <x:v>https://k12static.xdf.cn/k12/image/externalized/ba6de592-c587-4942-a6fb-bfa90735d2dc.png</x:v>
      </x:c>
      <x:c r="P15" s="63" t="str">
        <x:v>3-5步</x:v>
      </x:c>
      <x:c r="Q15" s="63" t="str">
        <x:v>电路综合</x:v>
      </x:c>
      <x:c r="R15" s="63" t="str">
        <x:v>双状态</x:v>
      </x:c>
      <x:c r="S15" s="63" t="str">
        <x:v>单一约束</x:v>
      </x:c>
      <x:c r="T15" s="63" t="str">
        <x:v>无</x:v>
      </x:c>
      <x:c r="U15" s="63" t="str">
        <x:v>直接读数</x:v>
      </x:c>
      <x:c r="V15" s="63" t="str">
        <x:v>多层因果推理</x:v>
      </x:c>
    </x:row>
    <x:row r="16">
      <x:c r="A16" s="64" t="str">
        <x:v>​3044393486444158976</x:v>
      </x:c>
      <x:c r="B16" s="65" t="str">
        <x:v>压轴题</x:v>
      </x:c>
      <x:c r="C16" s="65" t="str">
        <x:v>拔高题</x:v>
      </x:c>
      <x:c r="D16" s="65" t="str">
        <x:v>拔高题|压轴题</x:v>
      </x:c>
      <x:c r="E16" s="65" t="str">
        <x:v>修订GPT主标签</x:v>
      </x:c>
      <x:c r="F16" s="65" t="str">
        <x:v>高</x:v>
      </x:c>
      <x:c r="G16" s="65" t="str">
        <x:v>压轴题</x:v>
      </x:c>
      <x:c r="H16" s="65" t="str">
        <x:v>压轴题</x:v>
      </x:c>
      <x:c r="I16" s="65" t="str">
        <x:v>最高难任务在电路状态、图线/参数与安全约束中包含图线反推、状态转换、误差评价、几何/等效转换、方程联立或参数反求等决定性卡点，整体约5—6个有效决策；尚未形成压轴所需的完整复杂约束网络。</x:v>
      </x:c>
      <x:c r="J16" s="65" t="str">
        <x:v>三次运行错题并集逐题复核</x:v>
      </x:c>
      <x:c r="K16" s="63" t="str">
        <x:v>如图所示，电源电压U=6V，小灯泡标有“4V 1.6W”字样，定值电阻R2=20Ω，滑动变阻器R3允许通过的最大电流为1A，电流表的量程为0～3A，电压表的量程为0～3V，电源电压和小灯泡的阻值R均保持不变。（1）求小灯泡的阻值R1；（2）只闭合开关S2，求电压表的示数；（3）将滑动变阻器滑片滑到最左端，闭合所有开关，此时电流表示数为0.5A，求滑动变阻器R3的最大阻值；（4）只闭合开关S3，在电路安全的情况下，求小灯泡电功率的变化范围。</x:v>
      </x:c>
      <x:c r="L16" s="63" t="str"/>
      <x:c r="M16" s="63" t="str">
        <x:v>解：（1）小灯泡标有&amp;ldquo;4V 1.6W&amp;rdquo;，由$P=\dfrac{U^{2}}{R}$可得,小灯泡的阻值 $R_{1}=\dfrac{U_{额}^{2}}{P_{额}}=\dfrac{(4\mathrm{V})^{2}}{1.6\mathrm{W}}=10\Omega$ （2）只闭合开关S2时，灯泡R1与电阻R2串联，电压表测R1两端的电压，串联电路总电阻等于各部分电阻之和，所以电路总电阻 $R=R_{1}+R_{2}=10\Omega +20\Omega =30\Omega$ 此时通过电路的电流 $I=\dfrac{U}{R}=\dfrac{6\mathrm{V}}{20\Omega }=0.2\mathrm{A}$ 所以R1两端的电压为 $U_{1}=IR_{1}=0.2\mathrm{A}\times 10\Omega =2\mathrm{V}$ 即电压表示数为2V。 （3）将滑动变阻器滑片滑到最左端，闭合所有开关，电阻R2与R3的最大阻值并联，电流表A测干路电流，此时电流表示数为0.5A，并联电路各并联支路两端电压相等，所以通过R2的电流 $I_{2}=\dfrac{U}{R_{2}}=\dfrac{6\mathrm{V}}{20\Omega }=0.3\mathrm{A}$ 并联电路干路电流等于各支路电流之和，所以通过滑动变阻器的电流 $I_{3}=I_{0}-I_{2}=0.5\mathrm{A}-0.3\mathrm{A}=0.2\mathrm{A}$ 所以滑动变阻器的最大阻值为 $R_{3}=\dfrac{U}{I_{3}}=\dfrac{6\mathrm{V}}{0.2\mathrm{A}}=30\Omega$ （4）只闭合开关S3时，灯泡R1与滑动变阻器R3串联，电压表测R1两端的电压，当电压表的示数R1&amp;prime;=3V时，灯泡两端的电压最大，其实际功率最大 $P_{1大}=\dfrac{U_{1}{^{\prime}}^{2}}{R_{1}}=\dfrac{(3\mathrm{V})^{2}}{10\Omega }=0.9\mathrm{W}$ 当滑动变阻器接入电路中的电阻最大时，电路中的电流最小，R1的功率最小，此时电路中的电流 $I_{小}=\dfrac{U}{R_{1}+R_{3}}=\dfrac{6\mathrm{V}}{10\Omega +30\Omega }=0.15\mathrm{A}$ 则灯泡的最小功率 ${P_{1}}_{小}={I_{小}}^{2}R_{1}=\mathrm{（}0.15\mathrm{A}\mathrm{）}^{2}\times 10\Omega =0.225\mathrm{W}$ 所以，小灯泡电功率的变化范围为0.225W～0.9W。 答：（1）小灯泡的阻值R1为10&amp;Omega;； （2）只闭合开关S2，求电压表的示数为2V； （3）滑动变阻器R3的最大阻值为30&amp;Omega;； （4）只闭合开关S3，在电路安全的情况下，小灯泡电功率的变化范围为0.225W～0.9W。</x:v>
      </x:c>
      <x:c r="N16" s="63" t="str">
        <x:v>https://k12static.xdf.cn/k12/image/externalized/fe2362eb-ebd2-4758-96a7-6ba3d02f28bb.png</x:v>
      </x:c>
      <x:c r="O16" s="63" t="str">
        <x:v>https://k12static.xdf.cn/k12/image/externalized/3341e5bb-1fd6-4dd0-9a63-5f85ce8df1e0.png</x:v>
      </x:c>
      <x:c r="P16" s="63" t="str">
        <x:v>3-5步</x:v>
      </x:c>
      <x:c r="Q16" s="63" t="str">
        <x:v>电路综合</x:v>
      </x:c>
      <x:c r="R16" s="63" t="str">
        <x:v>双状态</x:v>
      </x:c>
      <x:c r="S16" s="63" t="str">
        <x:v>多约束</x:v>
      </x:c>
      <x:c r="T16" s="63" t="str">
        <x:v>无</x:v>
      </x:c>
      <x:c r="U16" s="63" t="str">
        <x:v>无</x:v>
      </x:c>
      <x:c r="V16" s="63" t="str">
        <x:v>多层因果推理</x:v>
      </x:c>
    </x:row>
    <x:row r="17">
      <x:c r="A17" s="64" t="str">
        <x:v>​3385313576457912320</x:v>
      </x:c>
      <x:c r="B17" s="65" t="str">
        <x:v>压轴题</x:v>
      </x:c>
      <x:c r="C17" s="65" t="str">
        <x:v>拔高题</x:v>
      </x:c>
      <x:c r="D17" s="65" t="str">
        <x:v>拔高题|压轴题</x:v>
      </x:c>
      <x:c r="E17" s="65" t="str">
        <x:v>修订GPT主标签</x:v>
      </x:c>
      <x:c r="F17" s="65" t="str">
        <x:v>高</x:v>
      </x:c>
      <x:c r="G17" s="65" t="str">
        <x:v>压轴题</x:v>
      </x:c>
      <x:c r="H17" s="65" t="str">
        <x:v>压轴题</x:v>
      </x:c>
      <x:c r="I17" s="65" t="str">
        <x:v>最高难任务在电路状态、图线/参数与安全约束中包含图线反推、状态转换、误差评价、几何/等效转换、方程联立或参数反求等决定性卡点，整体约5—6个有效决策；尚未形成压轴所需的完整复杂约束网络。</x:v>
      </x:c>
      <x:c r="J17" s="65" t="str">
        <x:v>三次运行错题并集逐题复核</x:v>
      </x:c>
      <x:c r="K17" s="63" t="str">
        <x:v>如图所示，电源电压为6V且保持不变，小灯泡标有“4V 1.6W”字样，定值电阻R1的阻值为20Ω，滑动变阻器R2允许通过的最大电流为1A，电流表的量程为0～3A，电压表的量程为0～3V。设小灯泡电阻不随温度改变，求： (1)小灯泡的阻值； (2)只闭合开关S1时电压表的示数； (3)将滑动变阻器的滑片P滑到最左端，闭合所有开关，此时电流表示数为0.5A。求滑动变阻器R2的最大阻值； (4)只闭合开关S2，在电路安全的情况下，求小灯泡电功率的变化范围。</x:v>
      </x:c>
      <x:c r="L17" s="63" t="str"/>
      <x:c r="M17" s="63" t="str">
        <x:v>(1) 由小灯泡铭牌标注可知小灯泡的阻值为$R_{L}=\dfrac{U_{额}^{2}}{P_{额}}=\dfrac{(4V)^{2}}{1.6W}=10Ω $ (2) 当只闭合开关S₁时，R₁与小灯泡串联，电路中的电流为$ I_{串}=\dfrac{U_{电源}}{R_{1}+R_{L}}=\dfrac{6V}{20Ω+10Ω}=0.2A $ 电压表测量灯泡两端的电压$U_{L}=I_{串}R_{L}=0.2A×10Ω=2V$ (3) 若将滑动变阻器滑片滑到最左端，闭合所有开关，则此时滑动变阻器R₂全部连入电路，小灯泡被短路，R₁与R₂并联，经过R₁的电流为$I_{1}=\dfrac{U_{电源}}{R_{1}}=\dfrac{6V}{20Ω}=0.3A $ R₂的电流为$I_{2}=I_{并}-I_{1}=0.5A-0.3A=0.2A$ 则滑动变阻器的最大阻值为$ R_{2}=\dfrac{U_{电源}}{I_{2}}=\dfrac{6V}{0.2A}=30Ω$ (4) 若只闭合开关S₂，则R₂与小灯泡串联，电压表测灯泡两端电压，当滑片在最左端时电路的电阻最大，电流最小，小灯泡功率最小，电路中的最小电流为$I_{min}=\dfrac{U_{电源}}{R_{2}+R_{L}}=\dfrac{6V}{30Ω+10Ω}=0.15A $ 灯泡最小电功率为$P_{min}=I_{min}^{2}R_{L}=(0.15A)^{2}×10Ω=0.225W $ 当滑片向右滑动时，电路电阻减小，电流变大，为确保电路安全，小灯泡所分电压最大可为3V，小灯泡的电功率最大，最大电功率为$P_{max}=\dfrac{U_{max}^{2}}{R_{L}}=\dfrac{(3V)^{2}}{10Ω}=0.9W $ 则小灯泡电功率的变化范围是0.225W~0.9W。</x:v>
      </x:c>
      <x:c r="N17" s="63" t="str">
        <x:v>https://k12static.xdf.cn/k12/image/externalized/7959a7f9-758b-46cd-a9e4-10908635ba3d.png</x:v>
      </x:c>
      <x:c r="O17" s="63" t="str">
        <x:v>https://k12static.xdf.cn/k12/image/externalized/a0177183-7614-48cd-bc4b-5345c98eb302.png</x:v>
      </x:c>
      <x:c r="P17" s="63" t="str">
        <x:v>3-5步</x:v>
      </x:c>
      <x:c r="Q17" s="63" t="str">
        <x:v>电路综合</x:v>
      </x:c>
      <x:c r="R17" s="63" t="str">
        <x:v>双状态</x:v>
      </x:c>
      <x:c r="S17" s="63" t="str">
        <x:v>多约束</x:v>
      </x:c>
      <x:c r="T17" s="63" t="str">
        <x:v>无</x:v>
      </x:c>
      <x:c r="U17" s="63" t="str">
        <x:v>无</x:v>
      </x:c>
      <x:c r="V17" s="63" t="str">
        <x:v>多层因果推理</x:v>
      </x:c>
    </x:row>
    <x:row r="18">
      <x:c r="A18" s="64" t="str">
        <x:v>​3650594325130444800</x:v>
      </x:c>
      <x:c r="B18" s="65" t="str">
        <x:v>中等题</x:v>
      </x:c>
      <x:c r="C18" s="65" t="str">
        <x:v>拔高题</x:v>
      </x:c>
      <x:c r="D18" s="65" t="str">
        <x:v>中等题|拔高题</x:v>
      </x:c>
      <x:c r="E18" s="65" t="str">
        <x:v>修订GPT主标签</x:v>
      </x:c>
      <x:c r="F18" s="65" t="str">
        <x:v>高</x:v>
      </x:c>
      <x:c r="G18" s="65" t="str">
        <x:v>中等题</x:v>
      </x:c>
      <x:c r="H18" s="65" t="str">
        <x:v>拔高题</x:v>
      </x:c>
      <x:c r="I18" s="65" t="str">
        <x:v>最高问要求自主设计双挡电热器电路，并分别计算两段电热丝阻值和长度；存在方案建构和多公式完整链，应为拔高题。</x:v>
      </x:c>
      <x:c r="J18" s="65" t="str">
        <x:v>三次运行错题并集逐题复核</x:v>
      </x:c>
      <x:c r="K18" s="63" t="str">
        <x:v>某家用电热水壶有加热和保温两个挡位，内部电路由温控开关和两段电热丝组成，加热挡的功率是保温挡的5倍。采用加热挡加热时，将2kg的水从20℃升高50℃需要用3.5min的时间。已知电源电压为220V，水的比热容为$4\mathrm{．}2\times 10^{3}\mathrm{J}/\left(\mathrm{kg}\cdot \text{℃}\right)$，若电热丝放出的热量完全被水吸收，求：</x:v>
      </x:c>
      <x:c r="L18" s="63" t="str"/>
      <x:c r="M18" s="63" t="str"/>
      <x:c r="N18" s="63" t="str">
        <x:v>https://k12static.xdf.cn/k12/image/externalized/80492a7b-f821-453e-81a3-2e9f10ae5eb8.png</x:v>
      </x:c>
      <x:c r="O18" s="63" t="str">
        <x:v>https://k12static.xdf.cn/k12/image/externalized/b8ed610a-c004-481f-b622-18477372dc10.png</x:v>
      </x:c>
      <x:c r="P18" s="63" t="str">
        <x:v>3-5步</x:v>
      </x:c>
      <x:c r="Q18" s="63" t="str">
        <x:v>跨模块综合</x:v>
      </x:c>
      <x:c r="R18" s="63" t="str">
        <x:v>双状态</x:v>
      </x:c>
      <x:c r="S18" s="63" t="str">
        <x:v>单一约束</x:v>
      </x:c>
      <x:c r="T18" s="63" t="str">
        <x:v>无</x:v>
      </x:c>
      <x:c r="U18" s="63" t="str">
        <x:v>无</x:v>
      </x:c>
      <x:c r="V18" s="63" t="str">
        <x:v>多层因果推理</x:v>
      </x:c>
    </x:row>
    <x:row r="19">
      <x:c r="A19" s="64" t="str">
        <x:v>​3659088608210468864</x:v>
      </x:c>
      <x:c r="B19" s="65" t="str">
        <x:v>送分题</x:v>
      </x:c>
      <x:c r="C19" s="65" t="str">
        <x:v>基础题</x:v>
      </x:c>
      <x:c r="D19" s="65" t="str">
        <x:v>送分题|基础题</x:v>
      </x:c>
      <x:c r="E19" s="65" t="str">
        <x:v>修订GPT主标签</x:v>
      </x:c>
      <x:c r="F19" s="65" t="str">
        <x:v>高</x:v>
      </x:c>
      <x:c r="G19" s="65" t="str">
        <x:v>基础题</x:v>
      </x:c>
      <x:c r="H19" s="65" t="str">
        <x:v>送分题</x:v>
      </x:c>
      <x:c r="I19" s="65" t="str">
        <x:v>最高难任务属于教材概念与常规物理关系中的1—2步直接应用、规范操作或简单因果判断。需要理解/应用而非纯识记，但没有共享中间结论、完整连续过程或隐含转换。</x:v>
      </x:c>
      <x:c r="J19" s="65" t="str">
        <x:v>三次运行错题并集逐题复核</x:v>
      </x:c>
      <x:c r="K19" s="63" t="str">
        <x:v>在安全教育活动中，老师用图示装置演示面粉爆炸现象。面粉被吹入塑料桶后，遇到火焰爆燃，桶口的硬纸板被迅速弹飞。面粉燃烧释放的内能转化为硬纸板的 ，该过程相当于汽油机工作时的 冲程。</x:v>
      </x:c>
      <x:c r="L19" s="63" t="str"/>
      <x:c r="M19" s="63" t="str">
        <x:v>解：面粉爆燃的时候将桶口的硬纸片迅速弹飞，面粉燃烧释放的内能转化为硬纸板的机械能； 四冲程汽油机做功冲程中，是将内能转化为机械能，两者的能量转化相同。 故答案为：机械能；做功。</x:v>
      </x:c>
      <x:c r="N19" s="63" t="str">
        <x:v>https://k12static.xdf.cn/k12/image/externalized/c46d8f7f-bebc-4bf2-8751-095e46d154bf.png</x:v>
      </x:c>
      <x:c r="O19" s="63" t="str">
        <x:v>https://k12static.xdf.cn/k12/image/externalized/7c9767d2-1e3f-4e23-b6fa-13e6f3664be6.png</x:v>
      </x:c>
      <x:c r="P19" s="63" t="str">
        <x:v>1-2步</x:v>
      </x:c>
      <x:c r="Q19" s="63" t="str">
        <x:v>概念判断</x:v>
      </x:c>
      <x:c r="R19" s="63" t="str">
        <x:v>单状态</x:v>
      </x:c>
      <x:c r="S19" s="63" t="str">
        <x:v>无约束</x:v>
      </x:c>
      <x:c r="T19" s="63" t="str">
        <x:v>无</x:v>
      </x:c>
      <x:c r="U19" s="63" t="str">
        <x:v>无</x:v>
      </x:c>
      <x:c r="V19" s="63" t="str">
        <x:v>直接套用</x:v>
      </x:c>
    </x:row>
    <x:row r="20">
      <x:c r="A20" s="64" t="str">
        <x:v>​3673937014702317568</x:v>
      </x:c>
      <x:c r="B20" s="65" t="str">
        <x:v>拔高题</x:v>
      </x:c>
      <x:c r="C20" s="65" t="str">
        <x:v>中等题</x:v>
      </x:c>
      <x:c r="D20" s="65" t="str">
        <x:v>中等题|拔高题</x:v>
      </x:c>
      <x:c r="E20" s="65" t="str">
        <x:v>修订GPT主标签</x:v>
      </x:c>
      <x:c r="F20" s="65" t="str">
        <x:v>高</x:v>
      </x:c>
      <x:c r="G20" s="65" t="str">
        <x:v>拔高题</x:v>
      </x:c>
      <x:c r="H20" s="65" t="str">
        <x:v>拔高题</x:v>
      </x:c>
      <x:c r="I20" s="65" t="str">
        <x:v>三个小问依次为液体压强、显性浮力和匀速平衡求密度，模型及条件均直接，最高链约3—4步，属于中等/拔高边界，压到中等更稳妥。</x:v>
      </x:c>
      <x:c r="J20" s="65" t="str">
        <x:v>三次运行错题并集逐题复核</x:v>
      </x:c>
      <x:c r="K20" s="63" t="str">
        <x:v>小丁设计了一种水下遥感探测器。如图所示，探测器的主体是一个边长为$2\mathrm{~ dm}$的正方体金属盒，上下各有一个带传感器的阀门，总重力为$30\mathrm{~ N}$。某次水底采样时，向探测器内注水，探测器沉入水底。采样完成后，遥控传感器将两个阀门同时打开，从上阀门注入高压气体，水从下阀门流出，当探测器内水的深度为$10\mathrm{~ cm}$时，关闭两阀门，探测器连同样品恰能匀速上浮，如图所示，已知样品体积为$200\mathrm{~ cm}^{3}$，$g=10\mathrm{~ N}/\mathrm{kg}$，$\rho _{\mathrm{水}}=1.0\times 10^{3}\mathrm{~ kg}/\mathrm{m}^{3}$，不计金属盒厚度及阀门和传感器的体积，忽略气体质量和水的阻力，求：</x:v>
      </x:c>
      <x:c r="L20" s="63" t="str"/>
      <x:c r="M20" s="63" t="str"/>
      <x:c r="N20" s="63" t="str">
        <x:v>https://k12static.xdf.cn/k12/image/externalized/35386629-b98d-479f-a493-8cde2555f733.png</x:v>
      </x:c>
      <x:c r="O20" s="63" t="str">
        <x:v>https://k12static.xdf.cn/k12/image/externalized/756cdf0d-33b5-46a7-940a-99e24aa1973c.png</x:v>
      </x:c>
      <x:c r="P20" s="63" t="str">
        <x:v>3-5步</x:v>
      </x:c>
      <x:c r="Q20" s="63" t="str">
        <x:v>力学综合</x:v>
      </x:c>
      <x:c r="R20" s="63" t="str">
        <x:v>单状态</x:v>
      </x:c>
      <x:c r="S20" s="63" t="str">
        <x:v>单一约束</x:v>
      </x:c>
      <x:c r="T20" s="63" t="str">
        <x:v>无</x:v>
      </x:c>
      <x:c r="U20" s="63" t="str">
        <x:v>无</x:v>
      </x:c>
      <x:c r="V20" s="63" t="str">
        <x:v>多层因果推理</x:v>
      </x:c>
    </x:row>
    <x:row r="21">
      <x:c r="A21" s="64" t="str">
        <x:v>​3678659552448622592</x:v>
      </x:c>
      <x:c r="B21" s="65" t="str">
        <x:v>拔高题</x:v>
      </x:c>
      <x:c r="C21" s="65" t="str">
        <x:v>中等题</x:v>
      </x:c>
      <x:c r="D21" s="65" t="str">
        <x:v>中等题|拔高题</x:v>
      </x:c>
      <x:c r="E21" s="65" t="str">
        <x:v>修订GPT主标签</x:v>
      </x:c>
      <x:c r="F21" s="65" t="str">
        <x:v>高</x:v>
      </x:c>
      <x:c r="G21" s="65" t="str">
        <x:v>中等题</x:v>
      </x:c>
      <x:c r="H21" s="65" t="str">
        <x:v>压轴题</x:v>
      </x:c>
      <x:c r="I21" s="65" t="str">
        <x:v>需要围绕受力、浮力/压强与状态变化完成常规的3—4个有效决策，或完成一套完整标准实验/共享过程分析。关系仍显性、方法常规，没有决定性隐含转换、复杂边界筛选或多状态强耦合。</x:v>
      </x:c>
      <x:c r="J21" s="65" t="str">
        <x:v>三次运行错题并集逐题复核</x:v>
      </x:c>
      <x:c r="K21" s="63" t="str">
        <x:v>汽车落水后该如何逃生？同学们聚焦真实问题，开展跨学科实践活动。（一）汽车落水后为何会下沉？（二）落水后推门逃生可行吗？（三）水下破窗逃生可行吗？</x:v>
      </x:c>
      <x:c r="L21" s="63" t="str"/>
      <x:c r="M21" s="63" t="str"/>
      <x:c r="N21" s="63" t="str">
        <x:v>https://k12static.xdf.cn/k12/image/externalized/0c30a09e-0816-4090-b397-1bd4da4c10e6.png</x:v>
      </x:c>
      <x:c r="O21" s="63" t="str">
        <x:v>https://k12static.xdf.cn/k12/image/externalized/c6b74a9d-1147-4bee-bdfa-7ae0c53a020a.png</x:v>
      </x:c>
      <x:c r="P21" s="63" t="str">
        <x:v>3-5步</x:v>
      </x:c>
      <x:c r="Q21" s="63" t="str">
        <x:v>力学综合</x:v>
      </x:c>
      <x:c r="R21" s="63" t="str">
        <x:v>单状态</x:v>
      </x:c>
      <x:c r="S21" s="63" t="str">
        <x:v>单一约束</x:v>
      </x:c>
      <x:c r="T21" s="63" t="str">
        <x:v>无</x:v>
      </x:c>
      <x:c r="U21" s="63" t="str">
        <x:v>无</x:v>
      </x:c>
      <x:c r="V21" s="63" t="str">
        <x:v>多层因果推理</x:v>
      </x:c>
    </x:row>
    <x:row r="22">
      <x:c r="A22" s="64" t="str">
        <x:v>​3678675760415592448</x:v>
      </x:c>
      <x:c r="B22" s="65" t="str">
        <x:v>中等题</x:v>
      </x:c>
      <x:c r="C22" s="65" t="str">
        <x:v>拔高题</x:v>
      </x:c>
      <x:c r="D22" s="65" t="str">
        <x:v>中等题|拔高题</x:v>
      </x:c>
      <x:c r="E22" s="65" t="str">
        <x:v>修订GPT主标签</x:v>
      </x:c>
      <x:c r="F22" s="65" t="str">
        <x:v>高</x:v>
      </x:c>
      <x:c r="G22" s="65" t="str">
        <x:v>基础题</x:v>
      </x:c>
      <x:c r="H22" s="65" t="str">
        <x:v>中等题</x:v>
      </x:c>
      <x:c r="I22" s="65" t="str">
        <x:v>最高问需由悬停状态反求本体排水体积，再切换到抛掉全部压载铁后的上浮状态计算浮力，存在状态转换与隐含量反推，应进入拔高。</x:v>
      </x:c>
      <x:c r="J22" s="65" t="str">
        <x:v>三次运行错题并集逐题复核</x:v>
      </x:c>
      <x:c r="K22" s="63" t="str">
        <x:v>阅读《万米深海的中国奇迹》并回答问题。万米深海的中国奇迹深邃的海底世界充满了神秘与未知，驱动着人类孜孜不倦地探索。2020年11月，我国自主研发的奋斗者号全海深载人潜水器如甲图所示成功坐底10909米深海，刷新了我国载人深潜的纪录。图乙是它的结构示意图。“奋斗者”号总质量为22t（不包含压载铁质量），其底部装配有可抛弃压载铁，中部安装新型固体浮力材料保障潜水器安全返回水面，载人舱为独创的钛合金球形，整体锻造、无缝焊接，壳体轻薄且强度极高，均匀分散深海压力，保证舱体不变形、不破裂，为潜航员筑牢安全屏障。除载人舱及部分电路设施外，其余部分与海水相通。某次执行任务时，在“奋斗者”号的外部挂好2t的压载铁，注水下潜，当下潜至预定深度时，“奋斗者”号通过适时抛掉1t的压载铁实现悬停。当完成工作后，潜航员再抛掉剩余的压载铁，实现上浮。可见，“奋斗者”号在海水中实现无动力下潜和上浮，压载铁的作用都是巨大的。（设定海水密度均匀且$\rho _{\mathrm{海水}}=1\times 10^{3}\mathrm{kg}/\mathrm{m}^{3}\mathrm{，}\rho _{\mathrm{压载铁}}=8\times 10^{3}\mathrm{kg}/\mathrm{m}^{3}$，g取10N/kg）请根据上述材料，回答下列问题：</x:v>
      </x:c>
      <x:c r="L22" s="63" t="str"/>
      <x:c r="M22" s="63" t="str"/>
      <x:c r="N22" s="63" t="str">
        <x:v>https://k12static.xdf.cn/k12/image/externalized/96b16c86-253b-43b4-a439-242de6486c55.png</x:v>
      </x:c>
      <x:c r="O22" s="63" t="str">
        <x:v>https://k12static.xdf.cn/k12/image/externalized/11e3675a-7ea3-469e-8443-ecd3fb3b8a6b.png</x:v>
      </x:c>
      <x:c r="P22" s="63" t="str">
        <x:v>3-5步</x:v>
      </x:c>
      <x:c r="Q22" s="63" t="str">
        <x:v>力学综合</x:v>
      </x:c>
      <x:c r="R22" s="63" t="str">
        <x:v>双状态</x:v>
      </x:c>
      <x:c r="S22" s="63" t="str">
        <x:v>单一约束</x:v>
      </x:c>
      <x:c r="T22" s="63" t="str">
        <x:v>无</x:v>
      </x:c>
      <x:c r="U22" s="63" t="str">
        <x:v>无</x:v>
      </x:c>
      <x:c r="V22" s="63" t="str">
        <x:v>多层因果推理</x:v>
      </x:c>
    </x:row>
  </x:sheetData>
  <x:mergeCells>
    <x:mergeCell ref="A1:V1"/>
  </x:mergeCells>
  <x:conditionalFormatting sqref="I3:I22">
    <x:cfRule type="containsText" dxfId="2" priority="1" operator="containsText" text="修订GPT主标签"/>
    <x:cfRule type="containsText" dxfId="3" priority="2" operator="containsText" text="边界"/>
  </x:conditionalFormatting>
  <x:pageMargins left="0.7" right="0.7" top="0.75" bottom="0.75" header="0.3" footer="0.3"/>
  <x:tableParts count="1">
    <x:tablePart xmlns:r="http://schemas.openxmlformats.org/officeDocument/2006/relationships" r:id="R5be34baf1e80488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2" hidden="0" customWidth="1"/>
    <x:col min="2" max="2" width="12" hidden="0" customWidth="1"/>
    <x:col min="3" max="3" width="12" hidden="0" customWidth="1"/>
    <x:col min="4" max="4" width="19" hidden="0" customWidth="1"/>
    <x:col min="5" max="5" width="22" hidden="0" customWidth="1"/>
    <x:col min="6" max="6" width="12" hidden="0" customWidth="1"/>
    <x:col min="7" max="7" width="12" hidden="0" customWidth="1"/>
    <x:col min="8" max="8" width="12" hidden="0" customWidth="1"/>
    <x:col min="9" max="9" width="55" hidden="0" customWidth="1"/>
    <x:col min="10" max="10" width="30" hidden="0" customWidth="1"/>
    <x:col min="11" max="11" width="70" hidden="0" customWidth="1"/>
    <x:col min="12" max="12" width="42" hidden="0" customWidth="1"/>
    <x:col min="13" max="13" width="72" hidden="0" customWidth="1"/>
    <x:col min="14" max="14" width="36" hidden="0" customWidth="1"/>
    <x:col min="15" max="15" width="36" hidden="0" customWidth="1"/>
    <x:col min="16" max="16" width="12" hidden="0" customWidth="1"/>
    <x:col min="17" max="17" width="14" hidden="0" customWidth="1"/>
    <x:col min="18" max="18" width="12" hidden="0" customWidth="1"/>
    <x:col min="19" max="19" width="12" hidden="0" customWidth="1"/>
    <x:col min="20" max="20" width="14" hidden="0" customWidth="1"/>
    <x:col min="21" max="21" width="14" hidden="0" customWidth="1"/>
    <x:col min="22" max="22" width="16" hidden="0" customWidth="1"/>
    <x:col min="23" max="23" width="14" hidden="0" customWidth="1"/>
  </x:cols>
  <x:sheetData>
    <x:row r="1" ht="34" customHeight="1">
      <x:c r="A1" s="3" t="str">
        <x:v>157道相邻档边界题</x:v>
      </x:c>
      <x:c r="B1" s="3" t="str">
        <x:v>157道相邻档边界题</x:v>
      </x:c>
      <x:c r="C1" s="3" t="str">
        <x:v>157道相邻档边界题</x:v>
      </x:c>
      <x:c r="D1" s="3" t="str">
        <x:v>157道相邻档边界题</x:v>
      </x:c>
      <x:c r="E1" s="3" t="str">
        <x:v>157道相邻档边界题</x:v>
      </x:c>
      <x:c r="F1" s="3" t="str">
        <x:v>157道相邻档边界题</x:v>
      </x:c>
      <x:c r="G1" s="3" t="str">
        <x:v>157道相邻档边界题</x:v>
      </x:c>
      <x:c r="H1" s="3" t="str">
        <x:v>157道相邻档边界题</x:v>
      </x:c>
      <x:c r="I1" s="3" t="str">
        <x:v>157道相邻档边界题</x:v>
      </x:c>
      <x:c r="J1" s="3" t="str">
        <x:v>157道相邻档边界题</x:v>
      </x:c>
      <x:c r="K1" s="3" t="str">
        <x:v>157道相邻档边界题</x:v>
      </x:c>
      <x:c r="L1" s="3" t="str">
        <x:v>157道相邻档边界题</x:v>
      </x:c>
      <x:c r="M1" s="3" t="str">
        <x:v>157道相邻档边界题</x:v>
      </x:c>
      <x:c r="N1" s="3" t="str">
        <x:v>157道相邻档边界题</x:v>
      </x:c>
      <x:c r="O1" s="3" t="str">
        <x:v>157道相邻档边界题</x:v>
      </x:c>
      <x:c r="P1" s="3" t="str">
        <x:v>157道相邻档边界题</x:v>
      </x:c>
      <x:c r="Q1" s="3" t="str">
        <x:v>157道相邻档边界题</x:v>
      </x:c>
      <x:c r="R1" s="3" t="str">
        <x:v>157道相邻档边界题</x:v>
      </x:c>
      <x:c r="S1" s="3" t="str">
        <x:v>157道相邻档边界题</x:v>
      </x:c>
      <x:c r="T1" s="3" t="str">
        <x:v>157道相邻档边界题</x:v>
      </x:c>
      <x:c r="U1" s="3" t="str">
        <x:v>157道相邻档边界题</x:v>
      </x:c>
      <x:c r="V1" s="3" t="str">
        <x:v>157道相邻档边界题</x:v>
      </x:c>
    </x:row>
    <x:row r="2" ht="28" customHeight="1">
      <x:c r="A2" s="59" t="str">
        <x:v>题目ID</x:v>
      </x:c>
      <x:c r="B2" s="60" t="str">
        <x:v>原GPT裁定档</x:v>
      </x:c>
      <x:c r="C2" s="60" t="str">
        <x:v>修订后主标签</x:v>
      </x:c>
      <x:c r="D2" s="60" t="str">
        <x:v>可接受等级</x:v>
      </x:c>
      <x:c r="E2" s="60" t="str">
        <x:v>复核状态</x:v>
      </x:c>
      <x:c r="F2" s="60" t="str">
        <x:v>修订后置信度</x:v>
      </x:c>
      <x:c r="G2" s="60" t="str">
        <x:v>教师标准档</x:v>
      </x:c>
      <x:c r="H2" s="60" t="str">
        <x:v>初次盲评档</x:v>
      </x:c>
      <x:c r="I2" s="60" t="str">
        <x:v>复核依据</x:v>
      </x:c>
      <x:c r="J2" s="60" t="str">
        <x:v>复核证据来源</x:v>
      </x:c>
      <x:c r="K2" s="60" t="str">
        <x:v>题干</x:v>
      </x:c>
      <x:c r="L2" s="60" t="str">
        <x:v>选项</x:v>
      </x:c>
      <x:c r="M2" s="60" t="str">
        <x:v>官方解析</x:v>
      </x:c>
      <x:c r="N2" s="60" t="str">
        <x:v>题目图片URL</x:v>
      </x:c>
      <x:c r="O2" s="60" t="str">
        <x:v>解析图片URL</x:v>
      </x:c>
      <x:c r="P2" s="60" t="str">
        <x:v>结构_步骤</x:v>
      </x:c>
      <x:c r="Q2" s="60" t="str">
        <x:v>结构_题型</x:v>
      </x:c>
      <x:c r="R2" s="60" t="str">
        <x:v>结构_状态</x:v>
      </x:c>
      <x:c r="S2" s="60" t="str">
        <x:v>结构_约束</x:v>
      </x:c>
      <x:c r="T2" s="60" t="str">
        <x:v>结构_实验</x:v>
      </x:c>
      <x:c r="U2" s="60" t="str">
        <x:v>结构_图表</x:v>
      </x:c>
      <x:c r="V2" s="61" t="str">
        <x:v>结构_推理</x:v>
      </x:c>
    </x:row>
    <x:row r="3">
      <x:c r="A3" s="64" t="str">
        <x:v>​2139835924700303365</x:v>
      </x:c>
      <x:c r="B3" s="65" t="str">
        <x:v>送分题</x:v>
      </x:c>
      <x:c r="C3" s="65" t="str">
        <x:v>送分题</x:v>
      </x:c>
      <x:c r="D3" s="65" t="str">
        <x:v>送分题|基础题</x:v>
      </x:c>
      <x:c r="E3" s="65" t="str">
        <x:v>保留原主标签；相邻档有争议</x:v>
      </x:c>
      <x:c r="F3" s="65" t="str">
        <x:v>中</x:v>
      </x:c>
      <x:c r="G3" s="65" t="str">
        <x:v>送分题</x:v>
      </x:c>
      <x:c r="H3" s="65" t="str">
        <x:v>基础题</x:v>
      </x:c>
      <x:c r="I3" s="65" t="str">
        <x:v>第二轮复核认为现有证据只能证明该题处于相邻档边界，不能排除原GPT主标签。为避免使用模型预测反向拟合真值，保留原主标签，并将另一档记录为可接受等级。</x:v>
      </x:c>
      <x:c r="J3" s="65" t="str">
        <x:v>三次运行错题并集逐题复核</x:v>
      </x:c>
      <x:c r="K3" s="63" t="str">
        <x:v>以下现象与大气压有关的是$(\qquad)$</x:v>
      </x:c>
      <x:c r="L3" s="63" t="str">
        <x:v>A. 用吸管喝饮料 B. 覆杯实验 C. 注射药液 D. 吸盘 E. 热气球升空 F. 用滴管吸取药液 G. 钢笔吸墨水 H. 堵住茶壶上的小孔，茶壶里的水就不容易被倒出来 I. 瓶吞鸡蛋 J. 利用离心泵抽水</x:v>
      </x:c>
      <x:c r="M3" s="63" t="str">
        <x:v>建议课堂活动，让学生来讲解原理 ① 用注射器吸取药液与大气压有关，原理与用吸管喝饮料类似，但是用注射器注射药液与大气压无关； ② 若堵住茶壶上的小洞，随着茶壶里水的流出，茶壶里气体质量没变但是体积变大，所以压强变小，小于外界大气压，使大气压托住水，倒不出来．</x:v>
      </x:c>
      <x:c r="N3" s="63" t="str">
        <x:v>https://k12static.xdf.cn/k12/image/externalized/be9a55f9-32b5-4c77-81ca-21ad0bf2b346.png</x:v>
      </x:c>
      <x:c r="O3" s="63" t="str">
        <x:v>https://k12static.xdf.cn/k12/image/externalized/f7a66f12-a242-4270-b59d-65a97700f255.png</x:v>
      </x:c>
      <x:c r="P3" s="63" t="str">
        <x:v>1-2步</x:v>
      </x:c>
      <x:c r="Q3" s="63" t="str">
        <x:v>概念判断</x:v>
      </x:c>
      <x:c r="R3" s="63" t="str">
        <x:v>单状态</x:v>
      </x:c>
      <x:c r="S3" s="63" t="str">
        <x:v>无约束</x:v>
      </x:c>
      <x:c r="T3" s="63" t="str">
        <x:v>无</x:v>
      </x:c>
      <x:c r="U3" s="63" t="str">
        <x:v>无</x:v>
      </x:c>
      <x:c r="V3" s="63" t="str">
        <x:v>简单因果推理</x:v>
      </x:c>
    </x:row>
    <x:row r="4">
      <x:c r="A4" s="64" t="str">
        <x:v>​2139855143991087106</x:v>
      </x:c>
      <x:c r="B4" s="65" t="str">
        <x:v>送分题</x:v>
      </x:c>
      <x:c r="C4" s="65" t="str">
        <x:v>送分题</x:v>
      </x:c>
      <x:c r="D4" s="65" t="str">
        <x:v>送分题|基础题</x:v>
      </x:c>
      <x:c r="E4" s="65" t="str">
        <x:v>保留原主标签；相邻档有争议</x:v>
      </x:c>
      <x:c r="F4" s="65" t="str">
        <x:v>中</x:v>
      </x:c>
      <x:c r="G4" s="65" t="str">
        <x:v>送分题</x:v>
      </x:c>
      <x:c r="H4" s="65" t="str">
        <x:v>送分题</x:v>
      </x:c>
      <x:c r="I4" s="65" t="str">
        <x:v>第二轮复核认为现有证据只能证明该题处于相邻档边界，不能排除原GPT主标签。为避免使用模型预测反向拟合真值，保留原主标签，并将另一档记录为可接受等级。</x:v>
      </x:c>
      <x:c r="J4" s="65" t="str">
        <x:v>三次运行错题并集逐题复核</x:v>
      </x:c>
      <x:c r="K4" s="63" t="str">
        <x:v>在温度为 $ 0^\circ{\rm C} $ 时，静止在桌面上的铁块$(\qquad)$</x:v>
      </x:c>
      <x:c r="L4" s="63" t="str">
        <x:v>A. 只具有内能 B. 只具有机械能 C. 既具有机械能，又具有内能 D. 既没有机械能，又没有内能</x:v>
      </x:c>
      <x:c r="M4" s="63" t="str">
        <x:v>铁块在桌面上，所以具有重力势能，从而具有机械能，虽然温度低，但任何物体的分子都在不停地做无规则运动，所以铁块也具有内能．因此ABD错误，C正确． 故选C。</x:v>
      </x:c>
      <x:c r="N4" s="63" t="str">
        <x:v>https://k12static.xdf.cn/k12/image/externalized/c2d25515-c212-4705-ae90-6bdbc909e39c.png</x:v>
      </x:c>
      <x:c r="O4" s="63" t="str">
        <x:v>https://k12static.xdf.cn/k12/image/externalized/2db12f7c-c129-4971-a257-fd45d921866f.png</x:v>
      </x:c>
      <x:c r="P4" s="63" t="str">
        <x:v>1-2步</x:v>
      </x:c>
      <x:c r="Q4" s="63" t="str">
        <x:v>概念判断</x:v>
      </x:c>
      <x:c r="R4" s="63" t="str">
        <x:v>单状态</x:v>
      </x:c>
      <x:c r="S4" s="63" t="str">
        <x:v>无约束</x:v>
      </x:c>
      <x:c r="T4" s="63" t="str">
        <x:v>无</x:v>
      </x:c>
      <x:c r="U4" s="63" t="str">
        <x:v>无</x:v>
      </x:c>
      <x:c r="V4" s="63" t="str">
        <x:v>简单因果推理</x:v>
      </x:c>
    </x:row>
    <x:row r="5">
      <x:c r="A5" s="64" t="str">
        <x:v>​2234554433063890944</x:v>
      </x:c>
      <x:c r="B5" s="65" t="str">
        <x:v>基础题</x:v>
      </x:c>
      <x:c r="C5" s="65" t="str">
        <x:v>基础题</x:v>
      </x:c>
      <x:c r="D5" s="65" t="str">
        <x:v>基础题|中等题</x:v>
      </x:c>
      <x:c r="E5" s="65" t="str">
        <x:v>保留原主标签；相邻档有争议</x:v>
      </x:c>
      <x:c r="F5" s="65" t="str">
        <x:v>中</x:v>
      </x:c>
      <x:c r="G5" s="65" t="str">
        <x:v>基础题</x:v>
      </x:c>
      <x:c r="H5" s="65" t="str">
        <x:v>基础题</x:v>
      </x:c>
      <x:c r="I5" s="65" t="str">
        <x:v>第二轮复核认为现有证据只能证明该题处于相邻档边界，不能排除原GPT主标签。为避免使用模型预测反向拟合真值，保留原主标签，并将另一档记录为可接受等级。</x:v>
      </x:c>
      <x:c r="J5" s="65" t="str">
        <x:v>三次运行错题并集逐题复核</x:v>
      </x:c>
      <x:c r="K5" s="63" t="str">
        <x:v>如图电路中，电源电压保持不变，当开关S闭合，滑动变阻器的滑片P向右移动时，电流表和电压表的示数变化情况分别为（ ）</x:v>
      </x:c>
      <x:c r="L5" s="63" t="str">
        <x:v>A. 电流表的示数变小，电压表的示数变大 B. 电流表的示数变大，电压表的示数变小 C. 电流表的示数变小，电压表的示数不变 D. 电流表的示数变小，电压表的示数变小</x:v>
      </x:c>
      <x:c r="M5" s="63" t="str">
        <x:v>解：∵电压表测电源的电压且电源的电压不变， ∴电压表的示数不变； 当滑动变阻器的滑片P向右移动时，滑动变阻器接入电路的电阻变大， ∵I=$\frac{U}{R}$，R1两端的电压不变； ∴R2支路的电流变小，R1支路的电流不变， ∵并联电路中干路电流等于各支路电流之和可知， ∴干路电流变小，即电流表的示数变小。 故选：C。</x:v>
      </x:c>
      <x:c r="N5" s="63" t="str">
        <x:v>https://k12static.xdf.cn/k12/image/externalized/18e5034f-d5ee-4179-809e-8d14b96c83ff.png</x:v>
      </x:c>
      <x:c r="O5" s="63" t="str">
        <x:v>https://k12static.xdf.cn/k12/image/externalized/94e12f6e-c8fc-42aa-a25b-ecf98e15398a.png</x:v>
      </x:c>
      <x:c r="P5" s="63" t="str">
        <x:v>3-5步</x:v>
      </x:c>
      <x:c r="Q5" s="63" t="str">
        <x:v>电路综合</x:v>
      </x:c>
      <x:c r="R5" s="63" t="str">
        <x:v>单状态</x:v>
      </x:c>
      <x:c r="S5" s="63" t="str">
        <x:v>单一约束</x:v>
      </x:c>
      <x:c r="T5" s="63" t="str">
        <x:v>无</x:v>
      </x:c>
      <x:c r="U5" s="63" t="str">
        <x:v>无</x:v>
      </x:c>
      <x:c r="V5" s="63" t="str">
        <x:v>多层因果推理</x:v>
      </x:c>
    </x:row>
    <x:row r="6">
      <x:c r="A6" s="64" t="str">
        <x:v>​2264327909711310848</x:v>
      </x:c>
      <x:c r="B6" s="65" t="str">
        <x:v>送分题</x:v>
      </x:c>
      <x:c r="C6" s="65" t="str">
        <x:v>送分题</x:v>
      </x:c>
      <x:c r="D6" s="65" t="str">
        <x:v>送分题|基础题</x:v>
      </x:c>
      <x:c r="E6" s="65" t="str">
        <x:v>保留原主标签；相邻档有争议</x:v>
      </x:c>
      <x:c r="F6" s="65" t="str">
        <x:v>中</x:v>
      </x:c>
      <x:c r="G6" s="65" t="str">
        <x:v>送分题</x:v>
      </x:c>
      <x:c r="H6" s="65" t="str">
        <x:v>送分题</x:v>
      </x:c>
      <x:c r="I6" s="65" t="str">
        <x:v>第二轮复核认为现有证据只能证明该题处于相邻档边界，不能排除原GPT主标签。为避免使用模型预测反向拟合真值，保留原主标签，并将另一档记录为可接受等级。</x:v>
      </x:c>
      <x:c r="J6" s="65" t="str">
        <x:v>三次运行错题并集逐题复核</x:v>
      </x:c>
      <x:c r="K6" s="63" t="str">
        <x:v>如图所示的电路中，闭合开关S，已知电源电压为6V，L2两端的电压为2V，则下列说法正确的是（ ）</x:v>
      </x:c>
      <x:c r="L6" s="63" t="str">
        <x:v>A. 电压表的示数为2V B. 电压表的示数为4V C. 灯泡L1的示数为2V D. 电压表的示数为6V</x:v>
      </x:c>
      <x:c r="M6" s="63" t="str">
        <x:v>解：如图所示，闭合开关S，两灯串联，电压表V测L1两端电压，电源电压为6V，L2两端的电压为2V，根据串联电路电压的规律，L1两端电压为：U1=U-U2=6V-2V=4V，即电压表V的示数为4V，故B正确。 故选：B。</x:v>
      </x:c>
      <x:c r="N6" s="63" t="str">
        <x:v>https://k12static.xdf.cn/k12/image/externalized/9daaeb83-9630-4e82-8925-cab5febbe88d.png</x:v>
      </x:c>
      <x:c r="O6" s="63" t="str">
        <x:v>https://k12static.xdf.cn/k12/image/externalized/ab1eaa23-a80b-4e9a-842c-f26811cb059b.png</x:v>
      </x:c>
      <x:c r="P6" s="63" t="str">
        <x:v>1-2步</x:v>
      </x:c>
      <x:c r="Q6" s="63" t="str">
        <x:v>电路综合</x:v>
      </x:c>
      <x:c r="R6" s="63" t="str">
        <x:v>单状态</x:v>
      </x:c>
      <x:c r="S6" s="63" t="str">
        <x:v>无约束</x:v>
      </x:c>
      <x:c r="T6" s="63" t="str">
        <x:v>无</x:v>
      </x:c>
      <x:c r="U6" s="63" t="str">
        <x:v>无</x:v>
      </x:c>
      <x:c r="V6" s="63" t="str">
        <x:v>简单因果推理</x:v>
      </x:c>
    </x:row>
    <x:row r="7">
      <x:c r="A7" s="64" t="str">
        <x:v>​2264327991126155264</x:v>
      </x:c>
      <x:c r="B7" s="65" t="str">
        <x:v>基础题</x:v>
      </x:c>
      <x:c r="C7" s="65" t="str">
        <x:v>基础题</x:v>
      </x:c>
      <x:c r="D7" s="65" t="str">
        <x:v>基础题|中等题</x:v>
      </x:c>
      <x:c r="E7" s="65" t="str">
        <x:v>保留原主标签；相邻档有争议</x:v>
      </x:c>
      <x:c r="F7" s="65" t="str">
        <x:v>中</x:v>
      </x:c>
      <x:c r="G7" s="65" t="str">
        <x:v>基础题</x:v>
      </x:c>
      <x:c r="H7" s="65" t="str">
        <x:v>基础题</x:v>
      </x:c>
      <x:c r="I7" s="65" t="str">
        <x:v>第二轮复核认为现有证据只能证明该题处于相邻档边界，不能排除原GPT主标签。为避免使用模型预测反向拟合真值，保留原主标签，并将另一档记录为可接受等级。</x:v>
      </x:c>
      <x:c r="J7" s="65" t="str">
        <x:v>三次运行错题并集逐题复核</x:v>
      </x:c>
      <x:c r="K7" s="63" t="str">
        <x:v>如图所示，电源电压为6V，闭合开关后，电压表的示数为4V，电流表示数为0.5A，下列描述不正确的是（ ）</x:v>
      </x:c>
      <x:c r="L7" s="63" t="str">
        <x:v>A. 通过L1电流为0.5A B. L1两端电压为4V C. L2电阻值比L1大 D. L1和L2两端电压之和为6V</x:v>
      </x:c>
      <x:c r="M7" s="63" t="str">
        <x:v>解：A、开关闭合后，该电路是串联电路，电流表示数为0.5A，因为串联电路中电流处处相等，所以通过L1电流为0.5A，故A正确； BD、因串联电路中总电压等于各个电压之和，电压表测L2两端的电压，则U2=4V，电源电压为6V，则L1两端电压为U1=U-U2=6V-4V=2V，故B错误、D正确； C、由$R=\frac{U}{I}$可知，L2电阻值比L1大，故C正确。 故选：B。</x:v>
      </x:c>
      <x:c r="N7" s="63" t="str">
        <x:v>https://k12static.xdf.cn/k12/image/externalized/0c8c7584-d0cc-4d03-a02f-3e1da8c012a6.png</x:v>
      </x:c>
      <x:c r="O7" s="63" t="str">
        <x:v>https://k12static.xdf.cn/k12/image/externalized/d5fb6052-9936-45cb-87ad-359cc417ab0b.png</x:v>
      </x:c>
      <x:c r="P7" s="63" t="str">
        <x:v>1-2步</x:v>
      </x:c>
      <x:c r="Q7" s="63" t="str">
        <x:v>电路综合</x:v>
      </x:c>
      <x:c r="R7" s="63" t="str">
        <x:v>单状态</x:v>
      </x:c>
      <x:c r="S7" s="63" t="str">
        <x:v>无约束</x:v>
      </x:c>
      <x:c r="T7" s="63" t="str">
        <x:v>无</x:v>
      </x:c>
      <x:c r="U7" s="63" t="str">
        <x:v>无</x:v>
      </x:c>
      <x:c r="V7" s="63" t="str">
        <x:v>多层因果推理</x:v>
      </x:c>
    </x:row>
    <x:row r="8">
      <x:c r="A8" s="64" t="str">
        <x:v>​2264328088771907584</x:v>
      </x:c>
      <x:c r="B8" s="65" t="str">
        <x:v>基础题</x:v>
      </x:c>
      <x:c r="C8" s="65" t="str">
        <x:v>基础题</x:v>
      </x:c>
      <x:c r="D8" s="65" t="str">
        <x:v>基础题|中等题</x:v>
      </x:c>
      <x:c r="E8" s="65" t="str">
        <x:v>保留原主标签；相邻档有争议</x:v>
      </x:c>
      <x:c r="F8" s="65" t="str">
        <x:v>中</x:v>
      </x:c>
      <x:c r="G8" s="65" t="str">
        <x:v>基础题</x:v>
      </x:c>
      <x:c r="H8" s="65" t="str">
        <x:v>基础题</x:v>
      </x:c>
      <x:c r="I8" s="65" t="str">
        <x:v>第二轮复核认为现有证据只能证明该题处于相邻档边界，不能排除原GPT主标签。为避免使用模型预测反向拟合真值，保留原主标签，并将另一档记录为可接受等级。</x:v>
      </x:c>
      <x:c r="J8" s="65" t="str">
        <x:v>三次运行错题并集逐题复核</x:v>
      </x:c>
      <x:c r="K8" s="63" t="str">
        <x:v>如图所示，L1和L2两个小灯泡接入电源电压为6V的电路中，当开关S闭合时，电压表示数为4V，则下列判断正确的是（ ）</x:v>
      </x:c>
      <x:c r="L8" s="63" t="str">
        <x:v>A. L1两端电压是4V B. L2两端电压是4V C. 当开关S断开时，电压表的示数为4V D. 当开关S断开时，电压表的示数为0</x:v>
      </x:c>
      <x:c r="M8" s="63" t="str">
        <x:v>解：当开关闭合时，两灯串联，电压表测量L2两端的电压，此时电压表示数为4V，即L2两端的电压U2=4V， 由串联电路的电压特点可得，L1两端电压：U1=U-U2=6V-4V=2V； 当开关断开时，电压表通过灯接在电源上，此时电压表测电源电压，则电压表的示数为6V。故B正确，ACD错误。 故选：B。</x:v>
      </x:c>
      <x:c r="N8" s="63" t="str">
        <x:v>https://k12static.xdf.cn/k12/image/externalized/3e218e72-d746-4950-b0d0-d3d28139eb74.png</x:v>
      </x:c>
      <x:c r="O8" s="63" t="str">
        <x:v>https://k12static.xdf.cn/k12/image/externalized/ea70974c-a308-4697-858d-6d49d2560d3b.png</x:v>
      </x:c>
      <x:c r="P8" s="63" t="str">
        <x:v>3-5步</x:v>
      </x:c>
      <x:c r="Q8" s="63" t="str">
        <x:v>电路综合</x:v>
      </x:c>
      <x:c r="R8" s="63" t="str">
        <x:v>双状态</x:v>
      </x:c>
      <x:c r="S8" s="63" t="str">
        <x:v>单一约束</x:v>
      </x:c>
      <x:c r="T8" s="63" t="str">
        <x:v>无</x:v>
      </x:c>
      <x:c r="U8" s="63" t="str">
        <x:v>无</x:v>
      </x:c>
      <x:c r="V8" s="63" t="str">
        <x:v>多层因果推理</x:v>
      </x:c>
    </x:row>
    <x:row r="9">
      <x:c r="A9" s="64" t="str">
        <x:v>​2284416127491153920</x:v>
      </x:c>
      <x:c r="B9" s="65" t="str">
        <x:v>中等题</x:v>
      </x:c>
      <x:c r="C9" s="65" t="str">
        <x:v>中等题</x:v>
      </x:c>
      <x:c r="D9" s="65" t="str">
        <x:v>基础题|中等题</x:v>
      </x:c>
      <x:c r="E9" s="65" t="str">
        <x:v>保留原主标签；相邻档有争议</x:v>
      </x:c>
      <x:c r="F9" s="65" t="str">
        <x:v>中</x:v>
      </x:c>
      <x:c r="G9" s="65" t="str">
        <x:v>中等题</x:v>
      </x:c>
      <x:c r="H9" s="65" t="str">
        <x:v>中等题</x:v>
      </x:c>
      <x:c r="I9" s="65" t="str">
        <x:v>第二轮复核认为现有证据只能证明该题处于相邻档边界，不能排除原GPT主标签。为避免使用模型预测反向拟合真值，保留原主标签，并将另一档记录为可接受等级。</x:v>
      </x:c>
      <x:c r="J9" s="65" t="str">
        <x:v>三次运行错题并集逐题复核</x:v>
      </x:c>
      <x:c r="K9" s="63" t="str">
        <x:v>如图是利用磁悬浮原理浮在空中的盆栽，盆栽底部有永磁体，底座内装有电磁铁。给盆栽慢慢浇水且水没有渗出，盆栽始终处于悬浮状态，下列说法正确的是（ ）</x:v>
      </x:c>
      <x:c r="L9" s="63" t="str">
        <x:v>A. 盆栽受到的磁场力保持不变 B. 底座对水平桌面的压强逐渐增大 C. 若底座上端为N极，盆栽下端可能为S极 D. 只改变底座内电流方向，盆栽还会处于悬浮状态</x:v>
      </x:c>
      <x:c r="M9" s="63" t="str">
        <x:v>解：A．该盆栽悬浮的原理利用了同名磁极相互排斥，当盆栽悬浮在空中静止不动时，受的力是平衡力，即盆栽的总重力和磁力大小相等，当浇水后重力变大，故磁力也变大，故A错误； B．影响压强的因素是压力和受力面积，当浇水后重力变大，磁力也变大，对桌面的压力也变大，根据p=$\frac{F}{S}$在压力变大，受力面积不变时，压强变大，故B正确； C．盆栽悬浮利用的同名磁极相互排斥，所以若底座上端为N极，盆栽下端应为N极，故C错误； D．改变底座内电流的方向，底座的磁极方向就会改变，底座与盆栽之间就会由同名磁极相互排斥改变为异名磁极相互吸引，盆栽不会处于悬浮状态，故D错误。 故选：B。</x:v>
      </x:c>
      <x:c r="N9" s="63" t="str">
        <x:v>https://k12static.xdf.cn/k12/image/externalized/60a40105-f2a1-45bc-86f9-e0f280a20b3b.png</x:v>
      </x:c>
      <x:c r="O9" s="63" t="str">
        <x:v>https://k12static.xdf.cn/k12/image/externalized/0900b181-1130-4863-a329-05d497e9b21f.png</x:v>
      </x:c>
      <x:c r="P9" s="63" t="str">
        <x:v>3-5步</x:v>
      </x:c>
      <x:c r="Q9" s="63" t="str">
        <x:v>概念判断</x:v>
      </x:c>
      <x:c r="R9" s="63" t="str">
        <x:v>单状态</x:v>
      </x:c>
      <x:c r="S9" s="63" t="str">
        <x:v>单一约束</x:v>
      </x:c>
      <x:c r="T9" s="63" t="str">
        <x:v>无</x:v>
      </x:c>
      <x:c r="U9" s="63" t="str">
        <x:v>无</x:v>
      </x:c>
      <x:c r="V9" s="63" t="str">
        <x:v>多层因果推理</x:v>
      </x:c>
    </x:row>
    <x:row r="10">
      <x:c r="A10" s="64" t="str">
        <x:v>​2289144114869739520</x:v>
      </x:c>
      <x:c r="B10" s="65" t="str">
        <x:v>送分题</x:v>
      </x:c>
      <x:c r="C10" s="65" t="str">
        <x:v>送分题</x:v>
      </x:c>
      <x:c r="D10" s="65" t="str">
        <x:v>送分题|基础题</x:v>
      </x:c>
      <x:c r="E10" s="65" t="str">
        <x:v>保留原主标签；相邻档有争议</x:v>
      </x:c>
      <x:c r="F10" s="65" t="str">
        <x:v>中</x:v>
      </x:c>
      <x:c r="G10" s="65" t="str">
        <x:v>送分题</x:v>
      </x:c>
      <x:c r="H10" s="65" t="str">
        <x:v>送分题</x:v>
      </x:c>
      <x:c r="I10" s="65" t="str">
        <x:v>第二轮复核认为现有证据只能证明该题处于相邻档边界，不能排除原GPT主标签。为避免使用模型预测反向拟合真值，保留原主标签，并将另一档记录为可接受等级。</x:v>
      </x:c>
      <x:c r="J10" s="65" t="str">
        <x:v>三次运行错题并集逐题复核</x:v>
      </x:c>
      <x:c r="K10" s="63" t="str">
        <x:v>如图，灯泡处于静止状态。与灯泡所受的重力相互作用的另一个力是（ ）</x:v>
      </x:c>
      <x:c r="L10" s="63" t="str">
        <x:v>A. 灯泡对地球的作用力 B. 天花板对电线的拉力 C. 灯泡对电线的拉力 D. 电线对灯泡的拉力</x:v>
      </x:c>
      <x:c r="M10" s="63" t="str">
        <x:v>解：灯泡所受的重力与电线对灯泡的拉力，这两个力都作用在物体上，大小都等于其重力，方向相反，且在同一直线上。所以这两个力是一对平衡力。 天花板对电线的拉力和灯泡对电线的拉力都是电线受到的，且大小都相等，方向相反，且在同一直线上。所以这两个力是一对平衡力。 灯泡对地球的作用力和灯泡所受的重力，这两个力等大，反向，共线。是灯泡和地球这两个物体之间相互发生的。所以这两个力是一对作用力与反作用力。 故选：A。</x:v>
      </x:c>
      <x:c r="N10" s="63" t="str">
        <x:v>https://k12static.xdf.cn/k12/image/externalized/54e83317-713e-425c-889c-f6be61f38a39.png</x:v>
      </x:c>
      <x:c r="O10" s="63" t="str">
        <x:v>https://k12static.xdf.cn/k12/image/externalized/03ba5ae3-9311-48b9-b8cf-fd4301018f9c.png</x:v>
      </x:c>
      <x:c r="P10" s="63" t="str">
        <x:v>1-2步</x:v>
      </x:c>
      <x:c r="Q10" s="63" t="str">
        <x:v>概念判断</x:v>
      </x:c>
      <x:c r="R10" s="63" t="str">
        <x:v>单状态</x:v>
      </x:c>
      <x:c r="S10" s="63" t="str">
        <x:v>无约束</x:v>
      </x:c>
      <x:c r="T10" s="63" t="str">
        <x:v>无</x:v>
      </x:c>
      <x:c r="U10" s="63" t="str">
        <x:v>无</x:v>
      </x:c>
      <x:c r="V10" s="63" t="str">
        <x:v>简单因果推理</x:v>
      </x:c>
    </x:row>
    <x:row r="11">
      <x:c r="A11" s="64" t="str">
        <x:v>​2289188810121846784</x:v>
      </x:c>
      <x:c r="B11" s="65" t="str">
        <x:v>送分题</x:v>
      </x:c>
      <x:c r="C11" s="65" t="str">
        <x:v>送分题</x:v>
      </x:c>
      <x:c r="D11" s="65" t="str">
        <x:v>送分题|基础题</x:v>
      </x:c>
      <x:c r="E11" s="65" t="str">
        <x:v>保留原主标签；相邻档有争议</x:v>
      </x:c>
      <x:c r="F11" s="65" t="str">
        <x:v>中</x:v>
      </x:c>
      <x:c r="G11" s="65" t="str">
        <x:v>送分题</x:v>
      </x:c>
      <x:c r="H11" s="65" t="str">
        <x:v>送分题</x:v>
      </x:c>
      <x:c r="I11" s="65" t="str">
        <x:v>第二轮复核认为现有证据只能证明该题处于相邻档边界，不能排除原GPT主标签。为避免使用模型预测反向拟合真值，保留原主标签，并将另一档记录为可接受等级。</x:v>
      </x:c>
      <x:c r="J11" s="65" t="str">
        <x:v>三次运行错题并集逐题复核</x:v>
      </x:c>
      <x:c r="K11" s="63" t="str">
        <x:v>用真空采血管抽血时，将采血针一端刺入人体静脉后，另一端插入真空采血管的胶塞，血液便会自动流入采血管。血液能够流进真空采血管的动力来自（ ）</x:v>
      </x:c>
      <x:c r="L11" s="63" t="str">
        <x:v>A. 大气压 B. 人体内血压 C. 护士的拉力 D. 血液自身重力</x:v>
      </x:c>
      <x:c r="M11" s="63" t="str">
        <x:v>解：真空采血管在组装后应保持一定的负压，即真空试管内气体的压强低于大气压，针头插入检查者的静脉时，在检查者体内血压的压力下，血液流入真空采血管。故B正确，ACD错误。 故选：B。</x:v>
      </x:c>
      <x:c r="N11" s="63" t="str">
        <x:v>https://k12static.xdf.cn/k12/image/externalized/8668eb07-e63f-4bea-a67c-cbb484189964.png</x:v>
      </x:c>
      <x:c r="O11" s="63" t="str">
        <x:v>https://k12static.xdf.cn/k12/image/externalized/716c95bd-8aec-4fa2-a762-7a58f043af84.png</x:v>
      </x:c>
      <x:c r="P11" s="63" t="str">
        <x:v>1-2步</x:v>
      </x:c>
      <x:c r="Q11" s="63" t="str">
        <x:v>概念判断</x:v>
      </x:c>
      <x:c r="R11" s="63" t="str">
        <x:v>单状态</x:v>
      </x:c>
      <x:c r="S11" s="63" t="str">
        <x:v>无约束</x:v>
      </x:c>
      <x:c r="T11" s="63" t="str">
        <x:v>无</x:v>
      </x:c>
      <x:c r="U11" s="63" t="str">
        <x:v>无</x:v>
      </x:c>
      <x:c r="V11" s="63" t="str">
        <x:v>简单因果推理</x:v>
      </x:c>
    </x:row>
    <x:row r="12">
      <x:c r="A12" s="64" t="str">
        <x:v>​2290577834254311424</x:v>
      </x:c>
      <x:c r="B12" s="65" t="str">
        <x:v>送分题</x:v>
      </x:c>
      <x:c r="C12" s="65" t="str">
        <x:v>送分题</x:v>
      </x:c>
      <x:c r="D12" s="65" t="str">
        <x:v>送分题|基础题</x:v>
      </x:c>
      <x:c r="E12" s="65" t="str">
        <x:v>保留原主标签；相邻档有争议</x:v>
      </x:c>
      <x:c r="F12" s="65" t="str">
        <x:v>中</x:v>
      </x:c>
      <x:c r="G12" s="65" t="str">
        <x:v>送分题</x:v>
      </x:c>
      <x:c r="H12" s="65" t="str">
        <x:v>基础题</x:v>
      </x:c>
      <x:c r="I12" s="65" t="str">
        <x:v>第二轮复核认为现有证据只能证明该题处于相邻档边界，不能排除原GPT主标签。为避免使用模型预测反向拟合真值，保留原主标签，并将另一档记录为可接受等级。</x:v>
      </x:c>
      <x:c r="J12" s="65" t="str">
        <x:v>三次运行错题并集逐题复核</x:v>
      </x:c>
      <x:c r="K12" s="63" t="str">
        <x:v>如图是筷子夹菜时的杠杆示意图，其中的一根筷子受阻力和动力方向都正确的是（ ）</x:v>
      </x:c>
      <x:c r="L12" s="63" t="str"/>
      <x:c r="M12" s="63" t="str">
        <x:v>解：手对筷子的作用力为动力，其方向与筷子垂直向下；食物对筷子的阻碍力为阻力，其阻力的作用点为筷子与食物的接触点，并且方向垂直筷子向上。 故选：B。</x:v>
      </x:c>
      <x:c r="N12" s="63" t="str">
        <x:v>https://k12static.xdf.cn/k12/image/externalized/9d890203-aa47-4c70-ab8d-44aa836bcf55.png</x:v>
      </x:c>
      <x:c r="O12" s="63" t="str">
        <x:v>https://k12static.xdf.cn/k12/image/externalized/590d071f-3ffc-4347-ac01-a567f5551bd8.png</x:v>
      </x:c>
      <x:c r="P12" s="63" t="str">
        <x:v>1-2步</x:v>
      </x:c>
      <x:c r="Q12" s="63" t="str">
        <x:v>概念判断</x:v>
      </x:c>
      <x:c r="R12" s="63" t="str">
        <x:v>单状态</x:v>
      </x:c>
      <x:c r="S12" s="63" t="str">
        <x:v>无约束</x:v>
      </x:c>
      <x:c r="T12" s="63" t="str">
        <x:v>无</x:v>
      </x:c>
      <x:c r="U12" s="63" t="str">
        <x:v>无</x:v>
      </x:c>
      <x:c r="V12" s="63" t="str">
        <x:v>简单因果推理</x:v>
      </x:c>
    </x:row>
    <x:row r="13">
      <x:c r="A13" s="64" t="str">
        <x:v>​2290668466418765824</x:v>
      </x:c>
      <x:c r="B13" s="65" t="str">
        <x:v>基础题</x:v>
      </x:c>
      <x:c r="C13" s="65" t="str">
        <x:v>基础题</x:v>
      </x:c>
      <x:c r="D13" s="65" t="str">
        <x:v>基础题|中等题</x:v>
      </x:c>
      <x:c r="E13" s="65" t="str">
        <x:v>保留原主标签；相邻档有争议</x:v>
      </x:c>
      <x:c r="F13" s="65" t="str">
        <x:v>中</x:v>
      </x:c>
      <x:c r="G13" s="65" t="str">
        <x:v>基础题</x:v>
      </x:c>
      <x:c r="H13" s="65" t="str">
        <x:v>基础题</x:v>
      </x:c>
      <x:c r="I13" s="65" t="str">
        <x:v>第二轮复核认为现有证据只能证明该题处于相邻档边界，不能排除原GPT主标签。为避免使用模型预测反向拟合真值，保留原主标签，并将另一档记录为可接受等级。</x:v>
      </x:c>
      <x:c r="J13" s="65" t="str">
        <x:v>三次运行错题并集逐题复核</x:v>
      </x:c>
      <x:c r="K13" s="63" t="str">
        <x:v>如图是“探究影响音调高低因素”的实验装置。下列说法正确的是（ ）</x:v>
      </x:c>
      <x:c r="L13" s="63" t="str">
        <x:v>A. 实验中，改变钢尺伸出桌面的长度是为了改变钢尺振动的频率 B. 实验中，保持钢尺振动的振幅相同是运用了控制变量法 C. 钢尺伸出桌面越长，振动越快 D. 钢尺振动得越快，频率越高，发出的声音音调越高</x:v>
      </x:c>
      <x:c r="M13" s="63" t="str">
        <x:v>解：A、实验中，改变钢尺伸出桌面的长度是为了改变钢尺振动的频率，故A正确； B、实验中，保持钢尺振动的振幅相同是运用了控制变量法，故B正确； C、钢尺伸出桌面越长，振动越慢，故C错误； D、钢尺振动得越快，频率越高，发出的声音音调越高，故D正确。 故选：ABD。</x:v>
      </x:c>
      <x:c r="N13" s="63" t="str">
        <x:v>https://k12static.xdf.cn/k12/image/externalized/25f7a426-a303-4a2e-b7fd-6c5d145ae044.png</x:v>
      </x:c>
      <x:c r="O13" s="63" t="str">
        <x:v>https://k12static.xdf.cn/k12/image/externalized/3e798617-750d-480d-88a2-a0e3e06759a8.png</x:v>
      </x:c>
      <x:c r="P13" s="63" t="str">
        <x:v>1-2步</x:v>
      </x:c>
      <x:c r="Q13" s="63" t="str">
        <x:v>概念判断</x:v>
      </x:c>
      <x:c r="R13" s="63" t="str">
        <x:v>单状态</x:v>
      </x:c>
      <x:c r="S13" s="63" t="str">
        <x:v>无约束</x:v>
      </x:c>
      <x:c r="T13" s="63" t="str">
        <x:v>控制变量或故障分析</x:v>
      </x:c>
      <x:c r="U13" s="63" t="str">
        <x:v>无</x:v>
      </x:c>
      <x:c r="V13" s="63" t="str">
        <x:v>简单因果推理</x:v>
      </x:c>
    </x:row>
    <x:row r="14">
      <x:c r="A14" s="64" t="str">
        <x:v>​2291679002701086720</x:v>
      </x:c>
      <x:c r="B14" s="65" t="str">
        <x:v>基础题</x:v>
      </x:c>
      <x:c r="C14" s="65" t="str">
        <x:v>基础题</x:v>
      </x:c>
      <x:c r="D14" s="65" t="str">
        <x:v>基础题|中等题</x:v>
      </x:c>
      <x:c r="E14" s="65" t="str">
        <x:v>保留原主标签；相邻档有争议</x:v>
      </x:c>
      <x:c r="F14" s="65" t="str">
        <x:v>中</x:v>
      </x:c>
      <x:c r="G14" s="65" t="str">
        <x:v>基础题</x:v>
      </x:c>
      <x:c r="H14" s="65" t="str">
        <x:v>基础题</x:v>
      </x:c>
      <x:c r="I14" s="65" t="str">
        <x:v>第二轮复核认为现有证据只能证明该题处于相邻档边界，不能排除原GPT主标签。为避免使用模型预测反向拟合真值，保留原主标签，并将另一档记录为可接受等级。</x:v>
      </x:c>
      <x:c r="J14" s="65" t="str">
        <x:v>三次运行错题并集逐题复核</x:v>
      </x:c>
      <x:c r="K14" s="63" t="str">
        <x:v>某同学用一把分度值为1mm的直尺，先后测量同一木块的厚度，五次测量结果分别是3.12cm、3.14cm、3.32cm、3.12cm、3.12cm。则测量该木块的厚度的记录结果是（ ）</x:v>
      </x:c>
      <x:c r="L14" s="63" t="str">
        <x:v>A. 3.12cm B. 3.125cm C. 3.13cm D. 3.16cm</x:v>
      </x:c>
      <x:c r="M14" s="63" t="str">
        <x:v>解：依据取多次测量平均值的方法，在最后结果除不尽时采取四舍五入，保留到小数点后面两位。 所以木块的厚度=$\frac{3.12cm+3.14cm+3.12cm+3.12cm}{4}$=3.125cm≈3.13cm。 故选：C。</x:v>
      </x:c>
      <x:c r="N14" s="63" t="str">
        <x:v>https://k12static.xdf.cn/k12/image/externalized/7ea07307-740b-465c-b4d6-d3b80f4eaebb.png</x:v>
      </x:c>
      <x:c r="O14" s="63" t="str">
        <x:v>https://k12static.xdf.cn/k12/image/externalized/58042672-45d8-4cd6-9a67-b0addfadb071.png</x:v>
      </x:c>
      <x:c r="P14" s="63" t="str">
        <x:v>1-2步</x:v>
      </x:c>
      <x:c r="Q14" s="63" t="str">
        <x:v>概念判断</x:v>
      </x:c>
      <x:c r="R14" s="63" t="str">
        <x:v>单状态</x:v>
      </x:c>
      <x:c r="S14" s="63" t="str">
        <x:v>无约束</x:v>
      </x:c>
      <x:c r="T14" s="63" t="str">
        <x:v>无</x:v>
      </x:c>
      <x:c r="U14" s="63" t="str">
        <x:v>无</x:v>
      </x:c>
      <x:c r="V14" s="63" t="str">
        <x:v>简单因果推理</x:v>
      </x:c>
    </x:row>
    <x:row r="15">
      <x:c r="A15" s="64" t="str">
        <x:v>​2328296993517297664</x:v>
      </x:c>
      <x:c r="B15" s="65" t="str">
        <x:v>基础题</x:v>
      </x:c>
      <x:c r="C15" s="65" t="str">
        <x:v>基础题</x:v>
      </x:c>
      <x:c r="D15" s="65" t="str">
        <x:v>基础题|中等题</x:v>
      </x:c>
      <x:c r="E15" s="65" t="str">
        <x:v>保留原主标签；相邻档有争议</x:v>
      </x:c>
      <x:c r="F15" s="65" t="str">
        <x:v>中</x:v>
      </x:c>
      <x:c r="G15" s="65" t="str">
        <x:v>基础题</x:v>
      </x:c>
      <x:c r="H15" s="65" t="str">
        <x:v>基础题</x:v>
      </x:c>
      <x:c r="I15" s="65" t="str">
        <x:v>第二轮复核认为现有证据只能证明该题处于相邻档边界，不能排除原GPT主标签。为避免使用模型预测反向拟合真值，保留原主标签，并将另一档记录为可接受等级。</x:v>
      </x:c>
      <x:c r="J15" s="65" t="str">
        <x:v>三次运行错题并集逐题复核</x:v>
      </x:c>
      <x:c r="K15" s="63" t="str">
        <x:v>如图所示的电路，闭合开关后，当滑片P向左移动时，下列说法正确的是（ ）</x:v>
      </x:c>
      <x:c r="L15" s="63" t="str">
        <x:v>A. 灯泡L变亮 B. 电压表示数变大 C. 电流表A1示数变小 D. 电路消耗的总功率变大</x:v>
      </x:c>
      <x:c r="M15" s="63" t="str">
        <x:v>解：由图可知滑动变阻器R与灯L并联，电压表的示数显示的是电源电压，当滑片P向左移动时，电压表的示数不变，故选项B是错误的； 当滑片P向左移动时，不影响灯L所在的支路的电压和电流，所以灯L的亮度不变，故选项A是错误的； 当滑片P向左移动时，灯L所在的支路电流不变，滑动变阻器所在的支路电压不变，电阻减小，电流增大，而电流表A1的示数是干路中的电流，所以A1的示数增大，故选项C是错误的； 当滑片P向左移动时，电路中的总电流增大，总电压不变，由电功率公式P=UI可知电功率增大，故选项D是正确的。 故选：D。</x:v>
      </x:c>
      <x:c r="N15" s="63" t="str">
        <x:v>https://k12static.xdf.cn/k12/image/externalized/52263d8a-feec-4275-993a-7128486acc6b.png</x:v>
      </x:c>
      <x:c r="O15" s="63" t="str">
        <x:v>https://k12static.xdf.cn/k12/image/externalized/31975d05-1a23-48c6-947b-5a3c567f4b95.png</x:v>
      </x:c>
      <x:c r="P15" s="63" t="str">
        <x:v>3-5步</x:v>
      </x:c>
      <x:c r="Q15" s="63" t="str">
        <x:v>电路综合</x:v>
      </x:c>
      <x:c r="R15" s="63" t="str">
        <x:v>双状态</x:v>
      </x:c>
      <x:c r="S15" s="63" t="str">
        <x:v>单一约束</x:v>
      </x:c>
      <x:c r="T15" s="63" t="str">
        <x:v>无</x:v>
      </x:c>
      <x:c r="U15" s="63" t="str">
        <x:v>无</x:v>
      </x:c>
      <x:c r="V15" s="63" t="str">
        <x:v>多层因果推理</x:v>
      </x:c>
    </x:row>
    <x:row r="16">
      <x:c r="A16" s="64" t="str">
        <x:v>​2336939532704858112</x:v>
      </x:c>
      <x:c r="B16" s="65" t="str">
        <x:v>送分题</x:v>
      </x:c>
      <x:c r="C16" s="65" t="str">
        <x:v>送分题</x:v>
      </x:c>
      <x:c r="D16" s="65" t="str">
        <x:v>送分题|基础题</x:v>
      </x:c>
      <x:c r="E16" s="65" t="str">
        <x:v>保留原主标签；相邻档有争议</x:v>
      </x:c>
      <x:c r="F16" s="65" t="str">
        <x:v>中</x:v>
      </x:c>
      <x:c r="G16" s="65" t="str">
        <x:v>送分题</x:v>
      </x:c>
      <x:c r="H16" s="65" t="str">
        <x:v>送分题</x:v>
      </x:c>
      <x:c r="I16" s="65" t="str">
        <x:v>第二轮复核认为现有证据只能证明该题处于相邻档边界，不能排除原GPT主标签。为避免使用模型预测反向拟合真值，保留原主标签，并将另一档记录为可接受等级。</x:v>
      </x:c>
      <x:c r="J16" s="65" t="str">
        <x:v>三次运行错题并集逐题复核</x:v>
      </x:c>
      <x:c r="K16" s="63" t="str">
        <x:v>滑块被固定在光滑斜面底端的压缩弹簧弹出，滑块离开弹簧后沿斜面向上运动的过程中，不考虑空气阻力，关于滑块的受力示意图正确的是（ ）</x:v>
      </x:c>
      <x:c r="L16" s="63" t="str"/>
      <x:c r="M16" s="63" t="str">
        <x:v>解：光滑斜面，则滑块不受摩擦力作用，故只受竖直向下的重力和垂直于斜面向上的支持力作用。 A、图中支持力方向错误，故A错误； B、图中只画了重力和支持力，且其作用点和方向均正确，故B正确； C、图中重力方向错误，故C错误； D、图中画了摩擦力示意图，故D错误。 故选：B。</x:v>
      </x:c>
      <x:c r="N16" s="63" t="str">
        <x:v>https://k12static.xdf.cn/k12/image/externalized/620aa991-21a9-4bed-8b20-73aa098d89e0.png</x:v>
      </x:c>
      <x:c r="O16" s="63" t="str">
        <x:v>https://k12static.xdf.cn/k12/image/externalized/37c54889-8b36-4a2c-a66d-2a413861ddec.png</x:v>
      </x:c>
      <x:c r="P16" s="63" t="str">
        <x:v>1-2步</x:v>
      </x:c>
      <x:c r="Q16" s="63" t="str">
        <x:v>概念判断</x:v>
      </x:c>
      <x:c r="R16" s="63" t="str">
        <x:v>单状态</x:v>
      </x:c>
      <x:c r="S16" s="63" t="str">
        <x:v>无约束</x:v>
      </x:c>
      <x:c r="T16" s="63" t="str">
        <x:v>无</x:v>
      </x:c>
      <x:c r="U16" s="63" t="str">
        <x:v>无</x:v>
      </x:c>
      <x:c r="V16" s="63" t="str">
        <x:v>简单因果推理</x:v>
      </x:c>
    </x:row>
    <x:row r="17">
      <x:c r="A17" s="64" t="str">
        <x:v>​2352775425867919360</x:v>
      </x:c>
      <x:c r="B17" s="65" t="str">
        <x:v>送分题</x:v>
      </x:c>
      <x:c r="C17" s="65" t="str">
        <x:v>送分题</x:v>
      </x:c>
      <x:c r="D17" s="65" t="str">
        <x:v>送分题|基础题</x:v>
      </x:c>
      <x:c r="E17" s="65" t="str">
        <x:v>保留原主标签；相邻档有争议</x:v>
      </x:c>
      <x:c r="F17" s="65" t="str">
        <x:v>中</x:v>
      </x:c>
      <x:c r="G17" s="65" t="str">
        <x:v>送分题</x:v>
      </x:c>
      <x:c r="H17" s="65" t="str">
        <x:v>送分题</x:v>
      </x:c>
      <x:c r="I17" s="65" t="str">
        <x:v>第二轮复核认为现有证据只能证明该题处于相邻档边界，不能排除原GPT主标签。为避免使用模型预测反向拟合真值，保留原主标签，并将另一档记录为可接受等级。</x:v>
      </x:c>
      <x:c r="J17" s="65" t="str">
        <x:v>三次运行错题并集逐题复核</x:v>
      </x:c>
      <x:c r="K17" s="63" t="str">
        <x:v>一张报纸平摊后用剪刀将它剪成相等的四份，其中的一份平放在水平桌面上，则它对桌面的压强约为（ ）</x:v>
      </x:c>
      <x:c r="L17" s="63" t="str">
        <x:v>A. 0.25帕 B. 0.75帕 C. 1帕 D. 4帕</x:v>
      </x:c>
      <x:c r="M17" s="63" t="str">
        <x:v>解：一张报纸对水平桌面的压强约为1Pa。用剪刀将它剪成相等的四份，压力和面积均变为原来的$\frac{1}{4}$，根据$p=\frac{F}{S}$可知，它对桌面的压强不变，仍为1Pa,故C正确。 故选C。</x:v>
      </x:c>
      <x:c r="N17" s="63" t="str">
        <x:v>https://k12static.xdf.cn/k12/image/externalized/c6ea55af-e28a-4353-a596-5930dc0e183c.png</x:v>
      </x:c>
      <x:c r="O17" s="63" t="str">
        <x:v>https://k12static.xdf.cn/k12/image/externalized/dc108d25-84ac-4f60-ab11-cd68c2371480.png</x:v>
      </x:c>
      <x:c r="P17" s="63" t="str">
        <x:v>1-2步</x:v>
      </x:c>
      <x:c r="Q17" s="63" t="str">
        <x:v>概念判断</x:v>
      </x:c>
      <x:c r="R17" s="63" t="str">
        <x:v>单状态</x:v>
      </x:c>
      <x:c r="S17" s="63" t="str">
        <x:v>无约束</x:v>
      </x:c>
      <x:c r="T17" s="63" t="str">
        <x:v>无</x:v>
      </x:c>
      <x:c r="U17" s="63" t="str">
        <x:v>无</x:v>
      </x:c>
      <x:c r="V17" s="63" t="str">
        <x:v>简单因果推理</x:v>
      </x:c>
    </x:row>
    <x:row r="18">
      <x:c r="A18" s="64" t="str">
        <x:v>​2354294166169890816</x:v>
      </x:c>
      <x:c r="B18" s="65" t="str">
        <x:v>基础题</x:v>
      </x:c>
      <x:c r="C18" s="65" t="str">
        <x:v>基础题</x:v>
      </x:c>
      <x:c r="D18" s="65" t="str">
        <x:v>基础题|中等题</x:v>
      </x:c>
      <x:c r="E18" s="65" t="str">
        <x:v>保留原主标签；相邻档有争议</x:v>
      </x:c>
      <x:c r="F18" s="65" t="str">
        <x:v>中</x:v>
      </x:c>
      <x:c r="G18" s="65" t="str">
        <x:v>基础题</x:v>
      </x:c>
      <x:c r="H18" s="65" t="str">
        <x:v>拔高题</x:v>
      </x:c>
      <x:c r="I18" s="65" t="str">
        <x:v>第二轮复核认为现有证据只能证明该题处于相邻档边界，不能排除原GPT主标签。为避免使用模型预测反向拟合真值，保留原主标签，并将另一档记录为可接受等级。</x:v>
      </x:c>
      <x:c r="J18" s="65" t="str">
        <x:v>三次运行错题并集逐题复核</x:v>
      </x:c>
      <x:c r="K18" s="63" t="str">
        <x:v>如图所示是在一个标准大气压p0下完成的托里拆利实验，玻璃管先竖直放置，管内水银上方为真空，再让玻璃管倾斜，水银充满全管，如图所示，玻璃管倾斜后，水银对玻璃管上端压强为（ ）</x:v>
      </x:c>
      <x:c r="L18" s="63" t="str">
        <x:v>A. 2cm水银柱的压强 B. 0 C. 76cm水银柱的压强 D. 74cm水银柱的压强</x:v>
      </x:c>
      <x:c r="M18" s="63" t="str">
        <x:v>解：在一个标准大气压p0下，大气压等于76cm高水银柱产生的压强；让玻璃管倾斜，水银充满全管，水银柱的高度为74cm,水银对玻璃管上端压强等于76cm-74cm=2cm水银柱的压强。故A正确，BCD错误。 故选：A。</x:v>
      </x:c>
      <x:c r="N18" s="63" t="str">
        <x:v>https://k12static.xdf.cn/k12/image/externalized/fe612313-a0b1-43eb-a711-a2b372ddcd25.png</x:v>
      </x:c>
      <x:c r="O18" s="63" t="str">
        <x:v>https://k12static.xdf.cn/k12/image/externalized/0c6d11fb-5e04-4473-985a-2d94559c0aa9.png</x:v>
      </x:c>
      <x:c r="P18" s="63" t="str">
        <x:v>1-2步</x:v>
      </x:c>
      <x:c r="Q18" s="63" t="str">
        <x:v>概念判断</x:v>
      </x:c>
      <x:c r="R18" s="63" t="str">
        <x:v>双状态</x:v>
      </x:c>
      <x:c r="S18" s="63" t="str">
        <x:v>单一约束</x:v>
      </x:c>
      <x:c r="T18" s="63" t="str">
        <x:v>无</x:v>
      </x:c>
      <x:c r="U18" s="63" t="str">
        <x:v>无</x:v>
      </x:c>
      <x:c r="V18" s="63" t="str">
        <x:v>简单因果推理</x:v>
      </x:c>
    </x:row>
    <x:row r="19">
      <x:c r="A19" s="64" t="str">
        <x:v>​2355737047499063296</x:v>
      </x:c>
      <x:c r="B19" s="65" t="str">
        <x:v>拔高题</x:v>
      </x:c>
      <x:c r="C19" s="65" t="str">
        <x:v>中等题</x:v>
      </x:c>
      <x:c r="D19" s="65" t="str">
        <x:v>中等题|拔高题</x:v>
      </x:c>
      <x:c r="E19" s="65" t="str">
        <x:v>修订GPT主标签</x:v>
      </x:c>
      <x:c r="F19" s="65" t="str">
        <x:v>高</x:v>
      </x:c>
      <x:c r="G19" s="65" t="str">
        <x:v>拔高题</x:v>
      </x:c>
      <x:c r="H19" s="65" t="str">
        <x:v>拔高题</x:v>
      </x:c>
      <x:c r="I19" s="65" t="str">
        <x:v>需要围绕标准实验流程、读数与数据归纳完成常规的3—4个有效决策，或完成一套完整标准实验/共享过程分析。关系仍显性、方法常规，没有决定性隐含转换、复杂边界筛选或多状态强耦合。</x:v>
      </x:c>
      <x:c r="J19" s="65" t="str">
        <x:v>三次运行错题并集逐题复核</x:v>
      </x:c>
      <x:c r="K19" s="63" t="str">
        <x:v>某同学在做萘的熔解[熔化]实验时，根据记录的数据，画出了如图所示的曲线。如果记录和作图没有错误，则以下判断中错误的是（ ）</x:v>
      </x:c>
      <x:c r="L19" s="63" t="str">
        <x:v>A. 在t1时刻刚停止加热，t2时刻又开始加热 B. 在t=0的时刻显示的温度就是萘的熔点 C. 在0～t1的时间内含有萘的放热过程 D. 在t1～t2的时间内萘在不断地放出热量</x:v>
      </x:c>
      <x:c r="M19" s="63" t="str">
        <x:v>解：A、这个图显示的应该是萘从固液混合态慢慢冷却之后又加热的过程。所以“在t1时刻刚停止加热，t2时刻又开始加热”的前半句是错误的。 B、0到t1是萘正在结晶的过程，这个过程中液态的萘不断变成固态的萘，但因为是晶体而不会有温度变化，但凝固过程肯定是放热的，当然是不需要加热的。所以“在t=0的时刻显示的温度就是萘的熔点”； C、“在0～t1的时间内含有萘的放热过程”是正确的； D、t1到t2的时间段里，萘已经全部是固体了，但由于温度还比常温高，所以仍在放热冷却，所以“在t1～t2的时间内萘在不断地放出热量”正确。 故选：A。</x:v>
      </x:c>
      <x:c r="N19" s="63" t="str">
        <x:v>https://k12static.xdf.cn/k12/image/externalized/18da4178-ba49-4f46-b936-8fac5dc06c14.png</x:v>
      </x:c>
      <x:c r="O19" s="63" t="str">
        <x:v>https://k12static.xdf.cn/k12/image/externalized/88a2e8c7-64af-4759-b5c7-4b9f314f4dfd.png</x:v>
      </x:c>
      <x:c r="P19" s="63" t="str">
        <x:v>3-5步</x:v>
      </x:c>
      <x:c r="Q19" s="63" t="str">
        <x:v>概念判断</x:v>
      </x:c>
      <x:c r="R19" s="63" t="str">
        <x:v>双状态</x:v>
      </x:c>
      <x:c r="S19" s="63" t="str">
        <x:v>无约束</x:v>
      </x:c>
      <x:c r="T19" s="63" t="str">
        <x:v>无</x:v>
      </x:c>
      <x:c r="U19" s="63" t="str">
        <x:v>多组比较归纳</x:v>
      </x:c>
      <x:c r="V19" s="63" t="str">
        <x:v>多层因果推理</x:v>
      </x:c>
    </x:row>
    <x:row r="20">
      <x:c r="A20" s="64" t="str">
        <x:v>​2359091761527738368</x:v>
      </x:c>
      <x:c r="B20" s="65" t="str">
        <x:v>拔高题</x:v>
      </x:c>
      <x:c r="C20" s="65" t="str">
        <x:v>中等题</x:v>
      </x:c>
      <x:c r="D20" s="65" t="str">
        <x:v>中等题|拔高题</x:v>
      </x:c>
      <x:c r="E20" s="65" t="str">
        <x:v>修订GPT主标签</x:v>
      </x:c>
      <x:c r="F20" s="65" t="str">
        <x:v>高</x:v>
      </x:c>
      <x:c r="G20" s="65" t="str">
        <x:v>拔高题</x:v>
      </x:c>
      <x:c r="H20" s="65" t="str">
        <x:v>拔高题</x:v>
      </x:c>
      <x:c r="I20" s="65" t="str">
        <x:v>需要围绕力学模型、运动/受力与能量关系完成常规的3—4个有效决策，或完成一套完整标准实验/共享过程分析。关系仍显性、方法常规，没有决定性隐含转换、复杂边界筛选或多状态强耦合。</x:v>
      </x:c>
      <x:c r="J20" s="65" t="str">
        <x:v>三次运行错题并集逐题复核</x:v>
      </x:c>
      <x:c r="K20" s="63" t="str">
        <x:v>随着人们生活水平的日益提高，小汽车越来越多地走进了百姓人家。一辆使用汽油为燃料的小汽车，以72km/h的速度在水平路面上匀速行驶时，发动机的实际功率为20kW；若小汽车行驶的路程为108km,汽油的热值q=4.6×107J/kg,小汽车发动机的效率为25%。则关于小汽车在这段路程中，下列说法正确的是（ ）</x:v>
      </x:c>
      <x:c r="L20" s="63" t="str">
        <x:v>A. 运动的时间为1.2h B. 发动机所做的功为1.08×108J C. 汽车所受的阻力为1000N D. 消耗汽油的质量为5kg</x:v>
      </x:c>
      <x:c r="M20" s="63" t="str">
        <x:v>解：A、运动的时间t=$\frac{s}{v}$=$\frac{108km}{72km/h}$=1.5h,故A错误。 B、发动机所做的功W有=Pt=20×103W×1.5×3600s=1.08×108J，故B正确。 C、汽车的牵引力F=$\frac{P}{v}$=$\frac{20×10^{3}W}{20\;m/s}$=103N，因为汽车的功率是20kW，汽车做匀速运动，所以阻力等于牵引力，为1000N，故C正确。 D、汽油燃烧放出的热量Q=$\frac{{W}_{有}}{η}$=$\frac{1.08×1{0}^{8}J}{0.25}$=4.32×108J，消耗汽油的质量m=$\frac{Q}{q}$=$\frac{4.32×1{0}^{8}J}{4.6×1{0}^{7}J}$≈9.4kg,故D错误。 故选：BC。</x:v>
      </x:c>
      <x:c r="N20" s="63" t="str">
        <x:v>https://k12static.xdf.cn/k12/image/externalized/57f7fa94-b4e4-4119-b2ad-0898401cd827.png</x:v>
      </x:c>
      <x:c r="O20" s="63" t="str">
        <x:v>https://k12static.xdf.cn/k12/image/externalized/82475d13-8dee-4fd0-a6d9-6407742074fc.png</x:v>
      </x:c>
      <x:c r="P20" s="63" t="str">
        <x:v>3-5步</x:v>
      </x:c>
      <x:c r="Q20" s="63" t="str">
        <x:v>热学综合</x:v>
      </x:c>
      <x:c r="R20" s="63" t="str">
        <x:v>单状态</x:v>
      </x:c>
      <x:c r="S20" s="63" t="str">
        <x:v>无约束</x:v>
      </x:c>
      <x:c r="T20" s="63" t="str">
        <x:v>无</x:v>
      </x:c>
      <x:c r="U20" s="63" t="str">
        <x:v>无</x:v>
      </x:c>
      <x:c r="V20" s="63" t="str">
        <x:v>多层因果推理</x:v>
      </x:c>
    </x:row>
    <x:row r="21">
      <x:c r="A21" s="64" t="str">
        <x:v>​2426721994671964160</x:v>
      </x:c>
      <x:c r="B21" s="65" t="str">
        <x:v>基础题</x:v>
      </x:c>
      <x:c r="C21" s="65" t="str">
        <x:v>基础题</x:v>
      </x:c>
      <x:c r="D21" s="65" t="str">
        <x:v>基础题|中等题</x:v>
      </x:c>
      <x:c r="E21" s="65" t="str">
        <x:v>保留原主标签；相邻档有争议</x:v>
      </x:c>
      <x:c r="F21" s="65" t="str">
        <x:v>中</x:v>
      </x:c>
      <x:c r="G21" s="65" t="str">
        <x:v>基础题</x:v>
      </x:c>
      <x:c r="H21" s="65" t="str">
        <x:v>基础题</x:v>
      </x:c>
      <x:c r="I21" s="65" t="str">
        <x:v>第二轮复核认为现有证据只能证明该题处于相邻档边界，不能排除原GPT主标签。为避免使用模型预测反向拟合真值，保留原主标签，并将另一档记录为可接受等级。</x:v>
      </x:c>
      <x:c r="J21" s="65" t="str">
        <x:v>三次运行错题并集逐题复核</x:v>
      </x:c>
      <x:c r="K21" s="63" t="str">
        <x:v>如图是无线电广播工作过程的简易图。话筒把播音员的 转换成 信号，调制器把音频信号加载到 电流上发射到空中，收音机接收到各种电磁波并从中选出特定频率的信号。通过解调将 信号留下，通过 把播音员的声音从收音机播放出来。</x:v>
      </x:c>
      <x:c r="L21" s="63" t="str"/>
      <x:c r="M21" s="63" t="str">
        <x:v>解：话筒将声信号转化为音频电信号，而后该信号经调制器后加载在高频电磁波上，然后由天线发射到空中； 收音机接收装置收到空中的各种电磁波，并通过调谐器从众多的电磁波中找出特定频率的信号，通过调谐器选出音频电信号，送到扬声器即可发出声音。 故答案为：声信号；电；高频；音频；扬声器。</x:v>
      </x:c>
      <x:c r="N21" s="63" t="str">
        <x:v>https://k12static.xdf.cn/k12/image/externalized/4e61b545-2555-40d7-9c78-f27ad2ea55dd.png</x:v>
      </x:c>
      <x:c r="O21" s="63" t="str">
        <x:v>https://k12static.xdf.cn/k12/image/externalized/a64c78b7-1fbd-4ae5-b3bf-14a1279ac709.png</x:v>
      </x:c>
      <x:c r="P21" s="63" t="str">
        <x:v>1-2步</x:v>
      </x:c>
      <x:c r="Q21" s="63" t="str">
        <x:v>概念判断</x:v>
      </x:c>
      <x:c r="R21" s="63" t="str">
        <x:v>单状态</x:v>
      </x:c>
      <x:c r="S21" s="63" t="str">
        <x:v>无约束</x:v>
      </x:c>
      <x:c r="T21" s="63" t="str">
        <x:v>无</x:v>
      </x:c>
      <x:c r="U21" s="63" t="str">
        <x:v>无</x:v>
      </x:c>
      <x:c r="V21" s="63" t="str">
        <x:v>直接套用</x:v>
      </x:c>
    </x:row>
    <x:row r="22">
      <x:c r="A22" s="64" t="str">
        <x:v>​2426820619775299584</x:v>
      </x:c>
      <x:c r="B22" s="65" t="str">
        <x:v>中等题</x:v>
      </x:c>
      <x:c r="C22" s="65" t="str">
        <x:v>拔高题</x:v>
      </x:c>
      <x:c r="D22" s="65" t="str">
        <x:v>中等题|拔高题</x:v>
      </x:c>
      <x:c r="E22" s="65" t="str">
        <x:v>修订GPT主标签</x:v>
      </x:c>
      <x:c r="F22" s="65" t="str">
        <x:v>高</x:v>
      </x:c>
      <x:c r="G22" s="65" t="str">
        <x:v>中等题</x:v>
      </x:c>
      <x:c r="H22" s="65" t="str">
        <x:v>拔高题</x:v>
      </x:c>
      <x:c r="I22" s="65" t="str">
        <x:v>最高难任务在受力、浮力/压强与状态变化中包含图线反推、状态转换、误差评价、几何/等效转换、方程联立或参数反求等决定性卡点，整体约5—6个有效决策；尚未形成压轴所需的完整复杂约束网络。</x:v>
      </x:c>
      <x:c r="J22" s="65" t="str">
        <x:v>三次运行错题并集逐题复核</x:v>
      </x:c>
      <x:c r="K22" s="63" t="str">
        <x:v>如图所示，底面积不同的物体甲、乙分别放置在水平地面上，它们对地面的压强相等。若在两物体上方分别水平截去部分物体后，剩余部分物体对地面的压强仍然相等，则截去部分的物体可能具有（ ）​</x:v>
      </x:c>
      <x:c r="L22" s="63" t="str">
        <x:v>A. 相同的高度，不同的质量 B. 相同的体积，不同的质量 C. 相同的质量，不同的高度 D. 相同的质量，不同的体积</x:v>
      </x:c>
      <x:c r="M22" s="63" t="str">
        <x:v>解：CD、已知底面积不同的物体甲、乙分别放置在水平地面上，它们对地面的压强相等，即p甲=p乙，由图可知，S甲＞S乙，由p=$\frac{F}{S}$可知，甲、乙对地面的压力F甲＞F乙，则G甲＞G乙，m甲＞m乙， 若在两物体上方分别水平截去部分物体后，剩余部分物体对地面的压强仍然相等，即p甲剩=p乙剩， 设水平截去部分物体的质量分别为m甲切、m乙切，则$\frac{{F}_{甲}-{m}_{甲切}g}{{S}_{甲}}$=$\frac{{F}_{乙}-{m}_{乙切}g}{{S}_{乙}}$， 因为F甲＞F乙，S甲＞S乙，所以截去部分的物体质量m甲切＞m乙切，因此截去部分的物体质量不可能相同，故CD错误； AB、已知底面积不同的物体甲、乙分别放置在水平地面上，它们对地面的压强相等，即p甲=p乙， 由图可知，h甲＜h乙，由p=$\frac{F}{S}$=$\frac{G}{S}$=$\frac{mg}{S}$=$\frac{ρVgh}{S}$=ρgh可知，甲、乙的密度关系ρ甲＞ρ乙， 若截取相同的高度，则剩余部分物体对地面的压强不会相等，故A错误； 已经推出m甲切＞m乙切，由ρ=$\frac{m}{V}$可得，截去部分的物体体积可能相同，也可能不同，故B正确。 故选：B。</x:v>
      </x:c>
      <x:c r="N22" s="63" t="str">
        <x:v>https://k12static.xdf.cn/k12/image/externalized/5e2ee2fc-2c61-417e-9aea-e6ef0927d8c3.png</x:v>
      </x:c>
      <x:c r="O22" s="63" t="str">
        <x:v>https://k12static.xdf.cn/k12/image/externalized/9f7ac9e1-d411-4063-a362-f50741d690b5.png</x:v>
      </x:c>
      <x:c r="P22" s="63" t="str">
        <x:v>3-5步</x:v>
      </x:c>
      <x:c r="Q22" s="63" t="str">
        <x:v>力学综合</x:v>
      </x:c>
      <x:c r="R22" s="63" t="str">
        <x:v>双状态</x:v>
      </x:c>
      <x:c r="S22" s="63" t="str">
        <x:v>单一约束</x:v>
      </x:c>
      <x:c r="T22" s="63" t="str">
        <x:v>无</x:v>
      </x:c>
      <x:c r="U22" s="63" t="str">
        <x:v>无</x:v>
      </x:c>
      <x:c r="V22" s="63" t="str">
        <x:v>多层因果推理</x:v>
      </x:c>
    </x:row>
    <x:row r="23">
      <x:c r="A23" s="64" t="str">
        <x:v>​2428756805070626816</x:v>
      </x:c>
      <x:c r="B23" s="65" t="str">
        <x:v>基础题</x:v>
      </x:c>
      <x:c r="C23" s="65" t="str">
        <x:v>基础题</x:v>
      </x:c>
      <x:c r="D23" s="65" t="str">
        <x:v>基础题|中等题</x:v>
      </x:c>
      <x:c r="E23" s="65" t="str">
        <x:v>保留原主标签；相邻档有争议</x:v>
      </x:c>
      <x:c r="F23" s="65" t="str">
        <x:v>中</x:v>
      </x:c>
      <x:c r="G23" s="65" t="str">
        <x:v>基础题</x:v>
      </x:c>
      <x:c r="H23" s="65" t="str">
        <x:v>基础题</x:v>
      </x:c>
      <x:c r="I23" s="65" t="str">
        <x:v>第二轮复核认为现有证据只能证明该题处于相邻档边界，不能排除原GPT主标签。为避免使用模型预测反向拟合真值，保留原主标签，并将另一档记录为可接受等级。</x:v>
      </x:c>
      <x:c r="J23" s="65" t="str">
        <x:v>三次运行错题并集逐题复核</x:v>
      </x:c>
      <x:c r="K23" s="63" t="str">
        <x:v>如图所示，一块长为L、质量分布均匀的木板A放在水平桌面上，板A右端与桌边相齐，在板的右端施一水平力F使板A右端缓慢地离开桌边$\frac{1}{3}$，在板A移动过程中，下列说法正确的是（ ）</x:v>
      </x:c>
      <x:c r="L23" s="63" t="str">
        <x:v>A. A对桌面的摩擦力不断变小 B. A对桌面的弹力是桌面形变产生的 C. A对桌面的压强不变 D. 桌面对A的弹力不变</x:v>
      </x:c>
      <x:c r="M23" s="63" t="str">
        <x:v>解：A、因滑动摩擦力的大小只与接触面的粗糙程度和压力的大小有关， 所以，在板的右端施一水平力F使板A右端缓慢地离开桌边$\frac{1}{3}$时，压力和接触面的粗糙程度不变， 所以，A受到桌面的摩擦力不变，故A错误； B、A对桌面的弹力是A发生形变产生的，故B错误； C、因水平面上物体的压力和自身的重力相等， 所以，在板A移动过程中，A对桌面的压力不变，因在板的右端施一水平力F使板A右端缓慢地离开桌边$\frac{1}{3}$时，木板与桌面的接触面积变小，受力面积变小，所以，由p=$\frac{F}{S}$可知，A对桌面的压强变大，故C错误； D、桌面对A的弹力与A对桌面的压力是一对相互作用力，大小相等，由于A对桌面的压力不变，所以桌面对A的弹力不变，故D正确。 故选：D。</x:v>
      </x:c>
      <x:c r="N23" s="63" t="str">
        <x:v>https://k12static.xdf.cn/k12/image/externalized/e85826ae-4ab8-4603-9d0f-1e48934115e6.png</x:v>
      </x:c>
      <x:c r="O23" s="63" t="str">
        <x:v>https://k12static.xdf.cn/k12/image/externalized/16f7fa04-3866-4d5a-8486-cb6a1fbb98e9.png</x:v>
      </x:c>
      <x:c r="P23" s="63" t="str">
        <x:v>1-2步</x:v>
      </x:c>
      <x:c r="Q23" s="63" t="str">
        <x:v>概念判断</x:v>
      </x:c>
      <x:c r="R23" s="63" t="str">
        <x:v>连续变化</x:v>
      </x:c>
      <x:c r="S23" s="63" t="str">
        <x:v>无约束</x:v>
      </x:c>
      <x:c r="T23" s="63" t="str">
        <x:v>无</x:v>
      </x:c>
      <x:c r="U23" s="63" t="str">
        <x:v>无</x:v>
      </x:c>
      <x:c r="V23" s="63" t="str">
        <x:v>多层因果推理</x:v>
      </x:c>
    </x:row>
    <x:row r="24">
      <x:c r="A24" s="64" t="str">
        <x:v>​2483355573030768640</x:v>
      </x:c>
      <x:c r="B24" s="65" t="str">
        <x:v>送分题</x:v>
      </x:c>
      <x:c r="C24" s="65" t="str">
        <x:v>送分题</x:v>
      </x:c>
      <x:c r="D24" s="65" t="str">
        <x:v>送分题|基础题</x:v>
      </x:c>
      <x:c r="E24" s="65" t="str">
        <x:v>保留原主标签；相邻档有争议</x:v>
      </x:c>
      <x:c r="F24" s="65" t="str">
        <x:v>中</x:v>
      </x:c>
      <x:c r="G24" s="65" t="str">
        <x:v>送分题</x:v>
      </x:c>
      <x:c r="H24" s="65" t="str">
        <x:v>送分题</x:v>
      </x:c>
      <x:c r="I24" s="65" t="str">
        <x:v>第二轮复核认为现有证据只能证明该题处于相邻档边界，不能排除原GPT主标签。为避免使用模型预测反向拟合真值，保留原主标签，并将另一档记录为可接受等级。</x:v>
      </x:c>
      <x:c r="J24" s="65" t="str">
        <x:v>三次运行错题并集逐题复核</x:v>
      </x:c>
      <x:c r="K24" s="63" t="str">
        <x:v>将一个体育测试用的实心球和一个乒乓球同时没入水中，放手后发现：实心球沉入水底。而乒乓球浮出水面，如图所示。比较实心球和乒乓球没入水中时受到的浮力大小，则（ ）</x:v>
      </x:c>
      <x:c r="L24" s="63" t="str">
        <x:v>A. 实心球受到的浮力大 B. 乒乓球受到的浮力大 C. 它们受到的浮力一样大 D. 不能确定</x:v>
      </x:c>
      <x:c r="M24" s="63" t="str">
        <x:v>解：两球没入水中后，实心球排开水的体积较大，由F浮=ρ水gV排可知，实心球受到的浮力较大，A正确，BCD错误。 故选：A。</x:v>
      </x:c>
      <x:c r="N24" s="63" t="str">
        <x:v>https://k12static.xdf.cn/k12/image/externalized/41511d35-8de5-4dec-b063-2dbb2afa2e32.png</x:v>
      </x:c>
      <x:c r="O24" s="63" t="str">
        <x:v>https://k12static.xdf.cn/k12/image/externalized/379b1538-4b3c-4912-b35d-999d77bd2c88.png</x:v>
      </x:c>
      <x:c r="P24" s="63" t="str">
        <x:v>1-2步</x:v>
      </x:c>
      <x:c r="Q24" s="63" t="str">
        <x:v>概念判断</x:v>
      </x:c>
      <x:c r="R24" s="63" t="str">
        <x:v>单状态</x:v>
      </x:c>
      <x:c r="S24" s="63" t="str">
        <x:v>无约束</x:v>
      </x:c>
      <x:c r="T24" s="63" t="str">
        <x:v>无</x:v>
      </x:c>
      <x:c r="U24" s="63" t="str">
        <x:v>无</x:v>
      </x:c>
      <x:c r="V24" s="63" t="str">
        <x:v>简单因果推理</x:v>
      </x:c>
    </x:row>
    <x:row r="25">
      <x:c r="A25" s="64" t="str">
        <x:v>​2533842913537921024</x:v>
      </x:c>
      <x:c r="B25" s="65" t="str">
        <x:v>基础题</x:v>
      </x:c>
      <x:c r="C25" s="65" t="str">
        <x:v>基础题</x:v>
      </x:c>
      <x:c r="D25" s="65" t="str">
        <x:v>基础题|中等题</x:v>
      </x:c>
      <x:c r="E25" s="65" t="str">
        <x:v>保留原主标签；相邻档有争议</x:v>
      </x:c>
      <x:c r="F25" s="65" t="str">
        <x:v>中</x:v>
      </x:c>
      <x:c r="G25" s="65" t="str">
        <x:v>基础题</x:v>
      </x:c>
      <x:c r="H25" s="65" t="str">
        <x:v>基础题</x:v>
      </x:c>
      <x:c r="I25" s="65" t="str">
        <x:v>第二轮复核认为现有证据只能证明该题处于相邻档边界，不能排除原GPT主标签。为避免使用模型预测反向拟合真值，保留原主标签，并将另一档记录为可接受等级。</x:v>
      </x:c>
      <x:c r="J25" s="65" t="str">
        <x:v>三次运行错题并集逐题复核</x:v>
      </x:c>
      <x:c r="K25" s="63" t="str">
        <x:v>分子很小，看不见摸不着，但我们可以通过一些直接感知的现象经过合理的推测来认识分子的一些性质，下列推测既合理又符合事实的有（ ）个。 ①现象：在空调房间内吸烟看到烟雾在空中弥漫；推测：分子在做无规则运动 ②现象：注射器内封住的水很难被压缩；推测：分子之间没有间隙 ③现象：磁铁上吸住了很多小铁钉；推测：分子之间存在引力作用 ④现象：打开酒精瓶的瓶塞后，教室里弥漫着酒精味；推测：分子在做无规则运动 ⑤现象：破镜不能重圆；推测：分子间有排斥力</x:v>
      </x:c>
      <x:c r="L25" s="63" t="str">
        <x:v>A. 1个 B. 2个 C. 3个 D. 4个</x:v>
      </x:c>
      <x:c r="M25" s="63" t="str">
        <x:v>解：①看到烟雾在空中弥漫，是固体小颗粒的运动，属于机械运动，不能说明分子在做无规则运动，故①错误； ②注射器内的水很难压缩正是由于分子间存在着强大的斥力的缘故，分子之间有间隙，故②错误； ③磁铁上吸住了很多小铁钉是因为小铁钉受到磁力的作用，故③错误； ④打开酒精瓶的瓶塞后，教室里弥漫着酒精味，说明分子在做无规则运动，故④正确； ⑤破镜不能重圆是因为分子间的距离没有达到分子力作用范围，故⑤错误。 故选：A。</x:v>
      </x:c>
      <x:c r="N25" s="63" t="str">
        <x:v>https://k12static.xdf.cn/k12/image/externalized/1a7a482a-2f06-4449-afd2-5ab4ae019935.png</x:v>
      </x:c>
      <x:c r="O25" s="63" t="str">
        <x:v>https://k12static.xdf.cn/k12/image/externalized/1ca4bcde-07f3-46b9-900b-e8827b2cc99c.png</x:v>
      </x:c>
      <x:c r="P25" s="63" t="str">
        <x:v>1-2步</x:v>
      </x:c>
      <x:c r="Q25" s="63" t="str">
        <x:v>概念判断</x:v>
      </x:c>
      <x:c r="R25" s="63" t="str">
        <x:v>单状态</x:v>
      </x:c>
      <x:c r="S25" s="63" t="str">
        <x:v>无约束</x:v>
      </x:c>
      <x:c r="T25" s="63" t="str">
        <x:v>无</x:v>
      </x:c>
      <x:c r="U25" s="63" t="str">
        <x:v>无</x:v>
      </x:c>
      <x:c r="V25" s="63" t="str">
        <x:v>简单因果推理</x:v>
      </x:c>
    </x:row>
    <x:row r="26">
      <x:c r="A26" s="64" t="str">
        <x:v>​2538082621992771584</x:v>
      </x:c>
      <x:c r="B26" s="65" t="str">
        <x:v>送分题</x:v>
      </x:c>
      <x:c r="C26" s="65" t="str">
        <x:v>基础题</x:v>
      </x:c>
      <x:c r="D26" s="65" t="str">
        <x:v>送分题|基础题</x:v>
      </x:c>
      <x:c r="E26" s="65" t="str">
        <x:v>修订GPT主标签</x:v>
      </x:c>
      <x:c r="F26" s="65" t="str">
        <x:v>高</x:v>
      </x:c>
      <x:c r="G26" s="65" t="str">
        <x:v>基础题</x:v>
      </x:c>
      <x:c r="H26" s="65" t="str">
        <x:v>中等题</x:v>
      </x:c>
      <x:c r="I26" s="65" t="str">
        <x:v>需要将光的折射规律映射到水中刻度的视觉变化，超过送分题的直接检索，但最长链仍只有1—2个常规决策，不足以达到中等题。</x:v>
      </x:c>
      <x:c r="J26" s="65" t="str">
        <x:v>三次运行错题并集逐题复核</x:v>
      </x:c>
      <x:c r="K26" s="63" t="str">
        <x:v>如图所示，将刻度尺斜插入水中，从水面上看去，水中尺子的刻度情况（ ）</x:v>
      </x:c>
      <x:c r="L26" s="63" t="str">
        <x:v>A. 变得疏了 B. 变得密了 C. 一部分变疏一部分变密 D. 疏密没有变化</x:v>
      </x:c>
      <x:c r="M26" s="63" t="str">
        <x:v>解：将刻度尺斜插入水中，从水中的尺子上反射出的光线由水中斜射入空气时，在水面上发生折射，折射角大于入射角，折射光线进入人眼，人眼会逆着折射光线的方向看去，就会觉得尺子变短了，所以水中尺子的刻度看起来变得密了。 故选：B。</x:v>
      </x:c>
      <x:c r="N26" s="63" t="str">
        <x:v>https://k12static.xdf.cn/k12/image/externalized/86378710-5a54-4e2e-9176-d4b0ed65ce6d.png</x:v>
      </x:c>
      <x:c r="O26" s="63" t="str">
        <x:v>https://k12static.xdf.cn/k12/image/externalized/86c97aad-a436-4963-a1e1-02fdd382411f.png</x:v>
      </x:c>
      <x:c r="P26" s="63" t="str">
        <x:v>1-2步</x:v>
      </x:c>
      <x:c r="Q26" s="63" t="str">
        <x:v>光学声学综合</x:v>
      </x:c>
      <x:c r="R26" s="63" t="str">
        <x:v>单状态</x:v>
      </x:c>
      <x:c r="S26" s="63" t="str">
        <x:v>无约束</x:v>
      </x:c>
      <x:c r="T26" s="63" t="str">
        <x:v>无</x:v>
      </x:c>
      <x:c r="U26" s="63" t="str">
        <x:v>无</x:v>
      </x:c>
      <x:c r="V26" s="63" t="str">
        <x:v>简单因果推理</x:v>
      </x:c>
    </x:row>
    <x:row r="27">
      <x:c r="A27" s="64" t="str">
        <x:v>​2540318633685504000</x:v>
      </x:c>
      <x:c r="B27" s="65" t="str">
        <x:v>基础题</x:v>
      </x:c>
      <x:c r="C27" s="65" t="str">
        <x:v>基础题</x:v>
      </x:c>
      <x:c r="D27" s="65" t="str">
        <x:v>基础题|中等题</x:v>
      </x:c>
      <x:c r="E27" s="65" t="str">
        <x:v>保留原主标签；相邻档有争议</x:v>
      </x:c>
      <x:c r="F27" s="65" t="str">
        <x:v>中</x:v>
      </x:c>
      <x:c r="G27" s="65" t="str">
        <x:v>基础题</x:v>
      </x:c>
      <x:c r="H27" s="65" t="str">
        <x:v>基础题</x:v>
      </x:c>
      <x:c r="I27" s="65" t="str">
        <x:v>第二轮复核认为现有证据只能证明该题处于相邻档边界，不能排除原GPT主标签。为避免使用模型预测反向拟合真值，保留原主标签，并将另一档记录为可接受等级。</x:v>
      </x:c>
      <x:c r="J27" s="65" t="str">
        <x:v>三次运行错题并集逐题复核</x:v>
      </x:c>
      <x:c r="K27" s="63" t="str">
        <x:v>小明利用如图所示的装置探究杠杆的平衡条件，对于该实验，下列说法正确的是（ ）</x:v>
      </x:c>
      <x:c r="L27" s="63" t="str">
        <x:v>A. 实验过程中，应控制一侧的钩码数量及位置不变，用到了控制变量法 B. 实验结论表明“动力×支点到动力作用点的距离=阻力×支点到阻力作用点的距离” C. 应该用质量可忽略的轻质杠杆进行实验，否则杠杆的自重会对实验造成影响 D. 为了让实验结论更具有普遍性，既可以改变钩码的数量，又可以改变钩码的位置</x:v>
      </x:c>
      <x:c r="M27" s="63" t="str">
        <x:v>解：AD．实验过程中，为了得到普遍规律，既可以改变钩码的数量，又可以改变钩码的位置，进行多次实验，没有用到控制变量法。故A错误，D正确； B．力臂是支点到力的作用线的距离，实验结论表明“动力×动力臂=阻力×阻力臂”，故B错误； C．实验中只需将杠杆的重心通过支点，就可以避免杠杆的自重会对实验造成的影响，故C错误。 故选：D。</x:v>
      </x:c>
      <x:c r="N27" s="63" t="str">
        <x:v>https://k12static.xdf.cn/k12/image/externalized/2b36ff4c-3f4d-4438-864b-43ea2d85fc1e.png</x:v>
      </x:c>
      <x:c r="O27" s="63" t="str">
        <x:v>https://k12static.xdf.cn/k12/image/externalized/8e64d731-3243-4d19-92af-92c708ae3dba.png</x:v>
      </x:c>
      <x:c r="P27" s="63" t="str">
        <x:v>1-2步</x:v>
      </x:c>
      <x:c r="Q27" s="63" t="str">
        <x:v>概念判断</x:v>
      </x:c>
      <x:c r="R27" s="63" t="str">
        <x:v>单状态</x:v>
      </x:c>
      <x:c r="S27" s="63" t="str">
        <x:v>无约束</x:v>
      </x:c>
      <x:c r="T27" s="63" t="str">
        <x:v>控制变量或故障分析</x:v>
      </x:c>
      <x:c r="U27" s="63" t="str">
        <x:v>无</x:v>
      </x:c>
      <x:c r="V27" s="63" t="str">
        <x:v>多层因果推理</x:v>
      </x:c>
    </x:row>
    <x:row r="28">
      <x:c r="A28" s="64" t="str">
        <x:v>​2568486439690219520</x:v>
      </x:c>
      <x:c r="B28" s="65" t="str">
        <x:v>送分题</x:v>
      </x:c>
      <x:c r="C28" s="65" t="str">
        <x:v>送分题</x:v>
      </x:c>
      <x:c r="D28" s="65" t="str">
        <x:v>送分题|基础题</x:v>
      </x:c>
      <x:c r="E28" s="65" t="str">
        <x:v>保留原主标签；相邻档有争议</x:v>
      </x:c>
      <x:c r="F28" s="65" t="str">
        <x:v>中</x:v>
      </x:c>
      <x:c r="G28" s="65" t="str">
        <x:v>送分题</x:v>
      </x:c>
      <x:c r="H28" s="65" t="str">
        <x:v>送分题</x:v>
      </x:c>
      <x:c r="I28" s="65" t="str">
        <x:v>第二轮复核认为现有证据只能证明该题处于相邻档边界，不能排除原GPT主标签。为避免使用模型预测反向拟合真值，保留原主标签，并将另一档记录为可接受等级。</x:v>
      </x:c>
      <x:c r="J28" s="65" t="str">
        <x:v>三次运行错题并集逐题复核</x:v>
      </x:c>
      <x:c r="K28" s="63" t="str">
        <x:v>如图是一辆小车做直线运动的路程-时间图象，由图象可知该小车在0～3s内运动的路程为（ ）</x:v>
      </x:c>
      <x:c r="L28" s="63" t="str">
        <x:v>A. 1m B. 2m C. 3m D. 4m</x:v>
      </x:c>
      <x:c r="M28" s="63" t="str">
        <x:v>解：由图象可知：小车在0～1s内处于静止状态；在1～2s内处于运动状态，运动的路程为2m-1m=1m；在2～3s内处于静止状态，所以小车在0～3s内运动的路程为1m。 故选：A。</x:v>
      </x:c>
      <x:c r="N28" s="63" t="str">
        <x:v>https://k12static.xdf.cn/k12/image/externalized/9c2e7b44-7890-4088-b4de-25099619796a.png</x:v>
      </x:c>
      <x:c r="O28" s="63" t="str">
        <x:v>https://k12static.xdf.cn/k12/image/externalized/db42b2ed-6c2f-4cde-aa74-89ee56ffd67d.png</x:v>
      </x:c>
      <x:c r="P28" s="63" t="str">
        <x:v>1-2步</x:v>
      </x:c>
      <x:c r="Q28" s="63" t="str">
        <x:v>图像表格分析</x:v>
      </x:c>
      <x:c r="R28" s="63" t="str">
        <x:v>单状态</x:v>
      </x:c>
      <x:c r="S28" s="63" t="str">
        <x:v>无约束</x:v>
      </x:c>
      <x:c r="T28" s="63" t="str">
        <x:v>无</x:v>
      </x:c>
      <x:c r="U28" s="63" t="str">
        <x:v>直接读数</x:v>
      </x:c>
      <x:c r="V28" s="63" t="str">
        <x:v>简单因果推理</x:v>
      </x:c>
    </x:row>
    <x:row r="29">
      <x:c r="A29" s="64" t="str">
        <x:v>​2577618973254782976</x:v>
      </x:c>
      <x:c r="B29" s="65" t="str">
        <x:v>基础题</x:v>
      </x:c>
      <x:c r="C29" s="65" t="str">
        <x:v>基础题</x:v>
      </x:c>
      <x:c r="D29" s="65" t="str">
        <x:v>基础题|中等题</x:v>
      </x:c>
      <x:c r="E29" s="65" t="str">
        <x:v>保留原主标签；相邻档有争议</x:v>
      </x:c>
      <x:c r="F29" s="65" t="str">
        <x:v>中</x:v>
      </x:c>
      <x:c r="G29" s="65" t="str">
        <x:v>基础题</x:v>
      </x:c>
      <x:c r="H29" s="65" t="str">
        <x:v>基础题</x:v>
      </x:c>
      <x:c r="I29" s="65" t="str">
        <x:v>第二轮复核认为现有证据只能证明该题处于相邻档边界，不能排除原GPT主标签。为避免使用模型预测反向拟合真值，保留原主标签，并将另一档记录为可接受等级。</x:v>
      </x:c>
      <x:c r="J29" s="65" t="str">
        <x:v>三次运行错题并集逐题复核</x:v>
      </x:c>
      <x:c r="K29" s="63" t="str">
        <x:v>张先生驾车从广州到肇庆旅游，汽车以90km/h的平均速度行驶0.5h到达三水，休息0.5h后，再以80km/h的平均速度行驶1.5h到达肇庆，请求： （1）广州到三水，汽车行驶的路程是多少km？ （2）广州到肇庆，汽车的平均速度是多少km/h？</x:v>
      </x:c>
      <x:c r="L29" s="63" t="str"/>
      <x:c r="M29" s="63" t="str">
        <x:v>解：（1）汽车从广州到三水的路程： s1=v1t1=90km/h×0.5h=45km； （2）汽车从三水到肇庆的路程： s2=v2t2=80km/h×1.5h=120km, 总路程：s=s1+s2=45km+120km=165km, 行驶的总时间：t=t1+t3+t2=0.5h+0.5h+1.5h=2.5h, 平均速度：v=$\frac{s}{t}$=$\frac{165km}{2.5h}$=66km/h。 答：（1）广州到三水，汽车行驶的路程是45km； （2）广州到肇庆，汽车的平均速度是66km/h。</x:v>
      </x:c>
      <x:c r="N29" s="63" t="str">
        <x:v>https://k12static.xdf.cn/k12/image/externalized/f35354f2-3d5a-4224-93a7-94fdddcec4c1.png</x:v>
      </x:c>
      <x:c r="O29" s="63" t="str">
        <x:v>https://k12static.xdf.cn/k12/image/externalized/78a969b9-9d1e-4676-9387-3270ce99d955.png</x:v>
      </x:c>
      <x:c r="P29" s="63" t="str">
        <x:v>3-5步</x:v>
      </x:c>
      <x:c r="Q29" s="63" t="str">
        <x:v>力学综合</x:v>
      </x:c>
      <x:c r="R29" s="63" t="str">
        <x:v>双状态</x:v>
      </x:c>
      <x:c r="S29" s="63" t="str">
        <x:v>无约束</x:v>
      </x:c>
      <x:c r="T29" s="63" t="str">
        <x:v>无</x:v>
      </x:c>
      <x:c r="U29" s="63" t="str">
        <x:v>无</x:v>
      </x:c>
      <x:c r="V29" s="63" t="str">
        <x:v>多层因果推理</x:v>
      </x:c>
    </x:row>
    <x:row r="30">
      <x:c r="A30" s="64" t="str">
        <x:v>​2589025820182601728</x:v>
      </x:c>
      <x:c r="B30" s="65" t="str">
        <x:v>送分题</x:v>
      </x:c>
      <x:c r="C30" s="65" t="str">
        <x:v>送分题</x:v>
      </x:c>
      <x:c r="D30" s="65" t="str">
        <x:v>送分题|基础题</x:v>
      </x:c>
      <x:c r="E30" s="65" t="str">
        <x:v>保留原主标签；相邻档有争议</x:v>
      </x:c>
      <x:c r="F30" s="65" t="str">
        <x:v>中</x:v>
      </x:c>
      <x:c r="G30" s="65" t="str">
        <x:v>送分题</x:v>
      </x:c>
      <x:c r="H30" s="65" t="str">
        <x:v>送分题</x:v>
      </x:c>
      <x:c r="I30" s="65" t="str">
        <x:v>第二轮复核认为现有证据只能证明该题处于相邻档边界，不能排除原GPT主标签。为避免使用模型预测反向拟合真值，保留原主标签，并将另一档记录为可接受等级。</x:v>
      </x:c>
      <x:c r="J30" s="65" t="str">
        <x:v>三次运行错题并集逐题复核</x:v>
      </x:c>
      <x:c r="K30" s="63" t="str">
        <x:v>现代农业利用喷药无人机喷洒农药，安全又高效，如图所示，喷药无人机在农田上方沿水平方向匀速飞行，同时均匀喷洒农药，此过程中，喷药无人机的（ ）</x:v>
      </x:c>
      <x:c r="L30" s="63" t="str">
        <x:v>A. 动能减小、重力势能减小 B. 动能减小、重力势能不变 C. 动能不变、重力势能减小 D. 动能不变、重力势能不变</x:v>
      </x:c>
      <x:c r="M30" s="63" t="str">
        <x:v>解： 无人机在农田上空的某一高度水平匀速飞行，同时均匀喷洒农药，飞机的速度和高度均不变，但质量变小，所以无人机的动能减小，重力势能减小。 故选：A。</x:v>
      </x:c>
      <x:c r="N30" s="63" t="str">
        <x:v>https://k12static.xdf.cn/k12/image/externalized/3f38dce1-9810-4467-b12c-b0c9334f8445.png</x:v>
      </x:c>
      <x:c r="O30" s="63" t="str">
        <x:v>https://k12static.xdf.cn/k12/image/externalized/fbdd2a64-1d46-4385-9dd1-961eb07d53a0.png</x:v>
      </x:c>
      <x:c r="P30" s="63" t="str">
        <x:v>1-2步</x:v>
      </x:c>
      <x:c r="Q30" s="63" t="str">
        <x:v>概念判断</x:v>
      </x:c>
      <x:c r="R30" s="63" t="str">
        <x:v>单状态</x:v>
      </x:c>
      <x:c r="S30" s="63" t="str">
        <x:v>无约束</x:v>
      </x:c>
      <x:c r="T30" s="63" t="str">
        <x:v>无</x:v>
      </x:c>
      <x:c r="U30" s="63" t="str">
        <x:v>无</x:v>
      </x:c>
      <x:c r="V30" s="63" t="str">
        <x:v>简单因果推理</x:v>
      </x:c>
    </x:row>
    <x:row r="31">
      <x:c r="A31" s="64" t="str">
        <x:v>​2589556251897663488</x:v>
      </x:c>
      <x:c r="B31" s="65" t="str">
        <x:v>基础题</x:v>
      </x:c>
      <x:c r="C31" s="65" t="str">
        <x:v>基础题</x:v>
      </x:c>
      <x:c r="D31" s="65" t="str">
        <x:v>基础题|中等题</x:v>
      </x:c>
      <x:c r="E31" s="65" t="str">
        <x:v>保留原主标签；相邻档有争议</x:v>
      </x:c>
      <x:c r="F31" s="65" t="str">
        <x:v>中</x:v>
      </x:c>
      <x:c r="G31" s="65" t="str">
        <x:v>基础题</x:v>
      </x:c>
      <x:c r="H31" s="65" t="str">
        <x:v>基础题</x:v>
      </x:c>
      <x:c r="I31" s="65" t="str">
        <x:v>第二轮复核认为现有证据只能证明该题处于相邻档边界，不能排除原GPT主标签。为避免使用模型预测反向拟合真值，保留原主标签，并将另一档记录为可接受等级。</x:v>
      </x:c>
      <x:c r="J31" s="65" t="str">
        <x:v>三次运行错题并集逐题复核</x:v>
      </x:c>
      <x:c r="K31" s="63" t="str">
        <x:v>如图所示，电源电压不变，闭合开关S，电压表V1的示数为6V，电压表V2的示数为4V。下列说法正确的是（ ）</x:v>
      </x:c>
      <x:c r="L31" s="63" t="str">
        <x:v>A. L1两端电压为4V B. L1与L2电流之比为2：1 C. 若灯L1发生断路，灯L2不能继续发光 D. 断开开关，只将电压表V2换成电流表，则L1与L2串联</x:v>
      </x:c>
      <x:c r="M31" s="63" t="str">
        <x:v>解：A、由电路图可知，两灯泡串联，电压表V1测电源的电压，电压表V2测L2两端的电压，由两个电压表的示数可知，电源的电压U=6V；电压表V2的示数为4V，则L2两端的电压U2=4V；因串联电路中总电压等于各分电压之和，所以，L1两端电压：U1=U-U2=6V-4V=2V，故A错误； B、两灯泡串联，串联电路中电流处处相等，通过两灯的电流相等，则L1与L2电流之比为：1，故B错误； C、串联电路只有一条电流的路径，若灯L1发生断路，整个电路断开，灯L2不会发光，故C正确； D、将电压表V2换成电流表，灯泡L2短路，电路为灯泡L1的简单电路，电流表测量灯泡L1的电流，故D错误。 故选：C。</x:v>
      </x:c>
      <x:c r="N31" s="63" t="str">
        <x:v>https://k12static.xdf.cn/k12/image/externalized/ab5e10ec-882b-4ccc-b004-20d5517f9099.png</x:v>
      </x:c>
      <x:c r="O31" s="63" t="str">
        <x:v>https://k12static.xdf.cn/k12/image/externalized/90698dac-7bf4-40d8-8a83-66a02d5bb916.png</x:v>
      </x:c>
      <x:c r="P31" s="63" t="str">
        <x:v>3-5步</x:v>
      </x:c>
      <x:c r="Q31" s="63" t="str">
        <x:v>概念判断</x:v>
      </x:c>
      <x:c r="R31" s="63" t="str">
        <x:v>单状态</x:v>
      </x:c>
      <x:c r="S31" s="63" t="str">
        <x:v>无约束</x:v>
      </x:c>
      <x:c r="T31" s="63" t="str">
        <x:v>无</x:v>
      </x:c>
      <x:c r="U31" s="63" t="str">
        <x:v>无</x:v>
      </x:c>
      <x:c r="V31" s="63" t="str">
        <x:v>多层因果推理</x:v>
      </x:c>
    </x:row>
    <x:row r="32">
      <x:c r="A32" s="64" t="str">
        <x:v>​2602610157647134720</x:v>
      </x:c>
      <x:c r="B32" s="65" t="str">
        <x:v>基础题</x:v>
      </x:c>
      <x:c r="C32" s="65" t="str">
        <x:v>基础题</x:v>
      </x:c>
      <x:c r="D32" s="65" t="str">
        <x:v>基础题|中等题</x:v>
      </x:c>
      <x:c r="E32" s="65" t="str">
        <x:v>保留原主标签；相邻档有争议</x:v>
      </x:c>
      <x:c r="F32" s="65" t="str">
        <x:v>中</x:v>
      </x:c>
      <x:c r="G32" s="65" t="str">
        <x:v>基础题</x:v>
      </x:c>
      <x:c r="H32" s="65" t="str">
        <x:v>基础题</x:v>
      </x:c>
      <x:c r="I32" s="65" t="str">
        <x:v>第二轮复核认为现有证据只能证明该题处于相邻档边界，不能排除原GPT主标签。为避免使用模型预测反向拟合真值，保留原主标签，并将另一档记录为可接受等级。</x:v>
      </x:c>
      <x:c r="J32" s="65" t="str">
        <x:v>三次运行错题并集逐题复核</x:v>
      </x:c>
      <x:c r="K32" s="63" t="str">
        <x:v>甲、乙两辆车同时从同一地点出发，其路程—时间图像如图所示，由图像可知（ ）</x:v>
      </x:c>
      <x:c r="L32" s="63" t="str">
        <x:v>A. 第10秒时，甲、乙两车速度相同 B. 10～20秒，乙车做匀速直线运动 C. 0～10秒，乙车通过的路程比甲车的路程长 D. 通过前15米时，乙车的平均速度比甲车的平均速度大</x:v>
      </x:c>
      <x:c r="M32" s="63" t="str">
        <x:v>解：AB、由图可知，0～20s时，甲车的是一条过原点的直线，可知甲车做匀速直线运动；乙车的是一条平行于时间轴的直线，可知乙车静止，速度为零，所以第10秒时，甲、乙两车速度不相同，故AB不符合题意； C、由图可知，第10s时，两车的位置相同，即两车相遇，表示通过的路程相同，C不符合题意； D．通过前15米时，乙车所用的时间少于甲车所用的时间，根据$v=\frac{s}{t}$可知，乙车的平均速度速度大于甲车的平均速度，故D符合题意。 故选：D。</x:v>
      </x:c>
      <x:c r="N32" s="63" t="str">
        <x:v>https://k12static.xdf.cn/k12/image/externalized/d5f5e77b-bb45-424b-ba11-6f17db1d8541.png</x:v>
      </x:c>
      <x:c r="O32" s="63" t="str">
        <x:v>https://k12static.xdf.cn/k12/image/externalized/5977a071-4cce-4851-ae8c-d3bdf16a17e6.png</x:v>
      </x:c>
      <x:c r="P32" s="63" t="str">
        <x:v>3-5步</x:v>
      </x:c>
      <x:c r="Q32" s="63" t="str">
        <x:v>概念判断</x:v>
      </x:c>
      <x:c r="R32" s="63" t="str">
        <x:v>单状态</x:v>
      </x:c>
      <x:c r="S32" s="63" t="str">
        <x:v>无约束</x:v>
      </x:c>
      <x:c r="T32" s="63" t="str">
        <x:v>无</x:v>
      </x:c>
      <x:c r="U32" s="63" t="str">
        <x:v>多组比较归纳</x:v>
      </x:c>
      <x:c r="V32" s="63" t="str">
        <x:v>多层因果推理</x:v>
      </x:c>
    </x:row>
    <x:row r="33">
      <x:c r="A33" s="64" t="str">
        <x:v>​2613775611097567232</x:v>
      </x:c>
      <x:c r="B33" s="65" t="str">
        <x:v>送分题</x:v>
      </x:c>
      <x:c r="C33" s="65" t="str">
        <x:v>送分题</x:v>
      </x:c>
      <x:c r="D33" s="65" t="str">
        <x:v>送分题|基础题</x:v>
      </x:c>
      <x:c r="E33" s="65" t="str">
        <x:v>保留原主标签；相邻档有争议</x:v>
      </x:c>
      <x:c r="F33" s="65" t="str">
        <x:v>中</x:v>
      </x:c>
      <x:c r="G33" s="65" t="str">
        <x:v>送分题</x:v>
      </x:c>
      <x:c r="H33" s="65" t="str">
        <x:v>基础题</x:v>
      </x:c>
      <x:c r="I33" s="65" t="str">
        <x:v>第二轮复核认为现有证据只能证明该题处于相邻档边界，不能排除原GPT主标签。为避免使用模型预测反向拟合真值，保留原主标签，并将另一档记录为可接受等级。</x:v>
      </x:c>
      <x:c r="J33" s="65" t="str">
        <x:v>三次运行错题并集逐题复核</x:v>
      </x:c>
      <x:c r="K33" s="63" t="str">
        <x:v>为了揭示微观世界的奥秘，无数科学家进行了不懈的探索，下列说法错误的是（ ）</x:v>
      </x:c>
      <x:c r="L33" s="63" t="str">
        <x:v>A. 查德威克发现了电子，表明原子不是物质的不可再分的最小单元 B. 卢瑟福建立了原子结构的行星模型 C. 科学家发现原子核由带正电的质子和不带电的中子组成 D. 质子、中子、电子就是组成物质世界的最小微粒，不可再分</x:v>
      </x:c>
      <x:c r="M33" s="63" t="str">
        <x:v>解：A．汤姆生发现了电子，从而揭示了原子是可以再分的，查德威克发现了中子，故A错误； B．卢瑟福建立了原子结构的行星模型，即原子的核式结构，故B正确； C．原子核是由带正电的质子和不带电的中子组成，原子的质量主要集中在原子核上，故C正确； D．质子和中子都是由被称为夸克的更小粒子组成的，即质子和中子可再分，电子没有已知的内部结构，是不可再分的粒子，故D错误。 故选：AD。</x:v>
      </x:c>
      <x:c r="N33" s="63" t="str">
        <x:v>https://k12static.xdf.cn/k12/image/externalized/b48a9e90-97c1-4749-a6d0-f754f358e274.png</x:v>
      </x:c>
      <x:c r="O33" s="63" t="str">
        <x:v>https://k12static.xdf.cn/k12/image/externalized/7eeab14e-68d5-40b1-bd67-f763f664b1a3.png</x:v>
      </x:c>
      <x:c r="P33" s="63" t="str">
        <x:v>1-2步</x:v>
      </x:c>
      <x:c r="Q33" s="63" t="str">
        <x:v>概念判断</x:v>
      </x:c>
      <x:c r="R33" s="63" t="str">
        <x:v>单状态</x:v>
      </x:c>
      <x:c r="S33" s="63" t="str">
        <x:v>无约束</x:v>
      </x:c>
      <x:c r="T33" s="63" t="str">
        <x:v>无</x:v>
      </x:c>
      <x:c r="U33" s="63" t="str">
        <x:v>无</x:v>
      </x:c>
      <x:c r="V33" s="63" t="str">
        <x:v>直接套用</x:v>
      </x:c>
    </x:row>
    <x:row r="34">
      <x:c r="A34" s="64" t="str">
        <x:v>​2623881201234239488</x:v>
      </x:c>
      <x:c r="B34" s="65" t="str">
        <x:v>送分题</x:v>
      </x:c>
      <x:c r="C34" s="65" t="str">
        <x:v>送分题</x:v>
      </x:c>
      <x:c r="D34" s="65" t="str">
        <x:v>送分题|基础题</x:v>
      </x:c>
      <x:c r="E34" s="65" t="str">
        <x:v>保留原主标签；相邻档有争议</x:v>
      </x:c>
      <x:c r="F34" s="65" t="str">
        <x:v>中</x:v>
      </x:c>
      <x:c r="G34" s="65" t="str">
        <x:v>送分题</x:v>
      </x:c>
      <x:c r="H34" s="65" t="str">
        <x:v>送分题</x:v>
      </x:c>
      <x:c r="I34" s="65" t="str">
        <x:v>第二轮复核认为现有证据只能证明该题处于相邻档边界，不能排除原GPT主标签。为避免使用模型预测反向拟合真值，保留原主标签，并将另一档记录为可接受等级。</x:v>
      </x:c>
      <x:c r="J34" s="65" t="str">
        <x:v>三次运行错题并集逐题复核</x:v>
      </x:c>
      <x:c r="K34" s="63" t="str">
        <x:v>当家庭电路中使用的用电器越多，则电路的（ ）</x:v>
      </x:c>
      <x:c r="L34" s="63" t="str">
        <x:v>A. 总电阻越小 B. 总电流越小 C. 总电压越小 D. 总电压越大</x:v>
      </x:c>
      <x:c r="M34" s="63" t="str">
        <x:v>解：因为家庭电路中各用电器是并联的，并且家庭电路电压为220V，因此家庭电路两端总电压不变；故CD错误； 由并联电路特点知，并联电路总电阻的倒数等于各支路电阻倒数之和，并联电路支路越多，并联电路总阻值越小，故A正确，B错误。 故选：A。</x:v>
      </x:c>
      <x:c r="N34" s="63" t="str">
        <x:v>https://k12static.xdf.cn/k12/image/externalized/b35e3be4-57c7-4e50-880e-5f91de993141.png</x:v>
      </x:c>
      <x:c r="O34" s="63" t="str">
        <x:v>https://k12static.xdf.cn/k12/image/externalized/521a4d3d-e884-465c-989d-2b809413dad2.png</x:v>
      </x:c>
      <x:c r="P34" s="63" t="str">
        <x:v>1-2步</x:v>
      </x:c>
      <x:c r="Q34" s="63" t="str">
        <x:v>概念判断</x:v>
      </x:c>
      <x:c r="R34" s="63" t="str">
        <x:v>单状态</x:v>
      </x:c>
      <x:c r="S34" s="63" t="str">
        <x:v>无约束</x:v>
      </x:c>
      <x:c r="T34" s="63" t="str">
        <x:v>无</x:v>
      </x:c>
      <x:c r="U34" s="63" t="str">
        <x:v>无</x:v>
      </x:c>
      <x:c r="V34" s="63" t="str">
        <x:v>简单因果推理</x:v>
      </x:c>
    </x:row>
    <x:row r="35">
      <x:c r="A35" s="64" t="str">
        <x:v>​2625536342911447040</x:v>
      </x:c>
      <x:c r="B35" s="65" t="str">
        <x:v>基础题</x:v>
      </x:c>
      <x:c r="C35" s="65" t="str">
        <x:v>基础题</x:v>
      </x:c>
      <x:c r="D35" s="65" t="str">
        <x:v>基础题|中等题</x:v>
      </x:c>
      <x:c r="E35" s="65" t="str">
        <x:v>保留原主标签；相邻档有争议</x:v>
      </x:c>
      <x:c r="F35" s="65" t="str">
        <x:v>中</x:v>
      </x:c>
      <x:c r="G35" s="65" t="str">
        <x:v>基础题</x:v>
      </x:c>
      <x:c r="H35" s="65" t="str">
        <x:v>基础题</x:v>
      </x:c>
      <x:c r="I35" s="65" t="str">
        <x:v>第二轮复核认为现有证据只能证明该题处于相邻档边界，不能排除原GPT主标签。为避免使用模型预测反向拟合真值，保留原主标签，并将另一档记录为可接受等级。</x:v>
      </x:c>
      <x:c r="J35" s="65" t="str">
        <x:v>三次运行错题并集逐题复核</x:v>
      </x:c>
      <x:c r="K35" s="63" t="str">
        <x:v>如图所示是甲和乙两种物质的质量与体积关系图象，分析图象可知（ ）</x:v>
      </x:c>
      <x:c r="L35" s="63" t="str">
        <x:v>A. 甲、乙两种物质的密度之比为4：1 B. 若甲、乙的质量相等，则甲的体积较大 C. 若甲、乙的体积相等，则甲的质量较小 D. 乙物质的密度为0.5kg/m3</x:v>
      </x:c>
      <x:c r="M35" s="63" t="str">
        <x:v>解：A、由图像可知当V甲=10cm3时，m甲=20g,根据${ρ}_{甲}=\frac{{m}_{甲}}{{V}_{甲}}=\frac{20g}{10c{m}^{3}}=2g/c{m}^{3}$； 当${V}_{乙}=10c{m}^{3}$时，m乙=5g,根据${ρ}_{乙}=\frac{{m}_{乙}}{{V}_{乙}}=\frac{5g}{10c{m}^{3}}=0.5g/c{m}^{3}$， 则$\frac{{ρ}_{甲}}{{ρ}_{乙}}=\frac{2g/c{m}^{3}}{0.5g/c{m}^{3}}=4：1$，故A正确； B、根据图像分析当甲乙的质量相同时，即当m=10g时，${V}_{甲}=5c{m}^{3}＜{V}_{乙}=20c{m}^{3}$，故B错误； C、根据图像分析当甲乙的体积相同时，即当V=10cm3时，m甲=20g＞m乙=5g,故C错误； D、由图像可知${ρ}_{乙}=\frac{{m}_{乙}}{{V}_{乙}}=\frac{5g}{10c{m}^{3}}=0.5g/c{m}^{3}$，故D错误。 故选：A。</x:v>
      </x:c>
      <x:c r="N35" s="63" t="str">
        <x:v>https://k12static.xdf.cn/k12/image/externalized/44e3a985-bd48-4fa2-9172-7d3fa365d746.png</x:v>
      </x:c>
      <x:c r="O35" s="63" t="str">
        <x:v>https://k12static.xdf.cn/k12/image/externalized/9ecddc8e-ddf0-4361-afc5-a4d627e251e3.png</x:v>
      </x:c>
      <x:c r="P35" s="63" t="str">
        <x:v>3-5步</x:v>
      </x:c>
      <x:c r="Q35" s="63" t="str">
        <x:v>图像表格分析</x:v>
      </x:c>
      <x:c r="R35" s="63" t="str">
        <x:v>单状态</x:v>
      </x:c>
      <x:c r="S35" s="63" t="str">
        <x:v>无约束</x:v>
      </x:c>
      <x:c r="T35" s="63" t="str">
        <x:v>无</x:v>
      </x:c>
      <x:c r="U35" s="63" t="str">
        <x:v>直接读数</x:v>
      </x:c>
      <x:c r="V35" s="63" t="str">
        <x:v>多层因果推理</x:v>
      </x:c>
    </x:row>
    <x:row r="36">
      <x:c r="A36" s="64" t="str">
        <x:v>​2627228903808696320</x:v>
      </x:c>
      <x:c r="B36" s="65" t="str">
        <x:v>送分题</x:v>
      </x:c>
      <x:c r="C36" s="65" t="str">
        <x:v>送分题</x:v>
      </x:c>
      <x:c r="D36" s="65" t="str">
        <x:v>送分题|基础题</x:v>
      </x:c>
      <x:c r="E36" s="65" t="str">
        <x:v>保留原主标签；相邻档有争议</x:v>
      </x:c>
      <x:c r="F36" s="65" t="str">
        <x:v>中</x:v>
      </x:c>
      <x:c r="G36" s="65" t="str">
        <x:v>送分题</x:v>
      </x:c>
      <x:c r="H36" s="65" t="str">
        <x:v>基础题</x:v>
      </x:c>
      <x:c r="I36" s="65" t="str">
        <x:v>第二轮复核认为现有证据只能证明该题处于相邻档边界，不能排除原GPT主标签。为避免使用模型预测反向拟合真值，保留原主标签，并将另一档记录为可接受等级。</x:v>
      </x:c>
      <x:c r="J36" s="65" t="str">
        <x:v>三次运行错题并集逐题复核</x:v>
      </x:c>
      <x:c r="K36" s="63" t="str">
        <x:v>如图所示，两个完全相同的验电器A和B，A带正电，B不带电。现用金属棒连接验电器A和B，则下列说法中正确的是（ ）</x:v>
      </x:c>
      <x:c r="L36" s="63" t="str">
        <x:v>A. 电荷从验电器A流动到验电器B B. 电荷从验电器B流动到验电器A C. 验电器A得到正电荷 D. 验电器B得到正电荷</x:v>
      </x:c>
      <x:c r="M36" s="63" t="str">
        <x:v>解： AB、由题知，A带正电，B不带电，用带有绝缘柄的金属棒把A和B连接起来，则B上的一部分电子会通过金属棒转移到A上，A得到电子，与正电荷相互抵消一部分，A带的正电荷会减少从而张角变小，而B因为失去电子也带上了正电荷，B的两金属箔带上同种电荷使B金属箔张角变大，故A错误，B正确。 CD、由上面分析知，验电器A得到电子，B失去电子，而不是正电荷的移动，故CD错误。 故选：B。</x:v>
      </x:c>
      <x:c r="N36" s="63" t="str">
        <x:v>https://k12static.xdf.cn/k12/image/externalized/721e0b36-ac5b-4a6f-81a5-51234d7674cd.png</x:v>
      </x:c>
      <x:c r="O36" s="63" t="str">
        <x:v>https://k12static.xdf.cn/k12/image/externalized/d42975ef-f363-4167-be3d-b1714b85939f.png</x:v>
      </x:c>
      <x:c r="P36" s="63" t="str">
        <x:v>1-2步</x:v>
      </x:c>
      <x:c r="Q36" s="63" t="str">
        <x:v>概念判断</x:v>
      </x:c>
      <x:c r="R36" s="63" t="str">
        <x:v>单状态</x:v>
      </x:c>
      <x:c r="S36" s="63" t="str">
        <x:v>无约束</x:v>
      </x:c>
      <x:c r="T36" s="63" t="str">
        <x:v>无</x:v>
      </x:c>
      <x:c r="U36" s="63" t="str">
        <x:v>无</x:v>
      </x:c>
      <x:c r="V36" s="63" t="str">
        <x:v>简单因果推理</x:v>
      </x:c>
    </x:row>
    <x:row r="37">
      <x:c r="A37" s="64" t="str">
        <x:v>​2712258785681641472</x:v>
      </x:c>
      <x:c r="B37" s="65" t="str">
        <x:v>基础题</x:v>
      </x:c>
      <x:c r="C37" s="65" t="str">
        <x:v>基础题</x:v>
      </x:c>
      <x:c r="D37" s="65" t="str">
        <x:v>基础题|中等题</x:v>
      </x:c>
      <x:c r="E37" s="65" t="str">
        <x:v>保留原主标签；相邻档有争议</x:v>
      </x:c>
      <x:c r="F37" s="65" t="str">
        <x:v>中</x:v>
      </x:c>
      <x:c r="G37" s="65" t="str">
        <x:v>基础题</x:v>
      </x:c>
      <x:c r="H37" s="65" t="str">
        <x:v>中等题</x:v>
      </x:c>
      <x:c r="I37" s="65" t="str">
        <x:v>第二轮复核认为现有证据只能证明该题处于相邻档边界，不能排除原GPT主标签。为避免使用模型预测反向拟合真值，保留原主标签，并将另一档记录为可接受等级。</x:v>
      </x:c>
      <x:c r="J37" s="65" t="str">
        <x:v>三次运行错题并集逐题复核</x:v>
      </x:c>
      <x:c r="K37" s="63" t="str">
        <x:v>如图1所示的电路中，闭合开关后，L1、L2正常发光。若将图2中的两个夹子分别接在灯泡L1两端，夹子与灯泡接触良好。则出现的现象及其描述正确的是（ ）</x:v>
      </x:c>
      <x:c r="L37" s="63" t="str">
        <x:v>A. L1被短接，只有L2发光 B. 电源被短路，两灯泡都不发光 C. 电压表能测L2两端的电压 D. 电压表可以较准确的测量出灯泡L1两端电压</x:v>
      </x:c>
      <x:c r="M37" s="63" t="str">
        <x:v>解： AB、由于电压表的电阻很大，所以，将手中的两个导线夹接在灯泡L1两端时，不会造成灯L1短路或电源短路，故AB错误； C、由图知，两灯并联，开关处在干路上；若将手中的两个导线夹接在灯泡L1两端，可以直接测量灯L1两端的电压，由并联电路的电压特点可知L2两端的电压U2，故C正确； D、由于电源电压约为3V，电压表接在0到15V量程，没有用0到3V量程，不可以较准确的测量出灯泡L1两端电压，故D错误。 故选：C。</x:v>
      </x:c>
      <x:c r="N37" s="63" t="str">
        <x:v>https://k12static.xdf.cn/k12/image/externalized/4bf3e7e2-9a13-4dee-a262-dcabbb1a9550.png</x:v>
      </x:c>
      <x:c r="O37" s="63" t="str">
        <x:v>https://k12static.xdf.cn/k12/image/externalized/42a7e7b3-b4b9-45c4-85a0-3aa997f91bc5.png</x:v>
      </x:c>
      <x:c r="P37" s="63" t="str">
        <x:v>1-2步</x:v>
      </x:c>
      <x:c r="Q37" s="63" t="str">
        <x:v>概念判断</x:v>
      </x:c>
      <x:c r="R37" s="63" t="str">
        <x:v>单状态</x:v>
      </x:c>
      <x:c r="S37" s="63" t="str">
        <x:v>无约束</x:v>
      </x:c>
      <x:c r="T37" s="63" t="str">
        <x:v>无</x:v>
      </x:c>
      <x:c r="U37" s="63" t="str">
        <x:v>无</x:v>
      </x:c>
      <x:c r="V37" s="63" t="str">
        <x:v>简单因果推理</x:v>
      </x:c>
    </x:row>
    <x:row r="38">
      <x:c r="A38" s="64" t="str">
        <x:v>​2712310649943785472</x:v>
      </x:c>
      <x:c r="B38" s="65" t="str">
        <x:v>基础题</x:v>
      </x:c>
      <x:c r="C38" s="65" t="str">
        <x:v>基础题</x:v>
      </x:c>
      <x:c r="D38" s="65" t="str">
        <x:v>基础题|中等题</x:v>
      </x:c>
      <x:c r="E38" s="65" t="str">
        <x:v>保留原主标签；相邻档有争议</x:v>
      </x:c>
      <x:c r="F38" s="65" t="str">
        <x:v>中</x:v>
      </x:c>
      <x:c r="G38" s="65" t="str">
        <x:v>基础题</x:v>
      </x:c>
      <x:c r="H38" s="65" t="str">
        <x:v>基础题</x:v>
      </x:c>
      <x:c r="I38" s="65" t="str">
        <x:v>第二轮复核认为现有证据只能证明该题处于相邻档边界，不能排除原GPT主标签。为避免使用模型预测反向拟合真值，保留原主标签，并将另一档记录为可接受等级。</x:v>
      </x:c>
      <x:c r="J38" s="65" t="str">
        <x:v>三次运行错题并集逐题复核</x:v>
      </x:c>
      <x:c r="K38" s="63" t="str">
        <x:v>如图所示，电路中电源电压不变。当开关S闭合时，电压表和电流表示数变化情况是（ ）</x:v>
      </x:c>
      <x:c r="L38" s="63" t="str">
        <x:v>A. 两表示数都变大 B. 电压表示数变大，电流表示数变小 C. 两表示数都变小 D. 电压表示数变小，电流表示数变大</x:v>
      </x:c>
      <x:c r="M38" s="63" t="str">
        <x:v>解：根据电路图科长，当开关S断开时，R1、R2串联，电压表测R1电压，电流表测电路电流；当开关S闭合时，R2被短路，电路中只有R1工作，电压表测电源电压。根据串联电压规律可知电压表示数变大，同时总电阻变小，根据$I=\frac{U}{R}$可知电流表示数变大，故A正确、BCD错误。 故选：A。</x:v>
      </x:c>
      <x:c r="N38" s="63" t="str">
        <x:v>https://k12static.xdf.cn/k12/image/externalized/a9186359-cd1f-4c22-b89c-807c9e553edb.png</x:v>
      </x:c>
      <x:c r="O38" s="63" t="str">
        <x:v>https://k12static.xdf.cn/k12/image/externalized/68ba756c-54e2-4e80-8d27-137d02851187.png</x:v>
      </x:c>
      <x:c r="P38" s="63" t="str">
        <x:v>3-5步</x:v>
      </x:c>
      <x:c r="Q38" s="63" t="str">
        <x:v>电路综合</x:v>
      </x:c>
      <x:c r="R38" s="63" t="str">
        <x:v>双状态</x:v>
      </x:c>
      <x:c r="S38" s="63" t="str">
        <x:v>单一约束</x:v>
      </x:c>
      <x:c r="T38" s="63" t="str">
        <x:v>无</x:v>
      </x:c>
      <x:c r="U38" s="63" t="str">
        <x:v>无</x:v>
      </x:c>
      <x:c r="V38" s="63" t="str">
        <x:v>多层因果推理</x:v>
      </x:c>
    </x:row>
    <x:row r="39">
      <x:c r="A39" s="64" t="str">
        <x:v>​2712352242892922880</x:v>
      </x:c>
      <x:c r="B39" s="65" t="str">
        <x:v>送分题</x:v>
      </x:c>
      <x:c r="C39" s="65" t="str">
        <x:v>送分题</x:v>
      </x:c>
      <x:c r="D39" s="65" t="str">
        <x:v>送分题|基础题</x:v>
      </x:c>
      <x:c r="E39" s="65" t="str">
        <x:v>保留原主标签；相邻档有争议</x:v>
      </x:c>
      <x:c r="F39" s="65" t="str">
        <x:v>中</x:v>
      </x:c>
      <x:c r="G39" s="65" t="str">
        <x:v>送分题</x:v>
      </x:c>
      <x:c r="H39" s="65" t="str">
        <x:v>送分题</x:v>
      </x:c>
      <x:c r="I39" s="65" t="str">
        <x:v>第二轮复核认为现有证据只能证明该题处于相邻档边界，不能排除原GPT主标签。为避免使用模型预测反向拟合真值，保留原主标签，并将另一档记录为可接受等级。</x:v>
      </x:c>
      <x:c r="J39" s="65" t="str">
        <x:v>三次运行错题并集逐题复核</x:v>
      </x:c>
      <x:c r="K39" s="63" t="str">
        <x:v>在“地球一小时关灯日”期间，如果让我们家的一只40W的节能灯少工作1小时可节约的电能约为（ ）</x:v>
      </x:c>
      <x:c r="L39" s="63" t="str">
        <x:v>A. 40J B. 400J C. 1.44×103J D. 1.44×105J</x:v>
      </x:c>
      <x:c r="M39" s="63" t="str">
        <x:v>解：一只40W的节能灯少工作1小时节约的电能：W=Pt=40W×3600s=144000J。 故选：D。</x:v>
      </x:c>
      <x:c r="N39" s="63" t="str">
        <x:v>https://k12static.xdf.cn/k12/image/externalized/7ceb60dc-27a2-42ba-8a51-78954682170e.png</x:v>
      </x:c>
      <x:c r="O39" s="63" t="str">
        <x:v>https://k12static.xdf.cn/k12/image/externalized/85bae8c0-3791-4d4e-98f7-af6d968f683e.png</x:v>
      </x:c>
      <x:c r="P39" s="63" t="str">
        <x:v>1-2步</x:v>
      </x:c>
      <x:c r="Q39" s="63" t="str">
        <x:v>直接计算</x:v>
      </x:c>
      <x:c r="R39" s="63" t="str">
        <x:v>单状态</x:v>
      </x:c>
      <x:c r="S39" s="63" t="str">
        <x:v>无约束</x:v>
      </x:c>
      <x:c r="T39" s="63" t="str">
        <x:v>无</x:v>
      </x:c>
      <x:c r="U39" s="63" t="str">
        <x:v>无</x:v>
      </x:c>
      <x:c r="V39" s="63" t="str">
        <x:v>简单因果推理</x:v>
      </x:c>
    </x:row>
    <x:row r="40">
      <x:c r="A40" s="64" t="str">
        <x:v>​2720896949409845248</x:v>
      </x:c>
      <x:c r="B40" s="65" t="str">
        <x:v>送分题</x:v>
      </x:c>
      <x:c r="C40" s="65" t="str">
        <x:v>送分题</x:v>
      </x:c>
      <x:c r="D40" s="65" t="str">
        <x:v>送分题|基础题</x:v>
      </x:c>
      <x:c r="E40" s="65" t="str">
        <x:v>保留原主标签；相邻档有争议</x:v>
      </x:c>
      <x:c r="F40" s="65" t="str">
        <x:v>中</x:v>
      </x:c>
      <x:c r="G40" s="65" t="str">
        <x:v>送分题</x:v>
      </x:c>
      <x:c r="H40" s="65" t="str">
        <x:v>送分题</x:v>
      </x:c>
      <x:c r="I40" s="65" t="str">
        <x:v>第二轮复核认为现有证据只能证明该题处于相邻档边界，不能排除原GPT主标签。为避免使用模型预测反向拟合真值，保留原主标签，并将另一档记录为可接受等级。</x:v>
      </x:c>
      <x:c r="J40" s="65" t="str">
        <x:v>三次运行错题并集逐题复核</x:v>
      </x:c>
      <x:c r="K40" s="63" t="str">
        <x:v>如图所示情景中，属于通过增大压力的方式增大摩擦力的是（ ）</x:v>
      </x:c>
      <x:c r="L40" s="63" t="str">
        <x:v>A. " /&gt; 压路机的碾子质量很大 B. " /&gt; 载重汽车装有许多车轮 C. " /&gt; 刹车时用力捏手闸 D. 轮胎有很多花纹</x:v>
      </x:c>
      <x:c r="M40" s="63" t="str">
        <x:v>A．压路机的碾子质量很大，是在受力面积一定时，通过增大压力来增大压强，故 A 不符合题意； B．载重汽车装有许多车轮，在压力一定时，通过增大受力面积可以减小压强，故 B 不符合题意 C．自行车刹车时用力捏紧车闸，是在接触面粗糙程度一定时，增大压力来增大摩擦力，故C符合题意； D．轮胎有很多花纹，是在压力一定时，通过增大接触面的粗糙程度来增大摩擦力的，故D不符合题意。 故选C。</x:v>
      </x:c>
      <x:c r="N40" s="63" t="str">
        <x:v>https://k12static.xdf.cn/k12/image/externalized/7f6bdba6-5c92-4ab8-8454-6e29029bfe47.png</x:v>
      </x:c>
      <x:c r="O40" s="63" t="str">
        <x:v>https://k12static.xdf.cn/k12/image/externalized/8e07b7db-8e67-46fa-a1df-2a0d482db831.png</x:v>
      </x:c>
      <x:c r="P40" s="63" t="str">
        <x:v>1-2步</x:v>
      </x:c>
      <x:c r="Q40" s="63" t="str">
        <x:v>概念判断</x:v>
      </x:c>
      <x:c r="R40" s="63" t="str">
        <x:v>单状态</x:v>
      </x:c>
      <x:c r="S40" s="63" t="str">
        <x:v>无约束</x:v>
      </x:c>
      <x:c r="T40" s="63" t="str">
        <x:v>无</x:v>
      </x:c>
      <x:c r="U40" s="63" t="str">
        <x:v>无</x:v>
      </x:c>
      <x:c r="V40" s="63" t="str">
        <x:v>简单因果推理</x:v>
      </x:c>
    </x:row>
    <x:row r="41">
      <x:c r="A41" s="64" t="str">
        <x:v>​2731299119151288320</x:v>
      </x:c>
      <x:c r="B41" s="65" t="str">
        <x:v>基础题</x:v>
      </x:c>
      <x:c r="C41" s="65" t="str">
        <x:v>基础题</x:v>
      </x:c>
      <x:c r="D41" s="65" t="str">
        <x:v>基础题|中等题</x:v>
      </x:c>
      <x:c r="E41" s="65" t="str">
        <x:v>保留原主标签；相邻档有争议</x:v>
      </x:c>
      <x:c r="F41" s="65" t="str">
        <x:v>中</x:v>
      </x:c>
      <x:c r="G41" s="65" t="str">
        <x:v>基础题</x:v>
      </x:c>
      <x:c r="H41" s="65" t="str">
        <x:v>基础题</x:v>
      </x:c>
      <x:c r="I41" s="65" t="str">
        <x:v>第二轮复核认为现有证据只能证明该题处于相邻档边界，不能排除原GPT主标签。为避免使用模型预测反向拟合真值，保留原主标签，并将另一档记录为可接受等级。</x:v>
      </x:c>
      <x:c r="J41" s="65" t="str">
        <x:v>三次运行错题并集逐题复核</x:v>
      </x:c>
      <x:c r="K41" s="63" t="str">
        <x:v>如图所示的电路中，电源电压不变，当滑动变阻器的滑片从A滑向B的过程中，下列说法正确的是（ ）</x:v>
      </x:c>
      <x:c r="L41" s="63" t="str">
        <x:v>A. 电压表V2的示数不变，小灯泡亮度不变 B. 电压表V2的示数变小，小灯泡亮度变暗 C. 电压表V1的示数变小，电流表A的示数变小 D. 电压表V1的示数变大，电流表A的示数变大</x:v>
      </x:c>
      <x:c r="M41" s="63" t="str">
        <x:v>解：当滑动变阻器的滑片从A滑向B的过程中，滑动变阻器接入电路的电阻变大、电路的总电阻变大； ∵I=$\frac{U}{R}$， ∴电路中的电流变小，即电流表A的示数变小， ∵U=IR，且灯泡的电阻不变， ∴灯泡两端的电压变小，即电压表V2的示数变小； ∵P=UI， ∴灯泡的实际功率变小，即灯泡变暗； ∵串联电路的总电阻等于各分电阻之和， ∴滑动变阻器两端的电压变大，即电压表V1的示数变大。 故选：B。</x:v>
      </x:c>
      <x:c r="N41" s="63" t="str">
        <x:v>https://k12static.xdf.cn/k12/image/externalized/75a8e7de-08c3-4e77-adce-7c998b8523dd.png</x:v>
      </x:c>
      <x:c r="O41" s="63" t="str">
        <x:v>https://k12static.xdf.cn/k12/image/externalized/e0a7d366-1127-4f18-933d-64d5cdb1a233.png</x:v>
      </x:c>
      <x:c r="P41" s="63" t="str">
        <x:v>3-5步</x:v>
      </x:c>
      <x:c r="Q41" s="63" t="str">
        <x:v>电路综合</x:v>
      </x:c>
      <x:c r="R41" s="63" t="str">
        <x:v>连续变化</x:v>
      </x:c>
      <x:c r="S41" s="63" t="str">
        <x:v>单一约束</x:v>
      </x:c>
      <x:c r="T41" s="63" t="str">
        <x:v>无</x:v>
      </x:c>
      <x:c r="U41" s="63" t="str">
        <x:v>无</x:v>
      </x:c>
      <x:c r="V41" s="63" t="str">
        <x:v>多层因果推理</x:v>
      </x:c>
    </x:row>
    <x:row r="42">
      <x:c r="A42" s="64" t="str">
        <x:v>​2747544369375850496</x:v>
      </x:c>
      <x:c r="B42" s="65" t="str">
        <x:v>拔高题</x:v>
      </x:c>
      <x:c r="C42" s="65" t="str">
        <x:v>中等题</x:v>
      </x:c>
      <x:c r="D42" s="65" t="str">
        <x:v>中等题|拔高题</x:v>
      </x:c>
      <x:c r="E42" s="65" t="str">
        <x:v>修订GPT主标签</x:v>
      </x:c>
      <x:c r="F42" s="65" t="str">
        <x:v>高</x:v>
      </x:c>
      <x:c r="G42" s="65" t="str">
        <x:v>拔高题</x:v>
      </x:c>
      <x:c r="H42" s="65" t="str">
        <x:v>拔高题</x:v>
      </x:c>
      <x:c r="I42" s="65" t="str">
        <x:v>需要围绕标准实验流程、读数与数据归纳完成常规的3—4个有效决策，或完成一套完整标准实验/共享过程分析。关系仍显性、方法常规，没有决定性隐含转换、复杂边界筛选或多状态强耦合。</x:v>
      </x:c>
      <x:c r="J42" s="65" t="str">
        <x:v>三次运行错题并集逐题复核</x:v>
      </x:c>
      <x:c r="K42" s="63" t="str">
        <x:v>茶圣陆羽在《茶经》中，形容沸腾的水“势如奔涛”。小明组装了如图甲所示的装置，探究水沸腾的特点。（1）装置中温度计的使用存在错误。请指出： ；（2）改正错误后进行实验，某时刻温度计的示数如图乙所示，此时水的温度为 ℃；（3）持续加热至水沸腾，观察到“势如奔涛”的景象，这是一种剧烈的汽化现象。根据图像丙可知水沸腾时的特点是 ，为了缩短加热时间，你建议采取的方法是 （写出一种即可）；（4）根据实验数据绘制出水温随加热时间变化的图像，如图丙所示，该实验地点可能在 （选填字母序号）；A.拉萨B.威海C.北京（5）利用图丁所示装置探究酒精在沸腾前后温度变化的特点，实验中，小明发现当试管内的酒精沸腾时，烧杯中的亚麻仁油却没有沸腾，由此可知亚麻仁油的沸点比酒精 。</x:v>
      </x:c>
      <x:c r="L42" s="63" t="str"/>
      <x:c r="M42" s="63" t="str">
        <x:v>（1）[1]观察甲图可知，图中有的错误是温度计玻璃泡碰到了烧杯壁。（2）[2]图乙知温度计的分度值为1℃，温度计的示数为92℃，即此时水的温度为92℃。（3）[3]由丙图可知水沸腾时仍需要酒精灯进行加热，温度不再升高，因此沸腾的特点是不断吸热但温度保持不变。[4]为了缩短加热时间，可以减少水的质量或提高水的温度。（4）[5]水的沸点与气压有关，气压越低，沸点越低。由图可知沸点约为80℃，气压很低，拉萨属于高原地区，气压比较低，故A符合题意，BC不符合题意。故选A。（5）[6]酒精达到沸点后，酒精沸腾，酒精能从亚麻仁油吸收热量，而亚麻仁油没有沸腾，说明没有到达沸点，所以亚麻仁油的沸点比酒精高。</x:v>
      </x:c>
      <x:c r="N42" s="63" t="str">
        <x:v>https://k12static.xdf.cn/k12/image/externalized/8358d23e-490b-47ca-a59f-8e727ff75d93.png</x:v>
      </x:c>
      <x:c r="O42" s="63" t="str">
        <x:v>https://k12static.xdf.cn/k12/image/externalized/1ad17f29-bac3-4067-8581-c1f88a85fd0d.png</x:v>
      </x:c>
      <x:c r="P42" s="63" t="str">
        <x:v>1-2步</x:v>
      </x:c>
      <x:c r="Q42" s="63" t="str">
        <x:v>实验探究</x:v>
      </x:c>
      <x:c r="R42" s="63" t="str">
        <x:v>单状态</x:v>
      </x:c>
      <x:c r="S42" s="63" t="str">
        <x:v>无约束</x:v>
      </x:c>
      <x:c r="T42" s="63" t="str">
        <x:v>控制变量或故障分析</x:v>
      </x:c>
      <x:c r="U42" s="63" t="str">
        <x:v>多组比较归纳</x:v>
      </x:c>
      <x:c r="V42" s="63" t="str">
        <x:v>多层因果推理</x:v>
      </x:c>
    </x:row>
    <x:row r="43">
      <x:c r="A43" s="64" t="str">
        <x:v>​2758493016452251648</x:v>
      </x:c>
      <x:c r="B43" s="65" t="str">
        <x:v>送分题</x:v>
      </x:c>
      <x:c r="C43" s="65" t="str">
        <x:v>送分题</x:v>
      </x:c>
      <x:c r="D43" s="65" t="str">
        <x:v>送分题|基础题</x:v>
      </x:c>
      <x:c r="E43" s="65" t="str">
        <x:v>保留原主标签；相邻档有争议</x:v>
      </x:c>
      <x:c r="F43" s="65" t="str">
        <x:v>中</x:v>
      </x:c>
      <x:c r="G43" s="65" t="str">
        <x:v>送分题</x:v>
      </x:c>
      <x:c r="H43" s="65" t="str">
        <x:v>基础题</x:v>
      </x:c>
      <x:c r="I43" s="65" t="str">
        <x:v>第二轮复核认为现有证据只能证明该题处于相邻档边界，不能排除原GPT主标签。为避免使用模型预测反向拟合真值，保留原主标签，并将另一档记录为可接受等级。</x:v>
      </x:c>
      <x:c r="J43" s="65" t="str">
        <x:v>三次运行错题并集逐题复核</x:v>
      </x:c>
      <x:c r="K43" s="63" t="str">
        <x:v>下列与分子相关的描述正确的是（ ）</x:v>
      </x:c>
      <x:c r="L43" s="63" t="str">
        <x:v>A. 海绵很容易压缩，说明分子间有间隙 B. 水和无水酒精混合后总体积减小说明分子间有引力 C. 物质都是由大量分子和原子组成的 D. 物质很难被压缩说明分子间没有间隙</x:v>
      </x:c>
      <x:c r="M43" s="63" t="str">
        <x:v>解：A．海绵的压缩性是由于其多孔结构，而不是分子间的间隙。分子间的间隙在微观尺度上，而海绵的压缩是宏观现象，两者不能混淆，故A错误； B．水和无水酒精混合后总体积减小，是因为分子间存在间隙，这与分子间的引力无关，故B错误； C．物质确实是由大量分子和原子组成的。这是分子动理论的基本观点之一，故C正确； D．物质很难被压缩，是因为分子间存在斥力。当外界试图压缩物质时，分子间的距离减小，斥力增大，抵抗外界的压缩。故D错误。 故选：C。</x:v>
      </x:c>
      <x:c r="N43" s="63" t="str">
        <x:v>https://k12static.xdf.cn/k12/image/externalized/1f5ed63b-82d7-4418-94ce-105f1d9e65be.png</x:v>
      </x:c>
      <x:c r="O43" s="63" t="str">
        <x:v>https://k12static.xdf.cn/k12/image/externalized/06aa0117-4755-49a9-ab8f-4ebc6998665e.png</x:v>
      </x:c>
      <x:c r="P43" s="63" t="str">
        <x:v>1-2步</x:v>
      </x:c>
      <x:c r="Q43" s="63" t="str">
        <x:v>概念判断</x:v>
      </x:c>
      <x:c r="R43" s="63" t="str">
        <x:v>单状态</x:v>
      </x:c>
      <x:c r="S43" s="63" t="str">
        <x:v>无约束</x:v>
      </x:c>
      <x:c r="T43" s="63" t="str">
        <x:v>无</x:v>
      </x:c>
      <x:c r="U43" s="63" t="str">
        <x:v>无</x:v>
      </x:c>
      <x:c r="V43" s="63" t="str">
        <x:v>简单因果推理</x:v>
      </x:c>
    </x:row>
    <x:row r="44">
      <x:c r="A44" s="64" t="str">
        <x:v>​2758498114243948544</x:v>
      </x:c>
      <x:c r="B44" s="65" t="str">
        <x:v>基础题</x:v>
      </x:c>
      <x:c r="C44" s="65" t="str">
        <x:v>基础题</x:v>
      </x:c>
      <x:c r="D44" s="65" t="str">
        <x:v>基础题|中等题</x:v>
      </x:c>
      <x:c r="E44" s="65" t="str">
        <x:v>保留原主标签；相邻档有争议</x:v>
      </x:c>
      <x:c r="F44" s="65" t="str">
        <x:v>中</x:v>
      </x:c>
      <x:c r="G44" s="65" t="str">
        <x:v>基础题</x:v>
      </x:c>
      <x:c r="H44" s="65" t="str">
        <x:v>中等题</x:v>
      </x:c>
      <x:c r="I44" s="65" t="str">
        <x:v>第二轮复核认为现有证据只能证明该题处于相邻档边界，不能排除原GPT主标签。为避免使用模型预测反向拟合真值，保留原主标签，并将另一档记录为可接受等级。</x:v>
      </x:c>
      <x:c r="J44" s="65" t="str">
        <x:v>三次运行错题并集逐题复核</x:v>
      </x:c>
      <x:c r="K44" s="63" t="str">
        <x:v>如图所示为伽利略制造的第一个温度计，它可以测量气体的温度。以下说法不正确的是（ ）</x:v>
      </x:c>
      <x:c r="L44" s="63" t="str">
        <x:v>A. 该温度计是根据气体的热胀冷缩规律来测量的 B. 该温度计液面在A处时气体的温度比B处时低 C. 为了测量更准确，玻璃管要细一点，球型容器要大一些 D. 将此装置放在室内，当室内温度升高时液柱向上移动</x:v>
      </x:c>
      <x:c r="M44" s="63" t="str">
        <x:v>解：A、该温度计的工作原理是利用气体的热胀冷缩的性质，故A正确； B、玻璃管上温度刻度值越向下，气体压强越大，温度越高，故B正确； C、为了测量更准确，球形容器要大一点，玻璃管要细一点，这样液面的升降更明显，故C正确； D、当外界气温上升的时候，球形容器内的气体受热膨胀，由于密闭，所以压强增大，使管内的液面下降，故D错误。 故选：D。</x:v>
      </x:c>
      <x:c r="N44" s="63" t="str">
        <x:v>https://k12static.xdf.cn/k12/image/externalized/8af79c5f-8d1d-43ea-baff-016270b47f7b.png</x:v>
      </x:c>
      <x:c r="O44" s="63" t="str">
        <x:v>https://k12static.xdf.cn/k12/image/externalized/c7dc65b9-38f3-4415-85ce-0164d3114b63.png</x:v>
      </x:c>
      <x:c r="P44" s="63" t="str">
        <x:v>1-2步</x:v>
      </x:c>
      <x:c r="Q44" s="63" t="str">
        <x:v>概念判断</x:v>
      </x:c>
      <x:c r="R44" s="63" t="str">
        <x:v>双状态</x:v>
      </x:c>
      <x:c r="S44" s="63" t="str">
        <x:v>无约束</x:v>
      </x:c>
      <x:c r="T44" s="63" t="str">
        <x:v>无</x:v>
      </x:c>
      <x:c r="U44" s="63" t="str">
        <x:v>无</x:v>
      </x:c>
      <x:c r="V44" s="63" t="str">
        <x:v>简单因果推理</x:v>
      </x:c>
    </x:row>
    <x:row r="45">
      <x:c r="A45" s="64" t="str">
        <x:v>​2779382891008229376</x:v>
      </x:c>
      <x:c r="B45" s="65" t="str">
        <x:v>基础题</x:v>
      </x:c>
      <x:c r="C45" s="65" t="str">
        <x:v>中等题</x:v>
      </x:c>
      <x:c r="D45" s="65" t="str">
        <x:v>基础题|中等题</x:v>
      </x:c>
      <x:c r="E45" s="65" t="str">
        <x:v>修订GPT主标签</x:v>
      </x:c>
      <x:c r="F45" s="65" t="str">
        <x:v>高</x:v>
      </x:c>
      <x:c r="G45" s="65" t="str">
        <x:v>中等题</x:v>
      </x:c>
      <x:c r="H45" s="65" t="str">
        <x:v>基础题</x:v>
      </x:c>
      <x:c r="I45" s="65" t="str">
        <x:v>需要围绕图表信息提取与关系反推完成常规的3—4个有效决策，或完成一套完整标准实验/共享过程分析。关系仍显性、方法常规，没有决定性隐含转换、复杂边界筛选或多状态强耦合。</x:v>
      </x:c>
      <x:c r="J45" s="65" t="str">
        <x:v>三次运行错题并集逐题复核</x:v>
      </x:c>
      <x:c r="K45" s="63" t="str">
        <x:v>如图是晚上汽车在干燥的沥青路面和潮湿的沥青路面上行驶时大灯部分光路简图，在晚上开车时（ ）</x:v>
      </x:c>
      <x:c r="L45" s="63" t="str">
        <x:v>A. 潮湿的路面更容易发生光的漫发射 B. 干燥的路面发生光的镜面反射 C. 对面无车时，驾驶员看潮湿的路面更暗 D. 照射到干燥路面上的光也遵循光的反射定律</x:v>
      </x:c>
      <x:c r="M45" s="63" t="str">
        <x:v>AC．由图可知，光射到潮湿的沥青路上容易发生镜面反射，当对面有车时，反射光线较集中，驾驶员看潮湿的路面更亮；当对面无车时，驾驶员看潮湿的路面更暗，故A不符合题意，C符合题意；BD．由图可知，光照射到干燥的沥青路面上时发生漫反射，漫反射也遵守光的反射定律，故B不符合题意，D符合题意。故选CD。</x:v>
      </x:c>
      <x:c r="N45" s="63" t="str">
        <x:v>https://k12static.xdf.cn/k12/image/externalized/028cb3e6-f1df-413e-ae4a-ee7d8bb99234.png</x:v>
      </x:c>
      <x:c r="O45" s="63" t="str">
        <x:v>https://k12static.xdf.cn/k12/image/externalized/2deb7ed6-122c-42ac-a1d6-e243adc2bd5e.png</x:v>
      </x:c>
      <x:c r="P45" s="63" t="str">
        <x:v>1-2步</x:v>
      </x:c>
      <x:c r="Q45" s="63" t="str">
        <x:v>概念判断</x:v>
      </x:c>
      <x:c r="R45" s="63" t="str">
        <x:v>单状态</x:v>
      </x:c>
      <x:c r="S45" s="63" t="str">
        <x:v>无约束</x:v>
      </x:c>
      <x:c r="T45" s="63" t="str">
        <x:v>无</x:v>
      </x:c>
      <x:c r="U45" s="63" t="str">
        <x:v>无</x:v>
      </x:c>
      <x:c r="V45" s="63" t="str">
        <x:v>多层因果推理</x:v>
      </x:c>
    </x:row>
    <x:row r="46">
      <x:c r="A46" s="64" t="str">
        <x:v>​2782337033771454464</x:v>
      </x:c>
      <x:c r="B46" s="65" t="str">
        <x:v>基础题</x:v>
      </x:c>
      <x:c r="C46" s="65" t="str">
        <x:v>基础题</x:v>
      </x:c>
      <x:c r="D46" s="65" t="str">
        <x:v>基础题|中等题</x:v>
      </x:c>
      <x:c r="E46" s="65" t="str">
        <x:v>保留原主标签；相邻档有争议</x:v>
      </x:c>
      <x:c r="F46" s="65" t="str">
        <x:v>中</x:v>
      </x:c>
      <x:c r="G46" s="65" t="str">
        <x:v>基础题</x:v>
      </x:c>
      <x:c r="H46" s="65" t="str">
        <x:v>基础题</x:v>
      </x:c>
      <x:c r="I46" s="65" t="str">
        <x:v>第二轮复核认为现有证据只能证明该题处于相邻档边界，不能排除原GPT主标签。为避免使用模型预测反向拟合真值，保留原主标签，并将另一档记录为可接受等级。</x:v>
      </x:c>
      <x:c r="J46" s="65" t="str">
        <x:v>三次运行错题并集逐题复核</x:v>
      </x:c>
      <x:c r="K46" s="63" t="str">
        <x:v>如图为某物体沿直线运动的路程s随时间t变化的图像，下列对该物体0～5s内运动情况分析不正确的是（ ）</x:v>
      </x:c>
      <x:c r="L46" s="63" t="str">
        <x:v>A. 物体在0～1s内做匀速直线运动，速度为1m/s B. 物体在1～3s保持静止 C. 物体在3～5s内平均速度为0.5m/s D. 物体在0～5s内的平均速度为0.67m/s</x:v>
      </x:c>
      <x:c r="M46" s="63" t="str">
        <x:v>解：A、由图可知，物体在0～1s内的s-t图像是倾斜直线，说明此段时间内物体做匀速直线运动，速度v=$\frac{s}{t}$=$\frac{1m}{1s}$=1m/s,故A正确； B、由图可知，物体在1～3s内的s-t图像是平行于时间轴的直线，说明此段时间内物体保持静止状态，故B正确； B、由图可知，物体在3～5s内的s-t图像是倾斜直线，说明此段时间内物体做匀速直线运动，其速度v′=$\frac{s′}{t′}$=$\frac{2m-1m}{5s-3s}$=0.5m/s,故C正确； D、由图可知，物体在0～5s内的路程为s=2m,则平均速度为：v″=$\frac{s″}{t″}$=$\frac{2m}{5s}$=0.4m/s,故D错误。 故选：D。</x:v>
      </x:c>
      <x:c r="N46" s="63" t="str">
        <x:v>https://k12static.xdf.cn/k12/image/externalized/a141c730-a3f0-4b5e-81af-a9c0e16b444e.png</x:v>
      </x:c>
      <x:c r="O46" s="63" t="str">
        <x:v>https://k12static.xdf.cn/k12/image/externalized/c165a9e5-a41c-4169-a1b4-507ac7d59129.png</x:v>
      </x:c>
      <x:c r="P46" s="63" t="str">
        <x:v>3-5步</x:v>
      </x:c>
      <x:c r="Q46" s="63" t="str">
        <x:v>图像表格分析</x:v>
      </x:c>
      <x:c r="R46" s="63" t="str">
        <x:v>多状态</x:v>
      </x:c>
      <x:c r="S46" s="63" t="str">
        <x:v>无约束</x:v>
      </x:c>
      <x:c r="T46" s="63" t="str">
        <x:v>无</x:v>
      </x:c>
      <x:c r="U46" s="63" t="str">
        <x:v>多组比较归纳</x:v>
      </x:c>
      <x:c r="V46" s="63" t="str">
        <x:v>多层因果推理</x:v>
      </x:c>
    </x:row>
    <x:row r="47">
      <x:c r="A47" s="64" t="str">
        <x:v>​2791849545354199040</x:v>
      </x:c>
      <x:c r="B47" s="65" t="str">
        <x:v>送分题</x:v>
      </x:c>
      <x:c r="C47" s="65" t="str">
        <x:v>送分题</x:v>
      </x:c>
      <x:c r="D47" s="65" t="str">
        <x:v>送分题|基础题</x:v>
      </x:c>
      <x:c r="E47" s="65" t="str">
        <x:v>保留原主标签；相邻档有争议</x:v>
      </x:c>
      <x:c r="F47" s="65" t="str">
        <x:v>中</x:v>
      </x:c>
      <x:c r="G47" s="65" t="str">
        <x:v>送分题</x:v>
      </x:c>
      <x:c r="H47" s="65" t="str">
        <x:v>送分题</x:v>
      </x:c>
      <x:c r="I47" s="65" t="str">
        <x:v>第二轮复核认为现有证据只能证明该题处于相邻档边界，不能排除原GPT主标签。为避免使用模型预测反向拟合真值，保留原主标签，并将另一档记录为可接受等级。</x:v>
      </x:c>
      <x:c r="J47" s="65" t="str">
        <x:v>三次运行错题并集逐题复核</x:v>
      </x:c>
      <x:c r="K47" s="63" t="str">
        <x:v>下列物体的质量会发生改变的是（ ）</x:v>
      </x:c>
      <x:c r="L47" s="63" t="str">
        <x:v>A. 水结成冰 B. 将一盒积木全部拼搭成城堡 C. 嫦娥六号从月背将月壤带回地球 D. 写完一篇作文前后的水笔芯</x:v>
      </x:c>
      <x:c r="M47" s="63" t="str">
        <x:v>解：水结成冰状态改变，将一盒积木全部拼搭成城堡，形状改变，嫦娥六号从月背将月壤带回地球，位置改变，质量不变，写完一篇作文前后的水笔芯，质量减小，故D符合题意，ABC不符合题意。 故选：D。</x:v>
      </x:c>
      <x:c r="N47" s="63" t="str">
        <x:v>https://k12static.xdf.cn/k12/image/externalized/1c68beb4-9f46-475a-8821-4574542b21f9.png</x:v>
      </x:c>
      <x:c r="O47" s="63" t="str">
        <x:v>https://k12static.xdf.cn/k12/image/externalized/87a2ff21-b0d0-4385-801e-8ddc0965978c.png</x:v>
      </x:c>
      <x:c r="P47" s="63" t="str">
        <x:v>1-2步</x:v>
      </x:c>
      <x:c r="Q47" s="63" t="str">
        <x:v>概念判断</x:v>
      </x:c>
      <x:c r="R47" s="63" t="str">
        <x:v>单状态</x:v>
      </x:c>
      <x:c r="S47" s="63" t="str">
        <x:v>无约束</x:v>
      </x:c>
      <x:c r="T47" s="63" t="str">
        <x:v>无</x:v>
      </x:c>
      <x:c r="U47" s="63" t="str">
        <x:v>无</x:v>
      </x:c>
      <x:c r="V47" s="63" t="str">
        <x:v>简单因果推理</x:v>
      </x:c>
    </x:row>
    <x:row r="48">
      <x:c r="A48" s="64" t="str">
        <x:v>​2819331427784491008</x:v>
      </x:c>
      <x:c r="B48" s="65" t="str">
        <x:v>基础题</x:v>
      </x:c>
      <x:c r="C48" s="65" t="str">
        <x:v>基础题</x:v>
      </x:c>
      <x:c r="D48" s="65" t="str">
        <x:v>基础题|中等题</x:v>
      </x:c>
      <x:c r="E48" s="65" t="str">
        <x:v>保留原主标签；相邻档有争议</x:v>
      </x:c>
      <x:c r="F48" s="65" t="str">
        <x:v>中</x:v>
      </x:c>
      <x:c r="G48" s="65" t="str">
        <x:v>基础题</x:v>
      </x:c>
      <x:c r="H48" s="65" t="str">
        <x:v>基础题</x:v>
      </x:c>
      <x:c r="I48" s="65" t="str">
        <x:v>第二轮复核认为现有证据只能证明该题处于相邻档边界，不能排除原GPT主标签。为避免使用模型预测反向拟合真值，保留原主标签，并将另一档记录为可接受等级。</x:v>
      </x:c>
      <x:c r="J48" s="65" t="str">
        <x:v>三次运行错题并集逐题复核</x:v>
      </x:c>
      <x:c r="K48" s="63" t="str">
        <x:v>如图所示，水平地面上放置一底面积为 20cm²、质量为2kg的长方体，现对其施加一个竖直向上大小为10N的拉力F，下列说法错误的是（ ） （g取10N/kg）</x:v>
      </x:c>
      <x:c r="L48" s="63" t="str">
        <x:v>A. 物体处于平衡状态，即合力为0 B. 物体所受重力为20N。 C. 桌面对物体的支持力为10N D. 物体对桌面的压强为 $1\times 10^{4}\mathrm{Pa}$</x:v>
      </x:c>
      <x:c r="M48" s="63" t="str">
        <x:v>B．长方体的重力为G=mg=2kg×10N/kg=20N故B正确，不符合题意；A．由于拉力F小于重力，所以没拉动，物体处于静止状态，静止的物体所受的合力为0，故A正确，不符合题意；C．对物体受力分析可知，物体受重力G、支持力F支和向上的拉力F，三力平衡，所以支持力为F支=G-F=20N-10N =10N故C正确，不符合题意；D．由于压力和支持力是一对相互作用力，大小相等，所以物体对桌面的压力为F压=F支=10N物体对桌面的压强为$p=\dfrac{F_{\mathrm{压}}}{S}=\dfrac{10\mathrm{N}}{20\times 10^{-4}\mathrm{m}^{2}}=5000\mathrm{Pa}$故D错误，符合题意。故选D。</x:v>
      </x:c>
      <x:c r="N48" s="63" t="str">
        <x:v>https://k12static.xdf.cn/k12/image/externalized/f95d31f2-5614-41d4-a197-e96a7ba5e4f8.png</x:v>
      </x:c>
      <x:c r="O48" s="63" t="str">
        <x:v>https://k12static.xdf.cn/k12/image/externalized/c34bb46f-ceb9-4fe1-aa8e-6629f681a9db.png</x:v>
      </x:c>
      <x:c r="P48" s="63" t="str">
        <x:v>1-2步</x:v>
      </x:c>
      <x:c r="Q48" s="63" t="str">
        <x:v>力学综合</x:v>
      </x:c>
      <x:c r="R48" s="63" t="str">
        <x:v>单状态</x:v>
      </x:c>
      <x:c r="S48" s="63" t="str">
        <x:v>单一约束</x:v>
      </x:c>
      <x:c r="T48" s="63" t="str">
        <x:v>无</x:v>
      </x:c>
      <x:c r="U48" s="63" t="str">
        <x:v>无</x:v>
      </x:c>
      <x:c r="V48" s="63" t="str">
        <x:v>多层因果推理</x:v>
      </x:c>
    </x:row>
    <x:row r="49">
      <x:c r="A49" s="64" t="str">
        <x:v>​2842562290281402368</x:v>
      </x:c>
      <x:c r="B49" s="65" t="str">
        <x:v>拔高题</x:v>
      </x:c>
      <x:c r="C49" s="65" t="str">
        <x:v>中等题</x:v>
      </x:c>
      <x:c r="D49" s="65" t="str">
        <x:v>中等题|拔高题</x:v>
      </x:c>
      <x:c r="E49" s="65" t="str">
        <x:v>修订GPT主标签</x:v>
      </x:c>
      <x:c r="F49" s="65" t="str">
        <x:v>高</x:v>
      </x:c>
      <x:c r="G49" s="65" t="str">
        <x:v>拔高题</x:v>
      </x:c>
      <x:c r="H49" s="65" t="str">
        <x:v>拔高题</x:v>
      </x:c>
      <x:c r="I49" s="65" t="str">
        <x:v>需要围绕标准实验流程、读数与数据归纳完成常规的3—4个有效决策，或完成一套完整标准实验/共享过程分析。关系仍显性、方法常规，没有决定性隐含转换、复杂边界筛选或多状态强耦合。</x:v>
      </x:c>
      <x:c r="J49" s="65" t="str">
        <x:v>三次运行错题并集逐题复核</x:v>
      </x:c>
      <x:c r="K49" s="63" t="str">
        <x:v>小云准备用如图所示装置“测量物体运动的平均速度”。（1）斜面的一端用木块垫起，使它保持 （选填“较大”或“较小”）的坡度。金属片的作用是 。（2）把小车放在斜面顶端，金属片放在斜面底端，用 测出小车将要通过的路程 s1，用停表测量小车从斜面顶端由 释放到撞击金属片的时间t1。利用公式$v_{1}=\dfrac{s_{1}}{t_{1}}$算出小车通过斜面全程的平均速度v1。（3）如图中AB段的路程sAB= cm，如果测得时间tAB=1.6s，则AB段的平均速度vAB= cm/s。（4）若小车还没开始下滑之前就已开始计时，则测得的平均速度跟真实值相比偏 （选填“大”或“小”）。（5）将金属片移至斜面的中部某位置，测出顶端到金属片的距离 s2.然后继续实验，测出小车从斜面顶端滑下到撞击金属片的时间 t2，算出小车通过全程的后段路程的平均速度为 （请用物理量s1、t1、s2和t2表示）。（6）以下能够较为准确反映小车从开始下滑到撞击金属片的运动情况的是 。</x:v>
      </x:c>
      <x:c r="L49" s="63" t="str"/>
      <x:c r="M49" s="63" t="str">
        <x:v>（1）[1]斜面的一端用木块垫起，使它保持较小的坡度，目的是使小车以较小的速度从斜面滑下，以便能较准确的测量小车运动时间。[2]金属片是为了使小车停下来并发出声音方便计时。（2）[3]小车通过的路程 s1用刻度尺进行测量。[4]用停表测量小车从斜面顶端由静止释放到撞击金属片的时间。（3）[5]由图可知， AB段的路程sAB=40.0cm。[6] AB段的平均速度为$v_{AB}=\dfrac{s_{AB}}{t_{AB}}=\dfrac{40.0\mathrm{cm}}{1.6\mathrm{s}}=25.0\mathrm{cm}/\mathrm{s}$（4）[7]若小车还没有开始下滑就已经开始计时，则测得的时间偏大，所以平均速度的测量值会偏小。（5）[8] 全程的后段路程为$s=s_{1}-s_{2}$小车通过后段路程的时间为$t=t_{1}-t_{2}$所以后段路程的平均速度为$v=\dfrac{s}{t}=\dfrac{s_{1}-s_{2}}{t_{1}-t_{2}}$（6）[9]小车从开始下滑到撞击金属片的过程中，速度一直增大，故选C。</x:v>
      </x:c>
      <x:c r="N49" s="63" t="str">
        <x:v>https://k12static.xdf.cn/k12/image/externalized/537c37b0-b8ed-481b-911b-bbf56d2ad0ea.png</x:v>
      </x:c>
      <x:c r="O49" s="63" t="str">
        <x:v>https://k12static.xdf.cn/k12/image/externalized/46e43243-ac08-4932-9b9b-5421ebb7bcbc.png</x:v>
      </x:c>
      <x:c r="P49" s="63" t="str">
        <x:v>3-5步</x:v>
      </x:c>
      <x:c r="Q49" s="63" t="str">
        <x:v>实验探究</x:v>
      </x:c>
      <x:c r="R49" s="63" t="str">
        <x:v>单状态</x:v>
      </x:c>
      <x:c r="S49" s="63" t="str">
        <x:v>无约束</x:v>
      </x:c>
      <x:c r="T49" s="63" t="str">
        <x:v>控制变量或故障分析</x:v>
      </x:c>
      <x:c r="U49" s="63" t="str">
        <x:v>直接读数</x:v>
      </x:c>
      <x:c r="V49" s="63" t="str">
        <x:v>多层因果推理</x:v>
      </x:c>
    </x:row>
    <x:row r="50">
      <x:c r="A50" s="64" t="str">
        <x:v>​2857543663990099968</x:v>
      </x:c>
      <x:c r="B50" s="65" t="str">
        <x:v>拔高题</x:v>
      </x:c>
      <x:c r="C50" s="65" t="str">
        <x:v>中等题</x:v>
      </x:c>
      <x:c r="D50" s="65" t="str">
        <x:v>中等题|拔高题</x:v>
      </x:c>
      <x:c r="E50" s="65" t="str">
        <x:v>修订GPT主标签</x:v>
      </x:c>
      <x:c r="F50" s="65" t="str">
        <x:v>高</x:v>
      </x:c>
      <x:c r="G50" s="65" t="str">
        <x:v>拔高题</x:v>
      </x:c>
      <x:c r="H50" s="65" t="str">
        <x:v>拔高题</x:v>
      </x:c>
      <x:c r="I50" s="65" t="str">
        <x:v>需要围绕标准实验流程、读数与数据归纳完成常规的3—4个有效决策，或完成一套完整标准实验/共享过程分析。关系仍显性、方法常规，没有决定性隐含转换、复杂边界筛选或多状态强耦合。</x:v>
      </x:c>
      <x:c r="J50" s="65" t="str">
        <x:v>三次运行错题并集逐题复核</x:v>
      </x:c>
      <x:c r="K50" s="63" t="str">
        <x:v>如图所示，让小车从斜面的A点由静止开始下滑，分别测出小车到达B点和C点的时间，即可测出不同阶段的平均速度。 （1）该实验是根据 ________ 公式进行测量的； （2）选用的器材除小车、木板、垫块和金属挡板外，还需要的测量工具是 ________ 和 ________ ； （3）金属片的作用是 ________ ； （4）实验中，应使斜面的坡度较 ________ （填“大”或“小”），目的是 ________ ； （5测得小车通过AB段时时间 tAB=1.6s,通过AC段时间tAC=2.4s,则AB段的距离是 ________ cm,AB段及BC的平均速度vAB= ________ m/s,vBC= ________ m/s；在整个运动过程中小车做的是 ________ ；（填“匀速直线运动”或“变速直线运动”） （6）在测量小车到达B点的时间时，如果小车过了B点才停止计时，测得AB段的平均速度vAB会偏 ________ （选填“大”或“小”）； （7）根据你的实验，你认为小车由静止释放，斜面的倾角增大后，通过相同的路程，小车运动的平均速度将要 ________ 。（填“不变”“变大”或“变小”）</x:v>
      </x:c>
      <x:c r="L50" s="63" t="str"/>
      <x:c r="M50" s="63" t="str">
        <x:v>解：（1）测量平均速度实验的原理为：v=$\frac{s}{t}$； （2）实验中要用刻度尺测量小车通过的路程，用停表测量小车通过该段路程所用的时间； （3）为了便于测量时间，斜面底端加金属片，目的是为了使小车在同一位置停下； （4）为了计时方便，应让小车运动的慢些，运动的时间长些，所以斜面的坡度要较小； （5）图中刻度尺的分度值为1cm,sAB=80.0cm-40.0cm=40.0cm,tAB=1.6s,则AB段的平均速度为：vAB=$\frac{{s}_{AB}}{{t}_{AB}}=\frac{40.0cm}{1.6s}$=25cm/s=0.25m/s； sBC=40.0cm,tBC=tAC-tAB=2.4s-1.6s=0.8s,则BC段的平均速度为：vBC=$\frac{{s}_{BC}}{{t}_{BC}}=\frac{40.0cm}{0.8s}=50cm/s$=0.5m/s； 小车全程在做变速直线运动； （6）如果小车过了B点才停止计时，会导致时间的测量结果偏大，由v=$\frac{s}{t}$可得，AB段的平均速度偏小； （7）斜面倾角加大，所用时间偏短，由v=$\frac{s}{t}$可得，通过相同的路程，小车运动的平均速度要变大。 故答案为：（1）v=$\frac{s}{t}$； （2）刻度尺；停表； （3）让小车在同一位置停下； （4）小；让小车运动的慢些，便于计时； （5）40.0；0.25；0.5；变速直线运动； （6）小； （7）变大。</x:v>
      </x:c>
      <x:c r="N50" s="63" t="str">
        <x:v>https://k12static.xdf.cn/k12/image/externalized/fd8bdb40-0f8d-4e13-b79d-fb1761b54d58.png</x:v>
      </x:c>
      <x:c r="O50" s="63" t="str">
        <x:v>https://k12static.xdf.cn/k12/image/externalized/865efe6b-e1ed-429d-bc16-35b39b45502e.png</x:v>
      </x:c>
      <x:c r="P50" s="63" t="str">
        <x:v>3-5步</x:v>
      </x:c>
      <x:c r="Q50" s="63" t="str">
        <x:v>实验探究</x:v>
      </x:c>
      <x:c r="R50" s="63" t="str">
        <x:v>双状态</x:v>
      </x:c>
      <x:c r="S50" s="63" t="str">
        <x:v>无约束</x:v>
      </x:c>
      <x:c r="T50" s="63" t="str">
        <x:v>控制变量或故障分析</x:v>
      </x:c>
      <x:c r="U50" s="63" t="str">
        <x:v>无</x:v>
      </x:c>
      <x:c r="V50" s="63" t="str">
        <x:v>多层因果推理</x:v>
      </x:c>
    </x:row>
    <x:row r="51">
      <x:c r="A51" s="64" t="str">
        <x:v>​2861647610033246208</x:v>
      </x:c>
      <x:c r="B51" s="65" t="str">
        <x:v>拔高题</x:v>
      </x:c>
      <x:c r="C51" s="65" t="str">
        <x:v>中等题</x:v>
      </x:c>
      <x:c r="D51" s="65" t="str">
        <x:v>中等题|拔高题</x:v>
      </x:c>
      <x:c r="E51" s="65" t="str">
        <x:v>修订GPT主标签</x:v>
      </x:c>
      <x:c r="F51" s="65" t="str">
        <x:v>高</x:v>
      </x:c>
      <x:c r="G51" s="65" t="str">
        <x:v>拔高题</x:v>
      </x:c>
      <x:c r="H51" s="65" t="str">
        <x:v>拔高题</x:v>
      </x:c>
      <x:c r="I51" s="65" t="str">
        <x:v>需要围绕标准实验流程、读数与数据归纳完成常规的3—4个有效决策，或完成一套完整标准实验/共享过程分析。关系仍显性、方法常规，没有决定性隐含转换、复杂边界筛选或多状态强耦合。</x:v>
      </x:c>
      <x:c r="J51" s="65" t="str">
        <x:v>三次运行错题并集逐题复核</x:v>
      </x:c>
      <x:c r="K51" s="63" t="str">
        <x:v>如图1所示是小明用易拉罐制成的简易针孔照相机： （1）使用针孔照相机时，小孔对着 ________ （选填“明亮”或“较暗”）的物体进行观察，更容易看到物体的像； （2）小明从实验室借来用发光二极管制成的“F”字样光源，如图2甲所示，将“F”字样光源、简易针孔照相机按图2乙所示位置放好，小明观察到塑料膜上所成的像是图2丙中的 ________ （填序号），这个像是 ________ （选填“实像”或“虚像”）； （3）保持“F”字样光源的位置不变，将易拉罐靠近发光的“F”，小明观察到塑料膜上所成的像的会 ________ （选填：“变大”、“变小”或“不变”）；若将“F”字样光源向上移动，则塑料薄膜上的像向 ________ （选填“上”或“下”）方移动； （4）小华无意间在易拉罐底部不同位置戳了两个小孔，用它来观察光源F，则半透明膜上会 ________ ；（填正确选项前的字母） A．只会出现一个像 B．在不同的位置出现两个像 C．出现两个重合的像 （5）当“F”字样光源顺时针旋转，小明观察到塑料膜上所成的像会 ________ （选填：“顺”或“逆”）时针旋转；若将小孔遮去一半，像会变得更 ________ （亮/暗）； （6）若只将小圆孔改为三角形小孔，则像的形状 ________ （选填“改变”或“不变”），若再将小圆孔改为10cm边长的正方形大孔，将此大孔正对太阳，则地上的光斑的形状是 ________ ； （7）晴天的正午时分，走在青枫公园的树林里，小明看到阳光透过树叶的缝隙在地上留下许多大小不同的圆形光斑是 ________ （填“太阳”、“树叶的缝隙”或“树叶”）的 ________ （选填“像”或“影子”）。圆形光斑大小不一原因是树叶间缝隙到 ________ 距离不同（选填“地面”或“太阳”）。</x:v>
      </x:c>
      <x:c r="L51" s="63" t="str"/>
      <x:c r="M51" s="63" t="str">
        <x:v>解：（1）小孔成像实验中，是物体反射的光经小孔所成的像，对着明亮的物体像也更亮一些，更容易观察。 （2）小孔成像是光的直线传播形成的，所成的像为倒立的实像，故所成的像应为②。 （3）根据小孔成像的原理是光的直线传播，当易拉罐靠近发光的“F”时，物距减小，像距不变，则像变大，如果光源向上移动，则塑料薄膜上的像向下移动。 （4）小孔成像是光经过小孔成的实像，小华无意间在易拉罐底部不同位置戳了两个小孔，用它来观察蜡烛，蜡烛光分别经过两孔，成实像，则半透明膜上会在不同的位置出现两个像，故B正确。 （5）根据小孔成像的原理是光的直线传播，当物体顺时针转动时，像也会顺时针转动，如果小孔变小了，经过的光线也会变少，像会变暗。 （6）小孔成像中所成的像与物的形状有关，与孔的形状无关，故光斑的形状不变。 太阳离我们较远，太阳光接近于平行光，如果方形的孔太大，太阳光经过大方孔时可能不会成像，会在地上留下一下方形的光斑，与孔的形状相同。 （7）根据小孔成像的原理，阳光透过树叶的缝隙在地上留下许多大小不同的圆形光斑是太阳成在地面的像，像的大小与物距有关，与像距也有关，但太阳离我们较远，树叶间缝隙与太阳的距离变化可以忽略不计，故圆形光斑大小不一原因是树叶间缝隙到地面即像距不同造成的。 故答案为：（1）明亮；（2）②；实像；（3）变大；下；（4）B；（5）顺；暗；（6）不变；方形；（7）太阳；像；地面。</x:v>
      </x:c>
      <x:c r="N51" s="63" t="str">
        <x:v>https://k12static.xdf.cn/k12/image/externalized/351b85d2-5c20-4c73-a22e-dad55d2ff194.png</x:v>
      </x:c>
      <x:c r="O51" s="63" t="str">
        <x:v>https://k12static.xdf.cn/k12/image/externalized/e8f16cb0-30a7-46f7-938a-1f4003538868.png</x:v>
      </x:c>
      <x:c r="P51" s="63" t="str">
        <x:v>1-2步</x:v>
      </x:c>
      <x:c r="Q51" s="63" t="str">
        <x:v>光学声学综合</x:v>
      </x:c>
      <x:c r="R51" s="63" t="str">
        <x:v>单状态</x:v>
      </x:c>
      <x:c r="S51" s="63" t="str">
        <x:v>无约束</x:v>
      </x:c>
      <x:c r="T51" s="63" t="str">
        <x:v>控制变量或故障分析</x:v>
      </x:c>
      <x:c r="U51" s="63" t="str">
        <x:v>无</x:v>
      </x:c>
      <x:c r="V51" s="63" t="str">
        <x:v>多层因果推理</x:v>
      </x:c>
    </x:row>
    <x:row r="52">
      <x:c r="A52" s="64" t="str">
        <x:v>​2861668460251148288</x:v>
      </x:c>
      <x:c r="B52" s="65" t="str">
        <x:v>送分题</x:v>
      </x:c>
      <x:c r="C52" s="65" t="str">
        <x:v>送分题</x:v>
      </x:c>
      <x:c r="D52" s="65" t="str">
        <x:v>送分题|基础题</x:v>
      </x:c>
      <x:c r="E52" s="65" t="str">
        <x:v>保留原主标签；相邻档有争议</x:v>
      </x:c>
      <x:c r="F52" s="65" t="str">
        <x:v>中</x:v>
      </x:c>
      <x:c r="G52" s="65" t="str">
        <x:v>送分题</x:v>
      </x:c>
      <x:c r="H52" s="65" t="str">
        <x:v>基础题</x:v>
      </x:c>
      <x:c r="I52" s="65" t="str">
        <x:v>第二轮复核认为现有证据只能证明该题处于相邻档边界，不能排除原GPT主标签。为避免使用模型预测反向拟合真值，保留原主标签，并将另一档记录为可接受等级。</x:v>
      </x:c>
      <x:c r="J52" s="65" t="str">
        <x:v>三次运行错题并集逐题复核</x:v>
      </x:c>
      <x:c r="K52" s="63" t="str">
        <x:v>如图所示，甲、乙两小磁针在一根磁铁附近，下列判断正确的是（ ）</x:v>
      </x:c>
      <x:c r="L52" s="63" t="str">
        <x:v>A. 甲小磁针左端是S极，乙小磁针左端是N极 B. 甲小磁针左端是N极，乙小磁针左端也是N极 C. 甲小磁针左端是S极，乙小磁针左端也是S极 D. 甲小磁针左端是N极，乙小磁针左端是S极</x:v>
      </x:c>
      <x:c r="M52" s="63" t="str">
        <x:v>解：由于同名磁极相互排斥，异名磁极相互吸引，可知条形磁体的a端与小磁针的N极吸引是S极，b端是N极；小磁针甲和乙的左端都指向条形磁体的a端即条形磁体的S极，所以均为N极。 故选：B。</x:v>
      </x:c>
      <x:c r="N52" s="63" t="str">
        <x:v>https://k12static.xdf.cn/k12/image/externalized/cd80a8d0-0e43-4815-b208-a9b1d64952b1.png</x:v>
      </x:c>
      <x:c r="O52" s="63" t="str">
        <x:v>https://k12static.xdf.cn/k12/image/externalized/565ba618-fcf8-4399-9416-678ee457f956.png</x:v>
      </x:c>
      <x:c r="P52" s="63" t="str">
        <x:v>1-2步</x:v>
      </x:c>
      <x:c r="Q52" s="63" t="str">
        <x:v>概念判断</x:v>
      </x:c>
      <x:c r="R52" s="63" t="str">
        <x:v>单状态</x:v>
      </x:c>
      <x:c r="S52" s="63" t="str">
        <x:v>无约束</x:v>
      </x:c>
      <x:c r="T52" s="63" t="str">
        <x:v>无</x:v>
      </x:c>
      <x:c r="U52" s="63" t="str">
        <x:v>无</x:v>
      </x:c>
      <x:c r="V52" s="63" t="str">
        <x:v>简单因果推理</x:v>
      </x:c>
    </x:row>
    <x:row r="53">
      <x:c r="A53" s="64" t="str">
        <x:v>​2883446683577978880</x:v>
      </x:c>
      <x:c r="B53" s="65" t="str">
        <x:v>基础题</x:v>
      </x:c>
      <x:c r="C53" s="65" t="str">
        <x:v>基础题</x:v>
      </x:c>
      <x:c r="D53" s="65" t="str">
        <x:v>基础题|中等题</x:v>
      </x:c>
      <x:c r="E53" s="65" t="str">
        <x:v>保留原主标签；相邻档有争议</x:v>
      </x:c>
      <x:c r="F53" s="65" t="str">
        <x:v>中</x:v>
      </x:c>
      <x:c r="G53" s="65" t="str">
        <x:v>基础题</x:v>
      </x:c>
      <x:c r="H53" s="65" t="str">
        <x:v>基础题</x:v>
      </x:c>
      <x:c r="I53" s="65" t="str">
        <x:v>第二轮复核认为现有证据只能证明该题处于相邻档边界，不能排除原GPT主标签。为避免使用模型预测反向拟合真值，保留原主标签，并将另一档记录为可接受等级。</x:v>
      </x:c>
      <x:c r="J53" s="65" t="str">
        <x:v>三次运行错题并集逐题复核</x:v>
      </x:c>
      <x:c r="K53" s="63" t="str">
        <x:v>如图是举重运动员挺举过程中将杠铃举到头顶静止时的场景。下列说法正确的是（ ）</x:v>
      </x:c>
      <x:c r="L53" s="63" t="str">
        <x:v>A. 杠铃所受的重力与杠铃对运动员的压力是一对相互作用力 B. 运动员所受的重力与地面对运动员的支持力是一对平衡力 C. 地面对运动员的支持力大于运动员所受的重力 D. 运动员对地面的压力是由于地面发生弹性形变而产生的</x:v>
      </x:c>
      <x:c r="M53" s="63" t="str">
        <x:v>解：A、杠铃所受的重力与杠铃对运动员的压力方向相同，不是一对相互作用力，故A错误； B、运动员所受的重力与地面对运动员的支持力大小不相同，不是一对平衡力，故B错误； C、地面对运动员的支持力等于运动员与杠铃的重力之和，因此，这个支持力大于运动员所受的重力，故C正确； D、运动员对地面的压力是由于运动员的脚底发生弹性形变而产生的，故D错误。 故选：C。</x:v>
      </x:c>
      <x:c r="N53" s="63" t="str">
        <x:v>https://k12static.xdf.cn/k12/image/externalized/89bb8629-13e1-4c6f-823e-b3c1de6ad210.png</x:v>
      </x:c>
      <x:c r="O53" s="63" t="str">
        <x:v>https://k12static.xdf.cn/k12/image/externalized/7be0b917-d146-4479-9d05-286afa0c8de2.png</x:v>
      </x:c>
      <x:c r="P53" s="63" t="str">
        <x:v>1-2步</x:v>
      </x:c>
      <x:c r="Q53" s="63" t="str">
        <x:v>概念判断</x:v>
      </x:c>
      <x:c r="R53" s="63" t="str">
        <x:v>单状态</x:v>
      </x:c>
      <x:c r="S53" s="63" t="str">
        <x:v>无约束</x:v>
      </x:c>
      <x:c r="T53" s="63" t="str">
        <x:v>无</x:v>
      </x:c>
      <x:c r="U53" s="63" t="str">
        <x:v>无</x:v>
      </x:c>
      <x:c r="V53" s="63" t="str">
        <x:v>多层因果推理</x:v>
      </x:c>
    </x:row>
    <x:row r="54">
      <x:c r="A54" s="64" t="str">
        <x:v>​2884981475679997952</x:v>
      </x:c>
      <x:c r="B54" s="65" t="str">
        <x:v>基础题</x:v>
      </x:c>
      <x:c r="C54" s="65" t="str">
        <x:v>基础题</x:v>
      </x:c>
      <x:c r="D54" s="65" t="str">
        <x:v>基础题|中等题</x:v>
      </x:c>
      <x:c r="E54" s="65" t="str">
        <x:v>保留原主标签；相邻档有争议</x:v>
      </x:c>
      <x:c r="F54" s="65" t="str">
        <x:v>中</x:v>
      </x:c>
      <x:c r="G54" s="65" t="str">
        <x:v>基础题</x:v>
      </x:c>
      <x:c r="H54" s="65" t="str">
        <x:v>中等题</x:v>
      </x:c>
      <x:c r="I54" s="65" t="str">
        <x:v>第二轮复核认为现有证据只能证明该题处于相邻档边界，不能排除原GPT主标签。为避免使用模型预测反向拟合真值，保留原主标签，并将另一档记录为可接受等级。</x:v>
      </x:c>
      <x:c r="J54" s="65" t="str">
        <x:v>三次运行错题并集逐题复核</x:v>
      </x:c>
      <x:c r="K54" s="63" t="str">
        <x:v>两个相同的量筒里装有相同体积的水，用细绳拴着质量相等的实心铝块、铜块，分别浸没在各量筒的水中，水没有溢出，已知ρ铝＜ρ铜，则水对量筒底部的压强（ ）</x:v>
      </x:c>
      <x:c r="L54" s="63" t="str">
        <x:v>A. 放铜块的大 B. 放铝块的大 C. 一样大 D. 条件不足，无法确定</x:v>
      </x:c>
      <x:c r="M54" s="63" t="str">
        <x:v>解：因为m铜=m铝，ρ铜＞ρ铝，所以根据ρ=$\frac{m}{V}$可知，V铜＜V铝， 因为这两个金属块都浸没入水量筒里，所以它们排出水的体积都等于它们各自的体积，则V铜排＜V铝排，所以放铝块的量筒水面最高，根据公式p=ρgh可知，放铝块的量筒底部受到的压强最大。 故选：B。</x:v>
      </x:c>
      <x:c r="N54" s="63" t="str">
        <x:v>https://k12static.xdf.cn/k12/image/externalized/75ea61b2-f3f3-4dc1-bafc-4dc2d3783b8c.png</x:v>
      </x:c>
      <x:c r="O54" s="63" t="str">
        <x:v>https://k12static.xdf.cn/k12/image/externalized/f48dd0c8-e642-431a-977c-39312cc2ddd3.png</x:v>
      </x:c>
      <x:c r="P54" s="63" t="str">
        <x:v>1-2步</x:v>
      </x:c>
      <x:c r="Q54" s="63" t="str">
        <x:v>力学综合</x:v>
      </x:c>
      <x:c r="R54" s="63" t="str">
        <x:v>单状态</x:v>
      </x:c>
      <x:c r="S54" s="63" t="str">
        <x:v>无约束</x:v>
      </x:c>
      <x:c r="T54" s="63" t="str">
        <x:v>无</x:v>
      </x:c>
      <x:c r="U54" s="63" t="str">
        <x:v>无</x:v>
      </x:c>
      <x:c r="V54" s="63" t="str">
        <x:v>简单因果推理</x:v>
      </x:c>
    </x:row>
    <x:row r="55">
      <x:c r="A55" s="64" t="str">
        <x:v>​2892517851348377600</x:v>
      </x:c>
      <x:c r="B55" s="65" t="str">
        <x:v>基础题</x:v>
      </x:c>
      <x:c r="C55" s="65" t="str">
        <x:v>中等题</x:v>
      </x:c>
      <x:c r="D55" s="65" t="str">
        <x:v>基础题|中等题</x:v>
      </x:c>
      <x:c r="E55" s="65" t="str">
        <x:v>修订GPT主标签</x:v>
      </x:c>
      <x:c r="F55" s="65" t="str">
        <x:v>高</x:v>
      </x:c>
      <x:c r="G55" s="65" t="str">
        <x:v>中等题</x:v>
      </x:c>
      <x:c r="H55" s="65" t="str">
        <x:v>基础题</x:v>
      </x:c>
      <x:c r="I55" s="65" t="str">
        <x:v>需依次建立称重法浮力关系、上下表面压力差关系并比较F与G-T，形成约3步连续力学推理，基础档偏低。</x:v>
      </x:c>
      <x:c r="J55" s="65" t="str">
        <x:v>三次运行错题并集逐题复核</x:v>
      </x:c>
      <x:c r="K55" s="63" t="str">
        <x:v>在如图中，重为G的金属块静止在水面下，弹簧测力计的示数为T，金属块下表面受到水的压力为F，则下列说法正确的是（ ）</x:v>
      </x:c>
      <x:c r="L55" s="63" t="str">
        <x:v>A. T＞G B. T=G C. F＞G-T D. F=G-T</x:v>
      </x:c>
      <x:c r="M55" s="63" t="str">
        <x:v>解：AB、由称重法可知：G-T=F浮，而F浮，不为0，所以T＜G，故AB错误； CD、由称重法可知：G-T=F浮，而F浮=F-F上，F＞F浮，所以F＞G-T，故C正确、D错误。 故选：C。</x:v>
      </x:c>
      <x:c r="N55" s="63" t="str">
        <x:v>https://k12static.xdf.cn/k12/image/externalized/0f65bbc1-a8d0-41f7-bb56-4ce0956808c7.png</x:v>
      </x:c>
      <x:c r="O55" s="63" t="str">
        <x:v>https://k12static.xdf.cn/k12/image/externalized/710ecc6f-af25-4fe8-a265-31d3e46ad1d6.png</x:v>
      </x:c>
      <x:c r="P55" s="63" t="str">
        <x:v>3-5步</x:v>
      </x:c>
      <x:c r="Q55" s="63" t="str">
        <x:v>概念判断</x:v>
      </x:c>
      <x:c r="R55" s="63" t="str">
        <x:v>单状态</x:v>
      </x:c>
      <x:c r="S55" s="63" t="str">
        <x:v>单一约束</x:v>
      </x:c>
      <x:c r="T55" s="63" t="str">
        <x:v>无</x:v>
      </x:c>
      <x:c r="U55" s="63" t="str">
        <x:v>无</x:v>
      </x:c>
      <x:c r="V55" s="63" t="str">
        <x:v>多层因果推理</x:v>
      </x:c>
    </x:row>
    <x:row r="56">
      <x:c r="A56" s="64" t="str">
        <x:v>​2916751986216505344</x:v>
      </x:c>
      <x:c r="B56" s="65" t="str">
        <x:v>送分题</x:v>
      </x:c>
      <x:c r="C56" s="65" t="str">
        <x:v>送分题</x:v>
      </x:c>
      <x:c r="D56" s="65" t="str">
        <x:v>送分题|基础题</x:v>
      </x:c>
      <x:c r="E56" s="65" t="str">
        <x:v>保留原主标签；相邻档有争议</x:v>
      </x:c>
      <x:c r="F56" s="65" t="str">
        <x:v>中</x:v>
      </x:c>
      <x:c r="G56" s="65" t="str">
        <x:v>送分题</x:v>
      </x:c>
      <x:c r="H56" s="65" t="str">
        <x:v>基础题</x:v>
      </x:c>
      <x:c r="I56" s="65" t="str">
        <x:v>第二轮复核认为现有证据只能证明该题处于相邻档边界，不能排除原GPT主标签。为避免使用模型预测反向拟合真值，保留原主标签，并将另一档记录为可接受等级。</x:v>
      </x:c>
      <x:c r="J56" s="65" t="str">
        <x:v>三次运行错题并集逐题复核</x:v>
      </x:c>
      <x:c r="K56" s="63" t="str">
        <x:v>下列物体没有受到浮力作用的是（ ）</x:v>
      </x:c>
      <x:c r="L56" s="63" t="str">
        <x:v>A. 在水中嬉戏的小鸭 B. 在蓝天飞翔的老鹰 C. 深海潜游的鲸鱼 D. 深入河底的桥墩</x:v>
      </x:c>
      <x:c r="M56" s="63" t="str">
        <x:v>解：ABC中的物体浸在液体或气体中，因为液体、气体有流动性，因此液体或气体对浸没在其中的物体有向上的作用力和向下的压力作用，其中向上的压力大于向下的压力，这个压力差即物体受到的浮力，故ABC选项中的物体均受到浮力的作用； D中的桥墩由于底面埋在地下，不能与水接触，因此桥墩没有受到水对其向上的压力，故桥墩不受浮力作用。 故选：D。</x:v>
      </x:c>
      <x:c r="N56" s="63" t="str">
        <x:v>https://k12static.xdf.cn/k12/image/externalized/3b8c8d11-060e-4383-9e53-6ae52cc41ea5.png</x:v>
      </x:c>
      <x:c r="O56" s="63" t="str">
        <x:v>https://k12static.xdf.cn/k12/image/externalized/9f1475d5-348c-4924-9c26-f5f7797e553c.png</x:v>
      </x:c>
      <x:c r="P56" s="63" t="str">
        <x:v>1-2步</x:v>
      </x:c>
      <x:c r="Q56" s="63" t="str">
        <x:v>概念判断</x:v>
      </x:c>
      <x:c r="R56" s="63" t="str">
        <x:v>单状态</x:v>
      </x:c>
      <x:c r="S56" s="63" t="str">
        <x:v>无约束</x:v>
      </x:c>
      <x:c r="T56" s="63" t="str">
        <x:v>无</x:v>
      </x:c>
      <x:c r="U56" s="63" t="str">
        <x:v>无</x:v>
      </x:c>
      <x:c r="V56" s="63" t="str">
        <x:v>简单因果推理</x:v>
      </x:c>
    </x:row>
    <x:row r="57">
      <x:c r="A57" s="64" t="str">
        <x:v>​2929286769553530880</x:v>
      </x:c>
      <x:c r="B57" s="65" t="str">
        <x:v>基础题</x:v>
      </x:c>
      <x:c r="C57" s="65" t="str">
        <x:v>基础题</x:v>
      </x:c>
      <x:c r="D57" s="65" t="str">
        <x:v>基础题|中等题</x:v>
      </x:c>
      <x:c r="E57" s="65" t="str">
        <x:v>保留原主标签；相邻档有争议</x:v>
      </x:c>
      <x:c r="F57" s="65" t="str">
        <x:v>中</x:v>
      </x:c>
      <x:c r="G57" s="65" t="str">
        <x:v>基础题</x:v>
      </x:c>
      <x:c r="H57" s="65" t="str">
        <x:v>基础题</x:v>
      </x:c>
      <x:c r="I57" s="65" t="str">
        <x:v>第二轮复核认为现有证据只能证明该题处于相邻档边界，不能排除原GPT主标签。为避免使用模型预测反向拟合真值，保留原主标签，并将另一档记录为可接受等级。</x:v>
      </x:c>
      <x:c r="J57" s="65" t="str">
        <x:v>三次运行错题并集逐题复核</x:v>
      </x:c>
      <x:c r="K57" s="63" t="str">
        <x:v>物体悬浮在水中，水对物体向下、向上的压力分别为F1和F2，下列说法正确的是（ ）</x:v>
      </x:c>
      <x:c r="L57" s="63" t="str">
        <x:v>A. 由于物体静止不动，F1、F2是一对平衡力 B. 因为物体上表面的面积较大，所以F1＞F2 C. F1和F2的合力大小等于物体的重力 D. 物体受到合力的方向是向上的</x:v>
      </x:c>
      <x:c r="M57" s="63" t="str">
        <x:v>解：AB、由题意可知：物体悬浮在水中，受到重力、浮力的作用；由压力差法可知：物体在水中受到的浮力F浮=F2-F1，因F浮不为零，则F2＞F1，故B错误；因F2＞F1，根据二力平衡知识可知：F1、F2不是一对平衡力，故A错误； CD、物体在水中悬浮，由物体的浮沉条件可知物体受到的浮力大小等于物体的重力；由浮力产生的原因可知F1和F2的合力为浮力F浮，则F1和F2的合力大小等于物体的重力，故C正确； 由题意可知：物体悬浮在水中静止不动，物体处于平衡状态，受到平衡力的作用，根据二力平衡知识可知物体受到合力为零，故D错误。 故选：C。</x:v>
      </x:c>
      <x:c r="N57" s="63" t="str">
        <x:v>https://k12static.xdf.cn/k12/image/externalized/a39e5435-afca-450d-938b-74aa36637a0a.png</x:v>
      </x:c>
      <x:c r="O57" s="63" t="str">
        <x:v>https://k12static.xdf.cn/k12/image/externalized/e44bd073-b436-4b09-92be-942c2a8387f3.png</x:v>
      </x:c>
      <x:c r="P57" s="63" t="str">
        <x:v>3-5步</x:v>
      </x:c>
      <x:c r="Q57" s="63" t="str">
        <x:v>概念判断</x:v>
      </x:c>
      <x:c r="R57" s="63" t="str">
        <x:v>单状态</x:v>
      </x:c>
      <x:c r="S57" s="63" t="str">
        <x:v>无约束</x:v>
      </x:c>
      <x:c r="T57" s="63" t="str">
        <x:v>无</x:v>
      </x:c>
      <x:c r="U57" s="63" t="str">
        <x:v>无</x:v>
      </x:c>
      <x:c r="V57" s="63" t="str">
        <x:v>多层因果推理</x:v>
      </x:c>
    </x:row>
    <x:row r="58">
      <x:c r="A58" s="64" t="str">
        <x:v>​2961803657007108096</x:v>
      </x:c>
      <x:c r="B58" s="65" t="str">
        <x:v>中等题</x:v>
      </x:c>
      <x:c r="C58" s="65" t="str">
        <x:v>拔高题</x:v>
      </x:c>
      <x:c r="D58" s="65" t="str">
        <x:v>中等题|拔高题</x:v>
      </x:c>
      <x:c r="E58" s="65" t="str">
        <x:v>修订GPT主标签</x:v>
      </x:c>
      <x:c r="F58" s="65" t="str">
        <x:v>高</x:v>
      </x:c>
      <x:c r="G58" s="65" t="str">
        <x:v>中等题</x:v>
      </x:c>
      <x:c r="H58" s="65" t="str">
        <x:v>拔高题</x:v>
      </x:c>
      <x:c r="I58" s="65" t="str">
        <x:v>最高难任务在电路状态、图线/参数与安全约束中包含图线反推、状态转换、误差评价、几何/等效转换、方程联立或参数反求等决定性卡点，整体约5—6个有效决策；尚未形成压轴所需的完整复杂约束网络。</x:v>
      </x:c>
      <x:c r="J58" s="65" t="str">
        <x:v>三次运行错题并集逐题复核</x:v>
      </x:c>
      <x:c r="K58" s="63" t="str">
        <x:v>图甲是小灯泡L和电阻R的电流随电压变化图象，由图象可知，当R两端的电压为0时，R的阻值为 Ω。将它们接入图乙所示电路中，只闭合开关S1，小灯泡的实际功率为0.4W，则电源电压为 V。若闭合开关S、S2，断开开关S1，此时电流表的示数为 。</x:v>
      </x:c>
      <x:c r="L58" s="63" t="str"/>
      <x:c r="M58" s="63" t="str">
        <x:v>解：（1）由R的I-U图象可得，R的阻值：R=$\frac{{U}_{R}}{{I}_{R}}$=$\frac{4V}{0.1A}$=40Ω， 由于电阻是导体本身的一种性质，与导体两端的电压没有关系，所以当R两端的电压为0时，R的阻值仍为40Ω； （2）电路图知，只闭合开关S1，灯泡与定值电阻R串联， 由甲图象可知，当小灯泡的实际功率为0.4W时，通过的电流I=0.2A（即串联电路的电流），其电压为UL=2V， 根据串联电路的电压特点和欧姆定律可得，电源电压为： U=UL+IR=2V+0.2A×40Ω=10V； （3）闭合开关S、S2，断开开关S1，灯泡与定值电阻R并联，电流表测干路电流， 根据并联电路的电压特点可知R两端的电压为10V， 此时通过R的电流为：IR=$\frac{{U}_{R}′}{R}$=$\frac{10V}{40Ω}$=0.25A， 由甲图象可知此时通过灯泡L的电流为0.5A， 电流表示数I′=IR+IL=0.25A+0.5A=0.75A。 故答案为：40；10；0.75A。</x:v>
      </x:c>
      <x:c r="N58" s="63" t="str">
        <x:v>https://k12static.xdf.cn/k12/image/externalized/30dacb33-b2f1-4fe0-a980-96dedf401385.png</x:v>
      </x:c>
      <x:c r="O58" s="63" t="str">
        <x:v>https://k12static.xdf.cn/k12/image/externalized/1fcef945-03a4-4da9-a49a-1f20ef1500c7.png</x:v>
      </x:c>
      <x:c r="P58" s="63" t="str">
        <x:v>3-5步</x:v>
      </x:c>
      <x:c r="Q58" s="63" t="str">
        <x:v>电路综合</x:v>
      </x:c>
      <x:c r="R58" s="63" t="str">
        <x:v>双状态</x:v>
      </x:c>
      <x:c r="S58" s="63" t="str">
        <x:v>单一约束</x:v>
      </x:c>
      <x:c r="T58" s="63" t="str">
        <x:v>无</x:v>
      </x:c>
      <x:c r="U58" s="63" t="str">
        <x:v>直接读数</x:v>
      </x:c>
      <x:c r="V58" s="63" t="str">
        <x:v>多层因果推理</x:v>
      </x:c>
    </x:row>
    <x:row r="59">
      <x:c r="A59" s="64" t="str">
        <x:v>​2984618027514081280</x:v>
      </x:c>
      <x:c r="B59" s="65" t="str">
        <x:v>送分题</x:v>
      </x:c>
      <x:c r="C59" s="65" t="str">
        <x:v>送分题</x:v>
      </x:c>
      <x:c r="D59" s="65" t="str">
        <x:v>送分题|基础题</x:v>
      </x:c>
      <x:c r="E59" s="65" t="str">
        <x:v>保留原主标签；相邻档有争议</x:v>
      </x:c>
      <x:c r="F59" s="65" t="str">
        <x:v>中</x:v>
      </x:c>
      <x:c r="G59" s="65" t="str">
        <x:v>送分题</x:v>
      </x:c>
      <x:c r="H59" s="65" t="str">
        <x:v>基础题</x:v>
      </x:c>
      <x:c r="I59" s="65" t="str">
        <x:v>第二轮复核认为现有证据只能证明该题处于相邻档边界，不能排除原GPT主标签。为避免使用模型预测反向拟合真值，保留原主标签，并将另一档记录为可接受等级。</x:v>
      </x:c>
      <x:c r="J59" s="65" t="str">
        <x:v>三次运行错题并集逐题复核</x:v>
      </x:c>
      <x:c r="K59" s="63" t="str">
        <x:v>下列关于功、功率、机械效率的说法正确的是（ ）</x:v>
      </x:c>
      <x:c r="L59" s="63" t="str">
        <x:v>A. 功率越大，做功越多 B. 做功越多，机械效率越高 C. 功率越大，机械效率越高 D. 功率越小，做功越慢</x:v>
      </x:c>
      <x:c r="M59" s="63" t="str">
        <x:v>解：A、功率越大，说明做功越快，因为时间未知，不能说做功越多，故A错误； B、做功越多，但有用功不一定多，机械效率不一定高，故B错误； C、功率是物体做功快慢的物理量，机械效率是有用功跟总功的比值，机械效率的高低与功率无关，故C错误； D、功率是物体做功快慢的物理量，功率越小，做功越慢，故D正确。 故选：D。</x:v>
      </x:c>
      <x:c r="N59" s="63" t="str">
        <x:v>https://k12static.xdf.cn/k12/image/externalized/6c9b7e48-f848-442b-9c39-511079e86993.png</x:v>
      </x:c>
      <x:c r="O59" s="63" t="str">
        <x:v>https://k12static.xdf.cn/k12/image/externalized/e72df0ce-c680-415e-98fa-2e659e71b06d.png</x:v>
      </x:c>
      <x:c r="P59" s="63" t="str">
        <x:v>1-2步</x:v>
      </x:c>
      <x:c r="Q59" s="63" t="str">
        <x:v>概念判断</x:v>
      </x:c>
      <x:c r="R59" s="63" t="str">
        <x:v>单状态</x:v>
      </x:c>
      <x:c r="S59" s="63" t="str">
        <x:v>无约束</x:v>
      </x:c>
      <x:c r="T59" s="63" t="str">
        <x:v>无</x:v>
      </x:c>
      <x:c r="U59" s="63" t="str">
        <x:v>无</x:v>
      </x:c>
      <x:c r="V59" s="63" t="str">
        <x:v>简单因果推理</x:v>
      </x:c>
    </x:row>
    <x:row r="60">
      <x:c r="A60" s="64" t="str">
        <x:v>​2991067623492968448</x:v>
      </x:c>
      <x:c r="B60" s="65" t="str">
        <x:v>送分题</x:v>
      </x:c>
      <x:c r="C60" s="65" t="str">
        <x:v>送分题</x:v>
      </x:c>
      <x:c r="D60" s="65" t="str">
        <x:v>送分题|基础题</x:v>
      </x:c>
      <x:c r="E60" s="65" t="str">
        <x:v>保留原主标签；相邻档有争议</x:v>
      </x:c>
      <x:c r="F60" s="65" t="str">
        <x:v>中</x:v>
      </x:c>
      <x:c r="G60" s="65" t="str">
        <x:v>送分题</x:v>
      </x:c>
      <x:c r="H60" s="65" t="str">
        <x:v>送分题</x:v>
      </x:c>
      <x:c r="I60" s="65" t="str">
        <x:v>第二轮复核认为现有证据只能证明该题处于相邻档边界，不能排除原GPT主标签。为避免使用模型预测反向拟合真值，保留原主标签，并将另一档记录为可接受等级。</x:v>
      </x:c>
      <x:c r="J60" s="65" t="str">
        <x:v>三次运行错题并集逐题复核</x:v>
      </x:c>
      <x:c r="K60" s="63" t="str">
        <x:v>如图是古代舂米（舂米就是把稻谷去壳，做成白米）时的场景，舂米装置可视为杠杆，下列工具正常使用时，与舂米装置属于同类杠杆的是（ ）</x:v>
      </x:c>
      <x:c r="L60" s="63" t="str"/>
      <x:c r="M60" s="63" t="str">
        <x:v>解：由图可知，舂米装置可以绕支点转动，属于简单机械中的杠杆，由于装置的阻力臂大于动力臂，所以为费力杠杆； A、筷子在使用过程中，动力臂小于阻力臂。属于费力杠杆，故A 符合题意； B、开瓶器在使用过程中，动力臂大于阻力臂，属于省力杠杆，故B不符合题意； C、核桃夹在使用过程中，动力臂大于阻力臂，属于省力杠杆，故C不符合题意； D、钢丝钳在使用过程中，动力臂大于阻力臂，属于省力杠杆，故D不符合题意。 故选：A。</x:v>
      </x:c>
      <x:c r="N60" s="63" t="str">
        <x:v>https://k12static.xdf.cn/k12/image/externalized/11f925fe-8491-402b-97f2-2fd88396dc1e.png</x:v>
      </x:c>
      <x:c r="O60" s="63" t="str">
        <x:v>https://k12static.xdf.cn/k12/image/externalized/19beba99-e645-4b07-b763-57b37d80c59c.png</x:v>
      </x:c>
      <x:c r="P60" s="63" t="str">
        <x:v>1-2步</x:v>
      </x:c>
      <x:c r="Q60" s="63" t="str">
        <x:v>概念判断</x:v>
      </x:c>
      <x:c r="R60" s="63" t="str">
        <x:v>单状态</x:v>
      </x:c>
      <x:c r="S60" s="63" t="str">
        <x:v>无约束</x:v>
      </x:c>
      <x:c r="T60" s="63" t="str">
        <x:v>无</x:v>
      </x:c>
      <x:c r="U60" s="63" t="str">
        <x:v>无</x:v>
      </x:c>
      <x:c r="V60" s="63" t="str">
        <x:v>简单因果推理</x:v>
      </x:c>
    </x:row>
    <x:row r="61">
      <x:c r="A61" s="64" t="str">
        <x:v>​2992110964677812224</x:v>
      </x:c>
      <x:c r="B61" s="65" t="str">
        <x:v>送分题</x:v>
      </x:c>
      <x:c r="C61" s="65" t="str">
        <x:v>送分题</x:v>
      </x:c>
      <x:c r="D61" s="65" t="str">
        <x:v>送分题|基础题</x:v>
      </x:c>
      <x:c r="E61" s="65" t="str">
        <x:v>保留原主标签；相邻档有争议</x:v>
      </x:c>
      <x:c r="F61" s="65" t="str">
        <x:v>中</x:v>
      </x:c>
      <x:c r="G61" s="65" t="str">
        <x:v>送分题</x:v>
      </x:c>
      <x:c r="H61" s="65" t="str">
        <x:v>送分题</x:v>
      </x:c>
      <x:c r="I61" s="65" t="str">
        <x:v>第二轮复核认为现有证据只能证明该题处于相邻档边界，不能排除原GPT主标签。为避免使用模型预测反向拟合真值，保留原主标签，并将另一档记录为可接受等级。</x:v>
      </x:c>
      <x:c r="J61" s="65" t="str">
        <x:v>三次运行错题并集逐题复核</x:v>
      </x:c>
      <x:c r="K61" s="63" t="str">
        <x:v>小汽车行驶到后海大道与海德一道十字路口时，司机向右打转向灯，此时小汽车右边前、后的转向灯同时亮起。行驶到海德一道后，右边前、后的转向又灯同时熄灭，则右边前、后两盏灯的连接方式是（ ）</x:v>
      </x:c>
      <x:c r="L61" s="63" t="str">
        <x:v>A. 串联 B. 并联 C. 可能是串联、也可能是并联 D. 无法确定</x:v>
      </x:c>
      <x:c r="M61" s="63" t="str">
        <x:v>根据生活经验可知，位于汽车同侧的前、后两个转向灯若其中一个灯损坏，另外一个灯不受影响，所以是并联的方式连接，故B符合题意，ACD不符合题意。故选B。</x:v>
      </x:c>
      <x:c r="N61" s="63" t="str">
        <x:v>https://k12static.xdf.cn/k12/image/externalized/a19c79d3-6330-40d6-a6c4-c03ae1fba65d.png</x:v>
      </x:c>
      <x:c r="O61" s="63" t="str">
        <x:v>https://k12static.xdf.cn/k12/image/externalized/0872b680-3b81-457c-a6ea-98a452ad621e.png</x:v>
      </x:c>
      <x:c r="P61" s="63" t="str">
        <x:v>1-2步</x:v>
      </x:c>
      <x:c r="Q61" s="63" t="str">
        <x:v>概念判断</x:v>
      </x:c>
      <x:c r="R61" s="63" t="str">
        <x:v>单状态</x:v>
      </x:c>
      <x:c r="S61" s="63" t="str">
        <x:v>无约束</x:v>
      </x:c>
      <x:c r="T61" s="63" t="str">
        <x:v>无</x:v>
      </x:c>
      <x:c r="U61" s="63" t="str">
        <x:v>无</x:v>
      </x:c>
      <x:c r="V61" s="63" t="str">
        <x:v>简单因果推理</x:v>
      </x:c>
    </x:row>
    <x:row r="62">
      <x:c r="A62" s="64" t="str">
        <x:v>​3021025329385111552</x:v>
      </x:c>
      <x:c r="B62" s="65" t="str">
        <x:v>送分题</x:v>
      </x:c>
      <x:c r="C62" s="65" t="str">
        <x:v>基础题</x:v>
      </x:c>
      <x:c r="D62" s="65" t="str">
        <x:v>送分题|基础题</x:v>
      </x:c>
      <x:c r="E62" s="65" t="str">
        <x:v>修订GPT主标签</x:v>
      </x:c>
      <x:c r="F62" s="65" t="str">
        <x:v>高</x:v>
      </x:c>
      <x:c r="G62" s="65" t="str">
        <x:v>送分题</x:v>
      </x:c>
      <x:c r="H62" s="65" t="str">
        <x:v>送分题</x:v>
      </x:c>
      <x:c r="I62" s="65" t="str">
        <x:v>最高难任务属于电路状态、图线/参数与安全约束中的1—2步直接应用、规范操作或简单因果判断。需要理解/应用而非纯识记，但没有共享中间结论、完整连续过程或隐含转换。</x:v>
      </x:c>
      <x:c r="J62" s="65" t="str">
        <x:v>三次运行错题并集逐题复核</x:v>
      </x:c>
      <x:c r="K62" s="63" t="str">
        <x:v>按照下图所示的电路图，连接实物图</x:v>
      </x:c>
      <x:c r="L62" s="63" t="str"/>
      <x:c r="M62" s="63" t="str">
        <x:v>暂无</x:v>
      </x:c>
      <x:c r="N62" s="63" t="str">
        <x:v>https://k12static.xdf.cn/k12/image/externalized/eeefbc19-17fd-4645-b2b0-a0090da0b438.png</x:v>
      </x:c>
      <x:c r="O62" s="63" t="str">
        <x:v>https://k12static.xdf.cn/k12/image/externalized/26f0eaaf-e72d-4cc6-b8bf-c6f90770af87.png</x:v>
      </x:c>
      <x:c r="P62" s="63" t="str">
        <x:v>1-2步</x:v>
      </x:c>
      <x:c r="Q62" s="63" t="str">
        <x:v>电路综合</x:v>
      </x:c>
      <x:c r="R62" s="63" t="str">
        <x:v>单状态</x:v>
      </x:c>
      <x:c r="S62" s="63" t="str">
        <x:v>无约束</x:v>
      </x:c>
      <x:c r="T62" s="63" t="str">
        <x:v>基础操作或读数</x:v>
      </x:c>
      <x:c r="U62" s="63" t="str">
        <x:v>无</x:v>
      </x:c>
      <x:c r="V62" s="63" t="str">
        <x:v>简单因果推理</x:v>
      </x:c>
    </x:row>
    <x:row r="63">
      <x:c r="A63" s="64" t="str">
        <x:v>​3023966714970804224</x:v>
      </x:c>
      <x:c r="B63" s="65" t="str">
        <x:v>基础题</x:v>
      </x:c>
      <x:c r="C63" s="65" t="str">
        <x:v>基础题</x:v>
      </x:c>
      <x:c r="D63" s="65" t="str">
        <x:v>基础题|中等题</x:v>
      </x:c>
      <x:c r="E63" s="65" t="str">
        <x:v>保留原主标签；相邻档有争议</x:v>
      </x:c>
      <x:c r="F63" s="65" t="str">
        <x:v>中</x:v>
      </x:c>
      <x:c r="G63" s="65" t="str">
        <x:v>基础题</x:v>
      </x:c>
      <x:c r="H63" s="65" t="str">
        <x:v>中等题</x:v>
      </x:c>
      <x:c r="I63" s="65" t="str">
        <x:v>第二轮复核认为现有证据只能证明该题处于相邻档边界，不能排除原GPT主标签。为避免使用模型预测反向拟合真值，保留原主标签，并将另一档记录为可接受等级。</x:v>
      </x:c>
      <x:c r="J63" s="65" t="str">
        <x:v>三次运行错题并集逐题复核</x:v>
      </x:c>
      <x:c r="K63" s="63" t="str">
        <x:v>如图是某同学制作的幻灯机，幻灯机的前端是可伸缩圆筒，圆筒一端嵌有凸透镜。将幻灯片插入该装置，开启强光灯，在墙上呈现了幻灯片清晰的像，若要使墙上呈现更大的清晰像，下列操作可行的是（ ）</x:v>
      </x:c>
      <x:c r="L63" s="63" t="str">
        <x:v>A. 幻灯机整体靠近墙面，伸缩筒前伸 B. 幻灯机整体远离墙面，伸缩筒前伸 C. 幻灯机整体靠近墙面，伸缩筒后缩 D. 幻灯机整体远离墙面，伸缩筒后缩</x:v>
      </x:c>
      <x:c r="M63" s="63" t="str">
        <x:v>根据凸透镜成像的规律，要使像变大，需要减小物距，此时像距会相应变大；所以，应该使幻灯片靠近凸透镜，即让伸缩筒后缩，同时使墙远离凸透镜，即让幻灯机整体远离墙面，故ABC不符合题意，D符合题意。故选D。</x:v>
      </x:c>
      <x:c r="N63" s="63" t="str">
        <x:v>https://k12static.xdf.cn/k12/image/externalized/9d126eb0-0af8-4710-a79a-957447b68f21.png</x:v>
      </x:c>
      <x:c r="O63" s="63" t="str">
        <x:v>https://k12static.xdf.cn/k12/image/externalized/6110637f-cf2d-4ec7-882f-f25ce431a7b5.png</x:v>
      </x:c>
      <x:c r="P63" s="63" t="str">
        <x:v>1-2步</x:v>
      </x:c>
      <x:c r="Q63" s="63" t="str">
        <x:v>光学声学综合</x:v>
      </x:c>
      <x:c r="R63" s="63" t="str">
        <x:v>单状态</x:v>
      </x:c>
      <x:c r="S63" s="63" t="str">
        <x:v>无约束</x:v>
      </x:c>
      <x:c r="T63" s="63" t="str">
        <x:v>无</x:v>
      </x:c>
      <x:c r="U63" s="63" t="str">
        <x:v>无</x:v>
      </x:c>
      <x:c r="V63" s="63" t="str">
        <x:v>简单因果推理</x:v>
      </x:c>
    </x:row>
    <x:row r="64">
      <x:c r="A64" s="64" t="str">
        <x:v>​3028418693838782464</x:v>
      </x:c>
      <x:c r="B64" s="65" t="str">
        <x:v>压轴题</x:v>
      </x:c>
      <x:c r="C64" s="65" t="str">
        <x:v>拔高题</x:v>
      </x:c>
      <x:c r="D64" s="65" t="str">
        <x:v>拔高题|压轴题</x:v>
      </x:c>
      <x:c r="E64" s="65" t="str">
        <x:v>修订GPT主标签</x:v>
      </x:c>
      <x:c r="F64" s="65" t="str">
        <x:v>高</x:v>
      </x:c>
      <x:c r="G64" s="65" t="str">
        <x:v>压轴题</x:v>
      </x:c>
      <x:c r="H64" s="65" t="str">
        <x:v>中等题</x:v>
      </x:c>
      <x:c r="I64" s="65" t="str">
        <x:v>最高难任务在电路状态、图线/参数与安全约束中包含图线反推、状态转换、误差评价、几何/等效转换、方程联立或参数反求等决定性卡点，整体约5—6个有效决策；尚未形成压轴所需的完整复杂约束网络。</x:v>
      </x:c>
      <x:c r="J64" s="65" t="str">
        <x:v>三次运行错题并集逐题复核</x:v>
      </x:c>
      <x:c r="K64" s="63" t="str">
        <x:v>寒假，为给阳台上的花草制作一个可调温的加热装置，小墨网购了一根额定电流为3A的电炉丝（如图甲）。在家长陪同下，他把电炉丝分成R1、R2两段，其中R1=20Ω，R2段为阻值可调的部分。 如图乙，他将两段电炉丝接入电源电压恒为12V的电路中，闭合开关S，在通过电炉丝的电流不超过其额定电流的情况下，该加热装置的总功率P与电源的输出电流I之间的关系图象如图丙所示，其中I大、I小分别为电源的最大、最小输出电流。忽略温度对电阻的影响，闭合开关S，求：</x:v>
      </x:c>
      <x:c r="L64" s="63" t="str"/>
      <x:c r="M64" s="63" t="str"/>
      <x:c r="N64" s="63" t="str">
        <x:v>https://k12static.xdf.cn/k12/image/externalized/75f91022-4626-4a49-8aa9-c8e0340b579f.png</x:v>
      </x:c>
      <x:c r="O64" s="63" t="str">
        <x:v>https://k12static.xdf.cn/k12/image/externalized/ba6de592-c587-4942-a6fb-bfa90735d2dc.png</x:v>
      </x:c>
      <x:c r="P64" s="63" t="str">
        <x:v>3-5步</x:v>
      </x:c>
      <x:c r="Q64" s="63" t="str">
        <x:v>电路综合</x:v>
      </x:c>
      <x:c r="R64" s="63" t="str">
        <x:v>双状态</x:v>
      </x:c>
      <x:c r="S64" s="63" t="str">
        <x:v>单一约束</x:v>
      </x:c>
      <x:c r="T64" s="63" t="str">
        <x:v>无</x:v>
      </x:c>
      <x:c r="U64" s="63" t="str">
        <x:v>直接读数</x:v>
      </x:c>
      <x:c r="V64" s="63" t="str">
        <x:v>多层因果推理</x:v>
      </x:c>
    </x:row>
    <x:row r="65">
      <x:c r="A65" s="64" t="str">
        <x:v>​3044393486444158976</x:v>
      </x:c>
      <x:c r="B65" s="65" t="str">
        <x:v>压轴题</x:v>
      </x:c>
      <x:c r="C65" s="65" t="str">
        <x:v>拔高题</x:v>
      </x:c>
      <x:c r="D65" s="65" t="str">
        <x:v>拔高题|压轴题</x:v>
      </x:c>
      <x:c r="E65" s="65" t="str">
        <x:v>修订GPT主标签</x:v>
      </x:c>
      <x:c r="F65" s="65" t="str">
        <x:v>高</x:v>
      </x:c>
      <x:c r="G65" s="65" t="str">
        <x:v>压轴题</x:v>
      </x:c>
      <x:c r="H65" s="65" t="str">
        <x:v>压轴题</x:v>
      </x:c>
      <x:c r="I65" s="65" t="str">
        <x:v>最高难任务在电路状态、图线/参数与安全约束中包含图线反推、状态转换、误差评价、几何/等效转换、方程联立或参数反求等决定性卡点，整体约5—6个有效决策；尚未形成压轴所需的完整复杂约束网络。</x:v>
      </x:c>
      <x:c r="J65" s="65" t="str">
        <x:v>三次运行错题并集逐题复核</x:v>
      </x:c>
      <x:c r="K65" s="63" t="str">
        <x:v>如图所示，电源电压U=6V，小灯泡标有“4V 1.6W”字样，定值电阻R2=20Ω，滑动变阻器R3允许通过的最大电流为1A，电流表的量程为0～3A，电压表的量程为0～3V，电源电压和小灯泡的阻值R均保持不变。（1）求小灯泡的阻值R1；（2）只闭合开关S2，求电压表的示数；（3）将滑动变阻器滑片滑到最左端，闭合所有开关，此时电流表示数为0.5A，求滑动变阻器R3的最大阻值；（4）只闭合开关S3，在电路安全的情况下，求小灯泡电功率的变化范围。</x:v>
      </x:c>
      <x:c r="L65" s="63" t="str"/>
      <x:c r="M65" s="63" t="str">
        <x:v>解：（1）小灯泡标有&amp;ldquo;4V 1.6W&amp;rdquo;，由$P=\dfrac{U^{2}}{R}$可得,小灯泡的阻值 $R_{1}=\dfrac{U_{额}^{2}}{P_{额}}=\dfrac{(4\mathrm{V})^{2}}{1.6\mathrm{W}}=10\Omega$ （2）只闭合开关S2时，灯泡R1与电阻R2串联，电压表测R1两端的电压，串联电路总电阻等于各部分电阻之和，所以电路总电阻 $R=R_{1}+R_{2}=10\Omega +20\Omega =30\Omega$ 此时通过电路的电流 $I=\dfrac{U}{R}=\dfrac{6\mathrm{V}}{20\Omega }=0.2\mathrm{A}$ 所以R1两端的电压为 $U_{1}=IR_{1}=0.2\mathrm{A}\times 10\Omega =2\mathrm{V}$ 即电压表示数为2V。 （3）将滑动变阻器滑片滑到最左端，闭合所有开关，电阻R2与R3的最大阻值并联，电流表A测干路电流，此时电流表示数为0.5A，并联电路各并联支路两端电压相等，所以通过R2的电流 $I_{2}=\dfrac{U}{R_{2}}=\dfrac{6\mathrm{V}}{20\Omega }=0.3\mathrm{A}$ 并联电路干路电流等于各支路电流之和，所以通过滑动变阻器的电流 $I_{3}=I_{0}-I_{2}=0.5\mathrm{A}-0.3\mathrm{A}=0.2\mathrm{A}$ 所以滑动变阻器的最大阻值为 $R_{3}=\dfrac{U}{I_{3}}=\dfrac{6\mathrm{V}}{0.2\mathrm{A}}=30\Omega$ （4）只闭合开关S3时，灯泡R1与滑动变阻器R3串联，电压表测R1两端的电压，当电压表的示数R1&amp;prime;=3V时，灯泡两端的电压最大，其实际功率最大 $P_{1大}=\dfrac{U_{1}{^{\prime}}^{2}}{R_{1}}=\dfrac{(3\mathrm{V})^{2}}{10\Omega }=0.9\mathrm{W}$ 当滑动变阻器接入电路中的电阻最大时，电路中的电流最小，R1的功率最小，此时电路中的电流 $I_{小}=\dfrac{U}{R_{1}+R_{3}}=\dfrac{6\mathrm{V}}{10\Omega +30\Omega }=0.15\mathrm{A}$ 则灯泡的最小功率 ${P_{1}}_{小}={I_{小}}^{2}R_{1}=\mathrm{（}0.15\mathrm{A}\mathrm{）}^{2}\times 10\Omega =0.225\mathrm{W}$ 所以，小灯泡电功率的变化范围为0.225W～0.9W。 答：（1）小灯泡的阻值R1为10&amp;Omega;； （2）只闭合开关S2，求电压表的示数为2V； （3）滑动变阻器R3的最大阻值为30&amp;Omega;； （4）只闭合开关S3，在电路安全的情况下，小灯泡电功率的变化范围为0.225W～0.9W。</x:v>
      </x:c>
      <x:c r="N65" s="63" t="str">
        <x:v>https://k12static.xdf.cn/k12/image/externalized/fe2362eb-ebd2-4758-96a7-6ba3d02f28bb.png</x:v>
      </x:c>
      <x:c r="O65" s="63" t="str">
        <x:v>https://k12static.xdf.cn/k12/image/externalized/3341e5bb-1fd6-4dd0-9a63-5f85ce8df1e0.png</x:v>
      </x:c>
      <x:c r="P65" s="63" t="str">
        <x:v>3-5步</x:v>
      </x:c>
      <x:c r="Q65" s="63" t="str">
        <x:v>电路综合</x:v>
      </x:c>
      <x:c r="R65" s="63" t="str">
        <x:v>双状态</x:v>
      </x:c>
      <x:c r="S65" s="63" t="str">
        <x:v>多约束</x:v>
      </x:c>
      <x:c r="T65" s="63" t="str">
        <x:v>无</x:v>
      </x:c>
      <x:c r="U65" s="63" t="str">
        <x:v>无</x:v>
      </x:c>
      <x:c r="V65" s="63" t="str">
        <x:v>多层因果推理</x:v>
      </x:c>
    </x:row>
    <x:row r="66">
      <x:c r="A66" s="64" t="str">
        <x:v>​3054501017614839808</x:v>
      </x:c>
      <x:c r="B66" s="65" t="str">
        <x:v>送分题</x:v>
      </x:c>
      <x:c r="C66" s="65" t="str">
        <x:v>送分题</x:v>
      </x:c>
      <x:c r="D66" s="65" t="str">
        <x:v>送分题|基础题</x:v>
      </x:c>
      <x:c r="E66" s="65" t="str">
        <x:v>保留原主标签；相邻档有争议</x:v>
      </x:c>
      <x:c r="F66" s="65" t="str">
        <x:v>中</x:v>
      </x:c>
      <x:c r="G66" s="65" t="str">
        <x:v>送分题</x:v>
      </x:c>
      <x:c r="H66" s="65" t="str">
        <x:v>送分题</x:v>
      </x:c>
      <x:c r="I66" s="65" t="str">
        <x:v>第二轮复核认为现有证据只能证明该题处于相邻档边界，不能排除原GPT主标签。为避免使用模型预测反向拟合真值，保留原主标签，并将另一档记录为可接受等级。</x:v>
      </x:c>
      <x:c r="J66" s="65" t="str">
        <x:v>三次运行错题并集逐题复核</x:v>
      </x:c>
      <x:c r="K66" s="63" t="str">
        <x:v>下列杠杆的应用是为了省力的是（ ）</x:v>
      </x:c>
      <x:c r="L66" s="63" t="str">
        <x:v>A. 裁纸刀 B. 盘夹 C. 天平 D. 船桨</x:v>
      </x:c>
      <x:c r="M66" s="63" t="str">
        <x:v>解：A、裁纸刀在使用过程中，阻力臂小于动力臂，是省力杠杆，故A符合题意； B、盘夹在使用过程中，阻力臂大于动力臂，是费力杠杆，故B不符合题意； C、天平在使用过程中，阻力臂等于动力臂，是等臂杠杆，故C不符合题意； D、船桨在使用过程中，动力臂小于阻力臂，是费力杠杆，故D不符合题意。 故选：A。</x:v>
      </x:c>
      <x:c r="N66" s="63" t="str">
        <x:v>https://k12static.xdf.cn/k12/image/externalized/568164f0-6a52-4644-bfec-760bb39e560d.png</x:v>
      </x:c>
      <x:c r="O66" s="63" t="str">
        <x:v>https://k12static.xdf.cn/k12/image/externalized/563caf34-b023-40bd-b90b-794250a828cf.png</x:v>
      </x:c>
      <x:c r="P66" s="63" t="str">
        <x:v>1-2步</x:v>
      </x:c>
      <x:c r="Q66" s="63" t="str">
        <x:v>概念判断</x:v>
      </x:c>
      <x:c r="R66" s="63" t="str">
        <x:v>单状态</x:v>
      </x:c>
      <x:c r="S66" s="63" t="str">
        <x:v>无约束</x:v>
      </x:c>
      <x:c r="T66" s="63" t="str">
        <x:v>无</x:v>
      </x:c>
      <x:c r="U66" s="63" t="str">
        <x:v>无</x:v>
      </x:c>
      <x:c r="V66" s="63" t="str">
        <x:v>简单因果推理</x:v>
      </x:c>
    </x:row>
    <x:row r="67">
      <x:c r="A67" s="64" t="str">
        <x:v>​3054501441832792064</x:v>
      </x:c>
      <x:c r="B67" s="65" t="str">
        <x:v>送分题</x:v>
      </x:c>
      <x:c r="C67" s="65" t="str">
        <x:v>送分题</x:v>
      </x:c>
      <x:c r="D67" s="65" t="str">
        <x:v>送分题|基础题</x:v>
      </x:c>
      <x:c r="E67" s="65" t="str">
        <x:v>保留原主标签；相邻档有争议</x:v>
      </x:c>
      <x:c r="F67" s="65" t="str">
        <x:v>中</x:v>
      </x:c>
      <x:c r="G67" s="65" t="str">
        <x:v>送分题</x:v>
      </x:c>
      <x:c r="H67" s="65" t="str">
        <x:v>基础题</x:v>
      </x:c>
      <x:c r="I67" s="65" t="str">
        <x:v>第二轮复核认为现有证据只能证明该题处于相邻档边界，不能排除原GPT主标签。为避免使用模型预测反向拟合真值，保留原主标签，并将另一档记录为可接受等级。</x:v>
      </x:c>
      <x:c r="J67" s="65" t="str">
        <x:v>三次运行错题并集逐题复核</x:v>
      </x:c>
      <x:c r="K67" s="63" t="str">
        <x:v>如图所示，用手扣紧不锈钢碗夹器后，可抓取菜碗。下列选项中的工具在正常使用时，与碗夹器属于同一类杠杆的是（ ）</x:v>
      </x:c>
      <x:c r="L67" s="63" t="str">
        <x:v>A. 开瓶器 B. 核桃夹 C. 钳子 D. 船桨</x:v>
      </x:c>
      <x:c r="M67" s="63" t="str">
        <x:v>解：碗夹器在使用过程中，动力臂小于阻力臂，属于费力杠杆； ABC、开瓶器、核桃夹和钳子在使用过程中，动力臂大于阻力臂，都属于省力杠杆，故ABC不符合题意； D、船桨在使用过程中，动力臂小于阻力臂，属于费力杠杆，故D符合题意。 故选：D。</x:v>
      </x:c>
      <x:c r="N67" s="63" t="str">
        <x:v>https://k12static.xdf.cn/k12/image/externalized/f0c313a8-310d-4098-ab4b-82fed3dec4c1.png</x:v>
      </x:c>
      <x:c r="O67" s="63" t="str">
        <x:v>https://k12static.xdf.cn/k12/image/externalized/6cad5b5a-04c9-4488-87e7-c095834ac336.png</x:v>
      </x:c>
      <x:c r="P67" s="63" t="str">
        <x:v>1-2步</x:v>
      </x:c>
      <x:c r="Q67" s="63" t="str">
        <x:v>概念判断</x:v>
      </x:c>
      <x:c r="R67" s="63" t="str">
        <x:v>单状态</x:v>
      </x:c>
      <x:c r="S67" s="63" t="str">
        <x:v>无约束</x:v>
      </x:c>
      <x:c r="T67" s="63" t="str">
        <x:v>无</x:v>
      </x:c>
      <x:c r="U67" s="63" t="str">
        <x:v>无</x:v>
      </x:c>
      <x:c r="V67" s="63" t="str">
        <x:v>简单因果推理</x:v>
      </x:c>
    </x:row>
    <x:row r="68">
      <x:c r="A68" s="64" t="str">
        <x:v>​3070417524890570752</x:v>
      </x:c>
      <x:c r="B68" s="65" t="str">
        <x:v>送分题</x:v>
      </x:c>
      <x:c r="C68" s="65" t="str">
        <x:v>送分题</x:v>
      </x:c>
      <x:c r="D68" s="65" t="str">
        <x:v>送分题|基础题</x:v>
      </x:c>
      <x:c r="E68" s="65" t="str">
        <x:v>保留原主标签；相邻档有争议</x:v>
      </x:c>
      <x:c r="F68" s="65" t="str">
        <x:v>中</x:v>
      </x:c>
      <x:c r="G68" s="65" t="str">
        <x:v>送分题</x:v>
      </x:c>
      <x:c r="H68" s="65" t="str">
        <x:v>基础题</x:v>
      </x:c>
      <x:c r="I68" s="65" t="str">
        <x:v>第二轮复核认为现有证据只能证明该题处于相邻档边界，不能排除原GPT主标签。为避免使用模型预测反向拟合真值，保留原主标签，并将另一档记录为可接受等级。</x:v>
      </x:c>
      <x:c r="J68" s="65" t="str">
        <x:v>三次运行错题并集逐题复核</x:v>
      </x:c>
      <x:c r="K68" s="63" t="str">
        <x:v>塑料管和塑料绳撕成的“章鱼”分别与毛皮库擦后相互靠近，会看到如图现象。以下说法正确的是（ ）</x:v>
      </x:c>
      <x:c r="L68" s="63" t="str">
        <x:v>A. 毛皮和“章鱼”摩擦创造了电荷 B. “章鱼”和毛皮对电子的束缚本领不同 C. 摩擦后“章鱼”与塑料管带上了异种电荷 D. “章鱼”和塑料管排斥是因为分子间存在排斥力</x:v>
      </x:c>
      <x:c r="M68" s="63" t="str">
        <x:v>解：A、摩擦起电的实质不是创造了电荷，而是发生了电子的转移，故A错误； B、“章鱼”与毛皮摩擦，原子核束缚电子的本领不同，束缚本领强的得到电子带负电，束缚本领弱的失去电子带正电，“章鱼”与毛皮带异种电荷，故B正确； C、用毛皮分别摩擦塑料丝和塑料管，“章鱼”与塑料管带上了与毛皮不同的电荷，即为同种电荷，故C错误； D、塑料绳的细丝散开形似“章鱼”是因为同种电荷相排斥，故D错误。 故选：B。</x:v>
      </x:c>
      <x:c r="N68" s="63" t="str">
        <x:v>https://k12static.xdf.cn/k12/image/externalized/806902e3-6f8e-4a39-9691-ee319be8944b.png</x:v>
      </x:c>
      <x:c r="O68" s="63" t="str">
        <x:v>https://k12static.xdf.cn/k12/image/externalized/3190675b-17e7-422c-ab69-128d92c40d43.png</x:v>
      </x:c>
      <x:c r="P68" s="63" t="str">
        <x:v>1-2步</x:v>
      </x:c>
      <x:c r="Q68" s="63" t="str">
        <x:v>概念判断</x:v>
      </x:c>
      <x:c r="R68" s="63" t="str">
        <x:v>单状态</x:v>
      </x:c>
      <x:c r="S68" s="63" t="str">
        <x:v>无约束</x:v>
      </x:c>
      <x:c r="T68" s="63" t="str">
        <x:v>无</x:v>
      </x:c>
      <x:c r="U68" s="63" t="str">
        <x:v>无</x:v>
      </x:c>
      <x:c r="V68" s="63" t="str">
        <x:v>简单因果推理</x:v>
      </x:c>
    </x:row>
    <x:row r="69">
      <x:c r="A69" s="64" t="str">
        <x:v>​3075268497727848448</x:v>
      </x:c>
      <x:c r="B69" s="65" t="str">
        <x:v>送分题</x:v>
      </x:c>
      <x:c r="C69" s="65" t="str">
        <x:v>送分题</x:v>
      </x:c>
      <x:c r="D69" s="65" t="str">
        <x:v>送分题|基础题</x:v>
      </x:c>
      <x:c r="E69" s="65" t="str">
        <x:v>保留原主标签；相邻档有争议</x:v>
      </x:c>
      <x:c r="F69" s="65" t="str">
        <x:v>中</x:v>
      </x:c>
      <x:c r="G69" s="65" t="str">
        <x:v>送分题</x:v>
      </x:c>
      <x:c r="H69" s="65" t="str">
        <x:v>基础题</x:v>
      </x:c>
      <x:c r="I69" s="65" t="str">
        <x:v>第二轮复核认为现有证据只能证明该题处于相邻档边界，不能排除原GPT主标签。为避免使用模型预测反向拟合真值，保留原主标签，并将另一档记录为可接受等级。</x:v>
      </x:c>
      <x:c r="J69" s="65" t="str">
        <x:v>三次运行错题并集逐题复核</x:v>
      </x:c>
      <x:c r="K69" s="63" t="str">
        <x:v>如图是某风力发电塔架，上面的叶片在风的作用下转动，叶片带动发电机发电。下列说法中正确的是（ ）</x:v>
      </x:c>
      <x:c r="L69" s="63" t="str">
        <x:v>A. 风能是不可再生能源 B. 发电时把内能转化为电能 C. 风力发电利用了电磁感应现象 D. 风使叶片转动，说明物体的运动需要力维持</x:v>
      </x:c>
      <x:c r="M69" s="63" t="str">
        <x:v>解：A．风能可以从自然界中源源不断地得到，所以风能是可再生能源，故A错误； B．风力发电机是将机械能转化为电能，故B错误； C．风力发电机发电是电磁感应现象的应用，故C正确； D．风使叶片转动，说明力是改变物体运动状态的原因，故D错误。 故选：C。</x:v>
      </x:c>
      <x:c r="N69" s="63" t="str">
        <x:v>https://k12static.xdf.cn/k12/image/externalized/ee6145d1-6613-402e-a1b5-bb6b133fd874.png</x:v>
      </x:c>
      <x:c r="O69" s="63" t="str">
        <x:v>https://k12static.xdf.cn/k12/image/externalized/47b3c08e-0718-4859-b4b7-b6c4d9cfbeaf.png</x:v>
      </x:c>
      <x:c r="P69" s="63" t="str">
        <x:v>1-2步</x:v>
      </x:c>
      <x:c r="Q69" s="63" t="str">
        <x:v>概念判断</x:v>
      </x:c>
      <x:c r="R69" s="63" t="str">
        <x:v>单状态</x:v>
      </x:c>
      <x:c r="S69" s="63" t="str">
        <x:v>无约束</x:v>
      </x:c>
      <x:c r="T69" s="63" t="str">
        <x:v>无</x:v>
      </x:c>
      <x:c r="U69" s="63" t="str">
        <x:v>无</x:v>
      </x:c>
      <x:c r="V69" s="63" t="str">
        <x:v>简单因果推理</x:v>
      </x:c>
    </x:row>
    <x:row r="70">
      <x:c r="A70" s="64" t="str">
        <x:v>​3086996404466454528</x:v>
      </x:c>
      <x:c r="B70" s="65" t="str">
        <x:v>基础题</x:v>
      </x:c>
      <x:c r="C70" s="65" t="str">
        <x:v>基础题</x:v>
      </x:c>
      <x:c r="D70" s="65" t="str">
        <x:v>基础题|中等题</x:v>
      </x:c>
      <x:c r="E70" s="65" t="str">
        <x:v>保留原主标签；相邻档有争议</x:v>
      </x:c>
      <x:c r="F70" s="65" t="str">
        <x:v>中</x:v>
      </x:c>
      <x:c r="G70" s="65" t="str">
        <x:v>基础题</x:v>
      </x:c>
      <x:c r="H70" s="65" t="str">
        <x:v>基础题</x:v>
      </x:c>
      <x:c r="I70" s="65" t="str">
        <x:v>第二轮复核认为现有证据只能证明该题处于相邻档边界，不能排除原GPT主标签。为避免使用模型预测反向拟合真值，保留原主标签，并将另一档记录为可接受等级。</x:v>
      </x:c>
      <x:c r="J70" s="65" t="str">
        <x:v>三次运行错题并集逐题复核</x:v>
      </x:c>
      <x:c r="K70" s="63" t="str">
        <x:v>如图所示是某同学研究液体密度时，绘制的水和食用油的质量m与体积V的关系图像。由图中信息可得，图线 （选填“a”或“b”）对应的液体是食用油，相同质量的水和食用油的体积之比为 。</x:v>
      </x:c>
      <x:c r="L70" s="63" t="str"/>
      <x:c r="M70" s="63" t="str">
        <x:v>解：水的密度比食用油大，相同体积时，水的质量大，图a对应的是水，b对应的液体是食用油，相同体积时，质量之比为20：16=5：4；密度之比为5：4； 根据ρ=$\frac{m}{V}$知，当相同质量的水和食用油的体积之比等于密度倒数的比，故为4：5。 故答案为：b；4：5。</x:v>
      </x:c>
      <x:c r="N70" s="63" t="str">
        <x:v>https://k12static.xdf.cn/k12/image/externalized/2ef3dd6e-fbe0-4cea-aa4f-4f7223703057.png</x:v>
      </x:c>
      <x:c r="O70" s="63" t="str">
        <x:v>https://k12static.xdf.cn/k12/image/externalized/a0d3a657-e276-4387-a43e-4728fb8451ab.png</x:v>
      </x:c>
      <x:c r="P70" s="63" t="str">
        <x:v>3-5步</x:v>
      </x:c>
      <x:c r="Q70" s="63" t="str">
        <x:v>图像表格分析</x:v>
      </x:c>
      <x:c r="R70" s="63" t="str">
        <x:v>单状态</x:v>
      </x:c>
      <x:c r="S70" s="63" t="str">
        <x:v>无约束</x:v>
      </x:c>
      <x:c r="T70" s="63" t="str">
        <x:v>无</x:v>
      </x:c>
      <x:c r="U70" s="63" t="str">
        <x:v>多组比较归纳</x:v>
      </x:c>
      <x:c r="V70" s="63" t="str">
        <x:v>多层因果推理</x:v>
      </x:c>
    </x:row>
    <x:row r="71">
      <x:c r="A71" s="64" t="str">
        <x:v>​3093847761971077120</x:v>
      </x:c>
      <x:c r="B71" s="65" t="str">
        <x:v>送分题</x:v>
      </x:c>
      <x:c r="C71" s="65" t="str">
        <x:v>送分题</x:v>
      </x:c>
      <x:c r="D71" s="65" t="str">
        <x:v>送分题|基础题</x:v>
      </x:c>
      <x:c r="E71" s="65" t="str">
        <x:v>保留原主标签；相邻档有争议</x:v>
      </x:c>
      <x:c r="F71" s="65" t="str">
        <x:v>中</x:v>
      </x:c>
      <x:c r="G71" s="65" t="str">
        <x:v>送分题</x:v>
      </x:c>
      <x:c r="H71" s="65" t="str">
        <x:v>基础题</x:v>
      </x:c>
      <x:c r="I71" s="65" t="str">
        <x:v>第二轮复核认为现有证据只能证明该题处于相邻档边界，不能排除原GPT主标签。为避免使用模型预测反向拟合真值，保留原主标签，并将另一档记录为可接受等级。</x:v>
      </x:c>
      <x:c r="J71" s="65" t="str">
        <x:v>三次运行错题并集逐题复核</x:v>
      </x:c>
      <x:c r="K71" s="63" t="str">
        <x:v>下面压力方向图形正确的是（ ）</x:v>
      </x:c>
      <x:c r="L71" s="63" t="str"/>
      <x:c r="M71" s="63" t="str">
        <x:v>A．图A中，物体在斜面上，斜面是受力物体。但力F的作用点在物体上，方向竖直向下，该力不是物体对斜面的压力，故A错误；B．图B中，物体在水平面上，力的作用点在物体上，方向竖直向上，该力指向了受力物体，该力是地面对物体的压力，故B正确；C．图C中，物体在水平面上，力的作用点在物体上，方向水平向右，该力不是物体对水平面的压力，也不是水平面对物体的压力，故C错误；D．图D中，力的作用点在施力物体上，故D错误。故选B。</x:v>
      </x:c>
      <x:c r="N71" s="63" t="str">
        <x:v>https://k12static.xdf.cn/k12/image/externalized/7c1c725f-7ec2-4186-bf18-86d41110005f.png</x:v>
      </x:c>
      <x:c r="O71" s="63" t="str">
        <x:v>https://k12static.xdf.cn/k12/image/externalized/94e37b1c-6fd4-4e0f-8cc9-ec0423764e74.png</x:v>
      </x:c>
      <x:c r="P71" s="63" t="str">
        <x:v>1-2步</x:v>
      </x:c>
      <x:c r="Q71" s="63" t="str">
        <x:v>概念判断</x:v>
      </x:c>
      <x:c r="R71" s="63" t="str">
        <x:v>单状态</x:v>
      </x:c>
      <x:c r="S71" s="63" t="str">
        <x:v>无约束</x:v>
      </x:c>
      <x:c r="T71" s="63" t="str">
        <x:v>无</x:v>
      </x:c>
      <x:c r="U71" s="63" t="str">
        <x:v>无</x:v>
      </x:c>
      <x:c r="V71" s="63" t="str">
        <x:v>简单因果推理</x:v>
      </x:c>
    </x:row>
    <x:row r="72">
      <x:c r="A72" s="64" t="str">
        <x:v>​3109100216090959872</x:v>
      </x:c>
      <x:c r="B72" s="65" t="str">
        <x:v>送分题</x:v>
      </x:c>
      <x:c r="C72" s="65" t="str">
        <x:v>送分题</x:v>
      </x:c>
      <x:c r="D72" s="65" t="str">
        <x:v>送分题|基础题</x:v>
      </x:c>
      <x:c r="E72" s="65" t="str">
        <x:v>保留原主标签；相邻档有争议</x:v>
      </x:c>
      <x:c r="F72" s="65" t="str">
        <x:v>中</x:v>
      </x:c>
      <x:c r="G72" s="65" t="str">
        <x:v>送分题</x:v>
      </x:c>
      <x:c r="H72" s="65" t="str">
        <x:v>送分题</x:v>
      </x:c>
      <x:c r="I72" s="65" t="str">
        <x:v>第二轮复核认为现有证据只能证明该题处于相邻档边界，不能排除原GPT主标签。为避免使用模型预测反向拟合真值，保留原主标签，并将另一档记录为可接受等级。</x:v>
      </x:c>
      <x:c r="J72" s="65" t="str">
        <x:v>三次运行错题并集逐题复核</x:v>
      </x:c>
      <x:c r="K72" s="63" t="str">
        <x:v>电压表是测量电压的仪表，下列实物电路中能用电压表正确测量小灯泡两端电压的是（ ）</x:v>
      </x:c>
      <x:c r="L72" s="63" t="str"/>
      <x:c r="M72" s="63" t="str">
        <x:v>A．图中电压表串联在电路中，接法错误，故A不符合题意；B．图中电压表并联在滑动变阻器两端，测量的是滑动变阻器两端的电压，故B不符合题意；C．图中灯泡与电阻丝串联，电压表并联在灯泡两端，测量的是灯泡两端的电压，故C符合题意；D．图中电流表并联在灯泡两端，电压表串联在电路中，接法错误，故D不符合题意。故选C。</x:v>
      </x:c>
      <x:c r="N72" s="63" t="str">
        <x:v>https://k12static.xdf.cn/k12/image/externalized/d5dbda4e-e975-4496-b778-168c494c8d1b.png</x:v>
      </x:c>
      <x:c r="O72" s="63" t="str">
        <x:v>https://k12static.xdf.cn/k12/image/externalized/ed4d31f6-bc82-4f9e-a892-5c460c161427.png</x:v>
      </x:c>
      <x:c r="P72" s="63" t="str">
        <x:v>1-2步</x:v>
      </x:c>
      <x:c r="Q72" s="63" t="str">
        <x:v>概念判断</x:v>
      </x:c>
      <x:c r="R72" s="63" t="str">
        <x:v>单状态</x:v>
      </x:c>
      <x:c r="S72" s="63" t="str">
        <x:v>无约束</x:v>
      </x:c>
      <x:c r="T72" s="63" t="str">
        <x:v>无</x:v>
      </x:c>
      <x:c r="U72" s="63" t="str">
        <x:v>无</x:v>
      </x:c>
      <x:c r="V72" s="63" t="str">
        <x:v>简单因果推理</x:v>
      </x:c>
    </x:row>
    <x:row r="73">
      <x:c r="A73" s="64" t="str">
        <x:v>​3121150375144017920</x:v>
      </x:c>
      <x:c r="B73" s="65" t="str">
        <x:v>基础题</x:v>
      </x:c>
      <x:c r="C73" s="65" t="str">
        <x:v>基础题</x:v>
      </x:c>
      <x:c r="D73" s="65" t="str">
        <x:v>基础题|中等题</x:v>
      </x:c>
      <x:c r="E73" s="65" t="str">
        <x:v>保留原主标签；相邻档有争议</x:v>
      </x:c>
      <x:c r="F73" s="65" t="str">
        <x:v>中</x:v>
      </x:c>
      <x:c r="G73" s="65" t="str">
        <x:v>基础题</x:v>
      </x:c>
      <x:c r="H73" s="65" t="str">
        <x:v>基础题</x:v>
      </x:c>
      <x:c r="I73" s="65" t="str">
        <x:v>第二轮复核认为现有证据只能证明该题处于相邻档边界，不能排除原GPT主标签。为避免使用模型预测反向拟合真值，保留原主标签，并将另一档记录为可接受等级。</x:v>
      </x:c>
      <x:c r="J73" s="65" t="str">
        <x:v>三次运行错题并集逐题复核</x:v>
      </x:c>
      <x:c r="K73" s="63" t="str">
        <x:v>能源问题是现代社会发展的三大基本问题之一。能源家族中：①煤炭、②核能、③石油、④天燃气、⑤水能、⑥风能、⑦地热能、⑧潮汐能等，属于不可再生能源的是 （填序号），其中不来自太阳的能源是 （填序号）。根据能量的转化和守恒定律可知，能量在转化或转移的过程中，其总量 。电能可以使电灯发光，同时产生内能散失在空气中，但这些内能却无法自动转化为电能，该现象说明能量的转化具有 。</x:v>
      </x:c>
      <x:c r="L73" s="63" t="str"/>
      <x:c r="M73" s="63" t="str">
        <x:v>[1]在上述能源中，煤炭、核能、石油、天然气不能源源不断的在环境中获取，属于不可再生能源。[2]煤炭、石油、天燃气、水能、风能等是直接或间接的来自太阳，而核能、地热能、潮汐能不是来自太阳。[3]根据能量守恒定律可知，能量在转化或转移的过程中，其总量保持不变。[4]电能可以使电灯发光，同时产生内能散失在空气中，但这些内能却无法自动转化为电能，该现象说明能量的转化具有方向性，只能朝一个方向自动转化。</x:v>
      </x:c>
      <x:c r="N73" s="63" t="str">
        <x:v>https://k12static.xdf.cn/k12/image/externalized/24fbd1ea-b3a2-45ed-8587-c2592aadae77.png</x:v>
      </x:c>
      <x:c r="O73" s="63" t="str">
        <x:v>https://k12static.xdf.cn/k12/image/externalized/f965379d-60cb-463d-8309-c96366ccad2a.png</x:v>
      </x:c>
      <x:c r="P73" s="63" t="str">
        <x:v>1-2步</x:v>
      </x:c>
      <x:c r="Q73" s="63" t="str">
        <x:v>概念判断</x:v>
      </x:c>
      <x:c r="R73" s="63" t="str">
        <x:v>单状态</x:v>
      </x:c>
      <x:c r="S73" s="63" t="str">
        <x:v>无约束</x:v>
      </x:c>
      <x:c r="T73" s="63" t="str">
        <x:v>无</x:v>
      </x:c>
      <x:c r="U73" s="63" t="str">
        <x:v>无</x:v>
      </x:c>
      <x:c r="V73" s="63" t="str">
        <x:v>直接套用</x:v>
      </x:c>
    </x:row>
    <x:row r="74">
      <x:c r="A74" s="64" t="str">
        <x:v>​3136784775793131520</x:v>
      </x:c>
      <x:c r="B74" s="65" t="str">
        <x:v>送分题</x:v>
      </x:c>
      <x:c r="C74" s="65" t="str">
        <x:v>送分题</x:v>
      </x:c>
      <x:c r="D74" s="65" t="str">
        <x:v>送分题|基础题</x:v>
      </x:c>
      <x:c r="E74" s="65" t="str">
        <x:v>保留原主标签；相邻档有争议</x:v>
      </x:c>
      <x:c r="F74" s="65" t="str">
        <x:v>中</x:v>
      </x:c>
      <x:c r="G74" s="65" t="str">
        <x:v>送分题</x:v>
      </x:c>
      <x:c r="H74" s="65" t="str">
        <x:v>基础题</x:v>
      </x:c>
      <x:c r="I74" s="65" t="str">
        <x:v>第二轮复核认为现有证据只能证明该题处于相邻档边界，不能排除原GPT主标签。为避免使用模型预测反向拟合真值，保留原主标签，并将另一档记录为可接受等级。</x:v>
      </x:c>
      <x:c r="J74" s="65" t="str">
        <x:v>三次运行错题并集逐题复核</x:v>
      </x:c>
      <x:c r="K74" s="63" t="str">
        <x:v>以下说法正确的是（ ）</x:v>
      </x:c>
      <x:c r="L74" s="63" t="str">
        <x:v>A. 核电站通过核聚变获得核能 B. 利用半导体材料可以制作二极管 C. 白鹤滩水电站利用不可再生能源发电 D. “神舟二十号”的航天员靠超声波与地面保持联系</x:v>
      </x:c>
      <x:c r="M74" s="63" t="str">
        <x:v>A．核电站是通过核裂变反应来获得核能，而非核聚变，核聚变目前尚未应用于核电站，故A错误；B．半导体材料具有单向导电性，可以用来制作二极管等电子元件，故B正确；C．白鹤滩水电站利用水能发电，水能属于可再生能源，故C错误；D．"神舟二十号"航天员与地面联系使用的是电磁波，因为电磁波可以在真空中传播，而超声波不能在真空中传播，故D错误。故选B。</x:v>
      </x:c>
      <x:c r="N74" s="63" t="str">
        <x:v>https://k12static.xdf.cn/k12/image/externalized/cd3123fe-449c-47c0-9302-fd22358a1554.png</x:v>
      </x:c>
      <x:c r="O74" s="63" t="str">
        <x:v>https://k12static.xdf.cn/k12/image/externalized/cda83663-bb29-4415-aff7-71965fa09844.png</x:v>
      </x:c>
      <x:c r="P74" s="63" t="str">
        <x:v>1-2步</x:v>
      </x:c>
      <x:c r="Q74" s="63" t="str">
        <x:v>概念判断</x:v>
      </x:c>
      <x:c r="R74" s="63" t="str">
        <x:v>单状态</x:v>
      </x:c>
      <x:c r="S74" s="63" t="str">
        <x:v>无约束</x:v>
      </x:c>
      <x:c r="T74" s="63" t="str">
        <x:v>无</x:v>
      </x:c>
      <x:c r="U74" s="63" t="str">
        <x:v>无</x:v>
      </x:c>
      <x:c r="V74" s="63" t="str">
        <x:v>直接套用</x:v>
      </x:c>
    </x:row>
    <x:row r="75">
      <x:c r="A75" s="64" t="str">
        <x:v>​3202157961741639680</x:v>
      </x:c>
      <x:c r="B75" s="65" t="str">
        <x:v>基础题</x:v>
      </x:c>
      <x:c r="C75" s="65" t="str">
        <x:v>基础题</x:v>
      </x:c>
      <x:c r="D75" s="65" t="str">
        <x:v>基础题|中等题</x:v>
      </x:c>
      <x:c r="E75" s="65" t="str">
        <x:v>保留原主标签；相邻档有争议</x:v>
      </x:c>
      <x:c r="F75" s="65" t="str">
        <x:v>中</x:v>
      </x:c>
      <x:c r="G75" s="65" t="str">
        <x:v>基础题</x:v>
      </x:c>
      <x:c r="H75" s="65" t="str">
        <x:v>基础题</x:v>
      </x:c>
      <x:c r="I75" s="65" t="str">
        <x:v>第二轮复核认为现有证据只能证明该题处于相邻档边界，不能排除原GPT主标签。为避免使用模型预测反向拟合真值，保留原主标签，并将另一档记录为可接受等级。</x:v>
      </x:c>
      <x:c r="J75" s="65" t="str">
        <x:v>三次运行错题并集逐题复核</x:v>
      </x:c>
      <x:c r="K75" s="63" t="str">
        <x:v>如图所示，电源电压保持不变。当开关S由断开到闭合时，下列说法中正确的是（ ）</x:v>
      </x:c>
      <x:c r="L75" s="63" t="str">
        <x:v>A. 电压表的示数不变 B. 电流表的示数不变 C. 电流表的示数变小 D. 电压表与电流表的示数之比变大</x:v>
      </x:c>
      <x:c r="M75" s="63" t="str">
        <x:v>由图可知，当开关S断开时，该电路为串联电路，电压表测量的是电源电压，电流表测量电路中的电流；当开关S闭合时，R2被短路，该电路为只有R1的简单电路，电压表测量的是电源电压，电流表测量电路中的电流；电源电压不变，电路的总电阻减小，由$I=\dfrac{U}{R}$可知，电路中的电流会变大，即电流表示数变大，由于电源电压不变，所以电压表示数不变，电压表与电流表的示数之比变小，故A正确，BCD错误； 故选A。</x:v>
      </x:c>
      <x:c r="N75" s="63" t="str">
        <x:v>https://k12static.xdf.cn/k12/image/externalized/8862275b-9a7b-4309-8cae-94180ef936c9.png</x:v>
      </x:c>
      <x:c r="O75" s="63" t="str">
        <x:v>https://k12static.xdf.cn/k12/image/externalized/4d52fdc9-8245-4863-8391-39bb24acc481.png</x:v>
      </x:c>
      <x:c r="P75" s="63" t="str">
        <x:v>3-5步</x:v>
      </x:c>
      <x:c r="Q75" s="63" t="str">
        <x:v>概念判断</x:v>
      </x:c>
      <x:c r="R75" s="63" t="str">
        <x:v>双状态</x:v>
      </x:c>
      <x:c r="S75" s="63" t="str">
        <x:v>单一约束</x:v>
      </x:c>
      <x:c r="T75" s="63" t="str">
        <x:v>无</x:v>
      </x:c>
      <x:c r="U75" s="63" t="str">
        <x:v>无</x:v>
      </x:c>
      <x:c r="V75" s="63" t="str">
        <x:v>多层因果推理</x:v>
      </x:c>
    </x:row>
    <x:row r="76">
      <x:c r="A76" s="64" t="str">
        <x:v>​3241177751705989120</x:v>
      </x:c>
      <x:c r="B76" s="65" t="str">
        <x:v>中等题</x:v>
      </x:c>
      <x:c r="C76" s="65" t="str">
        <x:v>中等题</x:v>
      </x:c>
      <x:c r="D76" s="65" t="str">
        <x:v>基础题|中等题</x:v>
      </x:c>
      <x:c r="E76" s="65" t="str">
        <x:v>保留原主标签；相邻档有争议</x:v>
      </x:c>
      <x:c r="F76" s="65" t="str">
        <x:v>中</x:v>
      </x:c>
      <x:c r="G76" s="65" t="str">
        <x:v>拔高题</x:v>
      </x:c>
      <x:c r="H76" s="65" t="str">
        <x:v>中等题</x:v>
      </x:c>
      <x:c r="I76" s="65" t="str">
        <x:v>第二轮复核认为现有证据只能证明该题处于相邻档边界，不能排除原GPT主标签。为避免使用模型预测反向拟合真值，保留原主标签，并将另一档记录为可接受等级。</x:v>
      </x:c>
      <x:c r="J76" s="65" t="str">
        <x:v>三次运行错题并集逐题复核</x:v>
      </x:c>
      <x:c r="K76" s="63" t="str">
        <x:v>下面是小亮创新实验的四个场景，下列说法不正确的是（ ） " style="width: 441px; margin-top: 5px; height: 120px;"&gt;</x:v>
      </x:c>
      <x:c r="L76" s="63" t="str">
        <x:v>A. 图甲，容器内密封红色液体，当容器向左加速运动时，液体中的气泡向左移动 B. 图乙，烧瓶中的水停止沸腾后，往外抽气，水又重新沸腾 C. 图丙，吹气时A管中会有液体喷出 D. 图丁，不易形变的饮料瓶，用橡皮膜扎紧瓶口，其侧面插有玻璃管并塞紧，玻璃管中有一段红色液柱，将瓶内气体密封，当饮料瓶放入水下时，则橡皮膜处发生形变，液柱下降</x:v>
      </x:c>
      <x:c r="M76" s="63" t="str">
        <x:v>A．图甲中，当容器向左加速运动时，液体由于惯性会保持原来的运动状态，所以相对于容器向右运动，液体中的气泡由于质量小、惯性小，所以会被液体挤压，向左移动，故A正确，不符合题意；B．图乙中，烧瓶中的水停止沸腾后，往外抽气，水面的气压减小，水的沸点降低，则水又重新沸腾，故B正确，不符合题意；C．流体在流速大的地方压强较小，在流速小的地方压强较大。向水平管口吹气时，A管口上方空气流速大、压强小，在大气压强的作用下A管内的水面会上升并且喷出，故C正确，不符合题意；D．图丁中，将饮料瓶放入水下时，则橡皮膜处因受到水的压强而发生形变，瓶内气体体积减小，瓶内气体压强增大，则液柱会上升，故D错误，符合题意。故选D。</x:v>
      </x:c>
      <x:c r="N76" s="63" t="str">
        <x:v>https://k12static.xdf.cn/k12/image/externalized/777513df-5a30-4ee4-a813-9066e7e0b22e.png</x:v>
      </x:c>
      <x:c r="O76" s="63" t="str">
        <x:v>https://k12static.xdf.cn/k12/image/externalized/4057015c-8da7-42e7-b1b5-ba3522662264.png</x:v>
      </x:c>
      <x:c r="P76" s="63" t="str">
        <x:v>1-2步</x:v>
      </x:c>
      <x:c r="Q76" s="63" t="str">
        <x:v>概念判断</x:v>
      </x:c>
      <x:c r="R76" s="63" t="str">
        <x:v>单状态</x:v>
      </x:c>
      <x:c r="S76" s="63" t="str">
        <x:v>无约束</x:v>
      </x:c>
      <x:c r="T76" s="63" t="str">
        <x:v>控制变量或故障分析</x:v>
      </x:c>
      <x:c r="U76" s="63" t="str">
        <x:v>无</x:v>
      </x:c>
      <x:c r="V76" s="63" t="str">
        <x:v>多层因果推理</x:v>
      </x:c>
    </x:row>
    <x:row r="77">
      <x:c r="A77" s="64" t="str">
        <x:v>​3262770217474863104</x:v>
      </x:c>
      <x:c r="B77" s="65" t="str">
        <x:v>送分题</x:v>
      </x:c>
      <x:c r="C77" s="65" t="str">
        <x:v>送分题</x:v>
      </x:c>
      <x:c r="D77" s="65" t="str">
        <x:v>送分题|基础题</x:v>
      </x:c>
      <x:c r="E77" s="65" t="str">
        <x:v>保留原主标签；相邻档有争议</x:v>
      </x:c>
      <x:c r="F77" s="65" t="str">
        <x:v>中</x:v>
      </x:c>
      <x:c r="G77" s="65" t="str">
        <x:v>送分题</x:v>
      </x:c>
      <x:c r="H77" s="65" t="str">
        <x:v>送分题</x:v>
      </x:c>
      <x:c r="I77" s="65" t="str">
        <x:v>第二轮复核认为现有证据只能证明该题处于相邻档边界，不能排除原GPT主标签。为避免使用模型预测反向拟合真值，保留原主标签，并将另一档记录为可接受等级。</x:v>
      </x:c>
      <x:c r="J77" s="65" t="str">
        <x:v>三次运行错题并集逐题复核</x:v>
      </x:c>
      <x:c r="K77" s="63" t="str">
        <x:v>随着科技发展，各种现代技术不断得到运用。下列关于信息、能源和材料说法正确的是（ ）</x:v>
      </x:c>
      <x:c r="L77" s="63" t="str">
        <x:v>A. 水能和电能均属于一次能源 B. 光纤通信以电流为载体传递信号 C. 现有核电站是利用原子核聚变获取的能量发电 D. 能量的转化和转移具有方向性</x:v>
      </x:c>
      <x:c r="M77" s="63" t="str">
        <x:v>A．水能可以直接从自然界获得，为一次能源；电能无法从自然界直接获取，必须通过消耗一次能源才能得到，属于二次能源，故A错误；B．光纤通信是利用激光从光纤的一端射入，在内壁上多次反射后在另一端放射出来，然后在接收端，将光信号变换成电信号，经解调后恢复原信息，故B错误；C．现有核电站是利用原子核裂变获取的能量发电，故C错误；D．能量的转化和转移时，有些可以自发的转化或转移，有些需要消耗其它形式能量才能转化或者转移，故能量的转化和转移是有方向性的，故D正确。故选D。</x:v>
      </x:c>
      <x:c r="N77" s="63" t="str">
        <x:v>https://k12static.xdf.cn/k12/image/externalized/6b877a29-24a6-4789-a9cb-c312529dd154.png</x:v>
      </x:c>
      <x:c r="O77" s="63" t="str">
        <x:v>https://k12static.xdf.cn/k12/image/externalized/54a721bd-ff47-41c3-a7cb-405e9f09ec48.png</x:v>
      </x:c>
      <x:c r="P77" s="63" t="str">
        <x:v>1-2步</x:v>
      </x:c>
      <x:c r="Q77" s="63" t="str">
        <x:v>概念判断</x:v>
      </x:c>
      <x:c r="R77" s="63" t="str">
        <x:v>单状态</x:v>
      </x:c>
      <x:c r="S77" s="63" t="str">
        <x:v>无约束</x:v>
      </x:c>
      <x:c r="T77" s="63" t="str">
        <x:v>无</x:v>
      </x:c>
      <x:c r="U77" s="63" t="str">
        <x:v>无</x:v>
      </x:c>
      <x:c r="V77" s="63" t="str">
        <x:v>直接套用</x:v>
      </x:c>
    </x:row>
    <x:row r="78">
      <x:c r="A78" s="64" t="str">
        <x:v>​3385313576457912320</x:v>
      </x:c>
      <x:c r="B78" s="65" t="str">
        <x:v>压轴题</x:v>
      </x:c>
      <x:c r="C78" s="65" t="str">
        <x:v>拔高题</x:v>
      </x:c>
      <x:c r="D78" s="65" t="str">
        <x:v>拔高题|压轴题</x:v>
      </x:c>
      <x:c r="E78" s="65" t="str">
        <x:v>修订GPT主标签</x:v>
      </x:c>
      <x:c r="F78" s="65" t="str">
        <x:v>高</x:v>
      </x:c>
      <x:c r="G78" s="65" t="str">
        <x:v>压轴题</x:v>
      </x:c>
      <x:c r="H78" s="65" t="str">
        <x:v>压轴题</x:v>
      </x:c>
      <x:c r="I78" s="65" t="str">
        <x:v>最高难任务在电路状态、图线/参数与安全约束中包含图线反推、状态转换、误差评价、几何/等效转换、方程联立或参数反求等决定性卡点，整体约5—6个有效决策；尚未形成压轴所需的完整复杂约束网络。</x:v>
      </x:c>
      <x:c r="J78" s="65" t="str">
        <x:v>三次运行错题并集逐题复核</x:v>
      </x:c>
      <x:c r="K78" s="63" t="str">
        <x:v>如图所示，电源电压为6V且保持不变，小灯泡标有“4V 1.6W”字样，定值电阻R1的阻值为20Ω，滑动变阻器R2允许通过的最大电流为1A，电流表的量程为0～3A，电压表的量程为0～3V。设小灯泡电阻不随温度改变，求： (1)小灯泡的阻值； (2)只闭合开关S1时电压表的示数； (3)将滑动变阻器的滑片P滑到最左端，闭合所有开关，此时电流表示数为0.5A。求滑动变阻器R2的最大阻值； (4)只闭合开关S2，在电路安全的情况下，求小灯泡电功率的变化范围。</x:v>
      </x:c>
      <x:c r="L78" s="63" t="str"/>
      <x:c r="M78" s="63" t="str">
        <x:v>(1) 由小灯泡铭牌标注可知小灯泡的阻值为$R_{L}=\dfrac{U_{额}^{2}}{P_{额}}=\dfrac{(4V)^{2}}{1.6W}=10Ω $ (2) 当只闭合开关S₁时，R₁与小灯泡串联，电路中的电流为$ I_{串}=\dfrac{U_{电源}}{R_{1}+R_{L}}=\dfrac{6V}{20Ω+10Ω}=0.2A $ 电压表测量灯泡两端的电压$U_{L}=I_{串}R_{L}=0.2A×10Ω=2V$ (3) 若将滑动变阻器滑片滑到最左端，闭合所有开关，则此时滑动变阻器R₂全部连入电路，小灯泡被短路，R₁与R₂并联，经过R₁的电流为$I_{1}=\dfrac{U_{电源}}{R_{1}}=\dfrac{6V}{20Ω}=0.3A $ R₂的电流为$I_{2}=I_{并}-I_{1}=0.5A-0.3A=0.2A$ 则滑动变阻器的最大阻值为$ R_{2}=\dfrac{U_{电源}}{I_{2}}=\dfrac{6V}{0.2A}=30Ω$ (4) 若只闭合开关S₂，则R₂与小灯泡串联，电压表测灯泡两端电压，当滑片在最左端时电路的电阻最大，电流最小，小灯泡功率最小，电路中的最小电流为$I_{min}=\dfrac{U_{电源}}{R_{2}+R_{L}}=\dfrac{6V}{30Ω+10Ω}=0.15A $ 灯泡最小电功率为$P_{min}=I_{min}^{2}R_{L}=(0.15A)^{2}×10Ω=0.225W $ 当滑片向右滑动时，电路电阻减小，电流变大，为确保电路安全，小灯泡所分电压最大可为3V，小灯泡的电功率最大，最大电功率为$P_{max}=\dfrac{U_{max}^{2}}{R_{L}}=\dfrac{(3V)^{2}}{10Ω}=0.9W $ 则小灯泡电功率的变化范围是0.225W~0.9W。</x:v>
      </x:c>
      <x:c r="N78" s="63" t="str">
        <x:v>https://k12static.xdf.cn/k12/image/externalized/7959a7f9-758b-46cd-a9e4-10908635ba3d.png</x:v>
      </x:c>
      <x:c r="O78" s="63" t="str">
        <x:v>https://k12static.xdf.cn/k12/image/externalized/a0177183-7614-48cd-bc4b-5345c98eb302.png</x:v>
      </x:c>
      <x:c r="P78" s="63" t="str">
        <x:v>3-5步</x:v>
      </x:c>
      <x:c r="Q78" s="63" t="str">
        <x:v>电路综合</x:v>
      </x:c>
      <x:c r="R78" s="63" t="str">
        <x:v>双状态</x:v>
      </x:c>
      <x:c r="S78" s="63" t="str">
        <x:v>多约束</x:v>
      </x:c>
      <x:c r="T78" s="63" t="str">
        <x:v>无</x:v>
      </x:c>
      <x:c r="U78" s="63" t="str">
        <x:v>无</x:v>
      </x:c>
      <x:c r="V78" s="63" t="str">
        <x:v>多层因果推理</x:v>
      </x:c>
    </x:row>
    <x:row r="79">
      <x:c r="A79" s="64" t="str">
        <x:v>​3650594325130444800</x:v>
      </x:c>
      <x:c r="B79" s="65" t="str">
        <x:v>中等题</x:v>
      </x:c>
      <x:c r="C79" s="65" t="str">
        <x:v>拔高题</x:v>
      </x:c>
      <x:c r="D79" s="65" t="str">
        <x:v>中等题|拔高题</x:v>
      </x:c>
      <x:c r="E79" s="65" t="str">
        <x:v>修订GPT主标签</x:v>
      </x:c>
      <x:c r="F79" s="65" t="str">
        <x:v>高</x:v>
      </x:c>
      <x:c r="G79" s="65" t="str">
        <x:v>中等题</x:v>
      </x:c>
      <x:c r="H79" s="65" t="str">
        <x:v>拔高题</x:v>
      </x:c>
      <x:c r="I79" s="65" t="str">
        <x:v>最高问要求自主设计双挡电热器电路，并分别计算两段电热丝阻值和长度；存在方案建构和多公式完整链，应为拔高题。</x:v>
      </x:c>
      <x:c r="J79" s="65" t="str">
        <x:v>三次运行错题并集逐题复核</x:v>
      </x:c>
      <x:c r="K79" s="63" t="str">
        <x:v>某家用电热水壶有加热和保温两个挡位，内部电路由温控开关和两段电热丝组成，加热挡的功率是保温挡的5倍。采用加热挡加热时，将2kg的水从20℃升高50℃需要用3.5min的时间。已知电源电压为220V，水的比热容为$4\mathrm{．}2\times 10^{3}\mathrm{J}/\left(\mathrm{kg}\cdot \text{℃}\right)$，若电热丝放出的热量完全被水吸收，求：</x:v>
      </x:c>
      <x:c r="L79" s="63" t="str"/>
      <x:c r="M79" s="63" t="str"/>
      <x:c r="N79" s="63" t="str">
        <x:v>https://k12static.xdf.cn/k12/image/externalized/80492a7b-f821-453e-81a3-2e9f10ae5eb8.png</x:v>
      </x:c>
      <x:c r="O79" s="63" t="str">
        <x:v>https://k12static.xdf.cn/k12/image/externalized/b8ed610a-c004-481f-b622-18477372dc10.png</x:v>
      </x:c>
      <x:c r="P79" s="63" t="str">
        <x:v>3-5步</x:v>
      </x:c>
      <x:c r="Q79" s="63" t="str">
        <x:v>跨模块综合</x:v>
      </x:c>
      <x:c r="R79" s="63" t="str">
        <x:v>双状态</x:v>
      </x:c>
      <x:c r="S79" s="63" t="str">
        <x:v>单一约束</x:v>
      </x:c>
      <x:c r="T79" s="63" t="str">
        <x:v>无</x:v>
      </x:c>
      <x:c r="U79" s="63" t="str">
        <x:v>无</x:v>
      </x:c>
      <x:c r="V79" s="63" t="str">
        <x:v>多层因果推理</x:v>
      </x:c>
    </x:row>
    <x:row r="80">
      <x:c r="A80" s="64" t="str">
        <x:v>​3659088546453536768</x:v>
      </x:c>
      <x:c r="B80" s="65" t="str">
        <x:v>送分题</x:v>
      </x:c>
      <x:c r="C80" s="65" t="str">
        <x:v>送分题</x:v>
      </x:c>
      <x:c r="D80" s="65" t="str">
        <x:v>送分题|基础题</x:v>
      </x:c>
      <x:c r="E80" s="65" t="str">
        <x:v>保留原主标签；相邻档有争议</x:v>
      </x:c>
      <x:c r="F80" s="65" t="str">
        <x:v>中</x:v>
      </x:c>
      <x:c r="G80" s="65" t="str">
        <x:v>送分题</x:v>
      </x:c>
      <x:c r="H80" s="65" t="str">
        <x:v>送分题</x:v>
      </x:c>
      <x:c r="I80" s="65" t="str">
        <x:v>第二轮复核认为现有证据只能证明该题处于相邻档边界，不能排除原GPT主标签。为避免使用模型预测反向拟合真值，保留原主标签，并将另一档记录为可接受等级。</x:v>
      </x:c>
      <x:c r="J80" s="65" t="str">
        <x:v>三次运行错题并集逐题复核</x:v>
      </x:c>
      <x:c r="K80" s="63" t="str">
        <x:v>关于“粒子与宇宙”，下列说法中正确的是（ ）</x:v>
      </x:c>
      <x:c r="L80" s="63" t="str">
        <x:v>A. 月球是太阳的行星 B. 汤姆孙发现电子，表明原子可再分 C. 光年是时间单位 D. 原子核由中子和电子组成</x:v>
      </x:c>
      <x:c r="M80" s="63" t="str">
        <x:v>解：A、月球围绕地球运转，是地球的天然卫星，故A错误； B、1897年汤姆生通过研究阴极射线，发现了一种带负电的粒子，也就是电子，既然原子里能跑出电子，就说明原子本身是有内部结构，是可再分的，故B正确； C、光年表示光1年时间走过的距离，是长度单位而非时间单位，故C错误； D、原子核由质子和中子组成，电子在核外绕核运动，故D错误。 故选：B。</x:v>
      </x:c>
      <x:c r="N80" s="63" t="str">
        <x:v>https://k12static.xdf.cn/k12/image/externalized/b5079e80-a5c4-4a18-b543-1f1ee5864878.png</x:v>
      </x:c>
      <x:c r="O80" s="63" t="str">
        <x:v>https://k12static.xdf.cn/k12/image/externalized/7ee97c4f-50e9-47f4-8888-4adb20b99b44.png</x:v>
      </x:c>
      <x:c r="P80" s="63" t="str">
        <x:v>1-2步</x:v>
      </x:c>
      <x:c r="Q80" s="63" t="str">
        <x:v>概念判断</x:v>
      </x:c>
      <x:c r="R80" s="63" t="str">
        <x:v>单状态</x:v>
      </x:c>
      <x:c r="S80" s="63" t="str">
        <x:v>无约束</x:v>
      </x:c>
      <x:c r="T80" s="63" t="str">
        <x:v>无</x:v>
      </x:c>
      <x:c r="U80" s="63" t="str">
        <x:v>无</x:v>
      </x:c>
      <x:c r="V80" s="63" t="str">
        <x:v>直接套用</x:v>
      </x:c>
    </x:row>
    <x:row r="81">
      <x:c r="A81" s="64" t="str">
        <x:v>​3659088608210468864</x:v>
      </x:c>
      <x:c r="B81" s="65" t="str">
        <x:v>送分题</x:v>
      </x:c>
      <x:c r="C81" s="65" t="str">
        <x:v>基础题</x:v>
      </x:c>
      <x:c r="D81" s="65" t="str">
        <x:v>送分题|基础题</x:v>
      </x:c>
      <x:c r="E81" s="65" t="str">
        <x:v>修订GPT主标签</x:v>
      </x:c>
      <x:c r="F81" s="65" t="str">
        <x:v>高</x:v>
      </x:c>
      <x:c r="G81" s="65" t="str">
        <x:v>基础题</x:v>
      </x:c>
      <x:c r="H81" s="65" t="str">
        <x:v>送分题</x:v>
      </x:c>
      <x:c r="I81" s="65" t="str">
        <x:v>最高难任务属于教材概念与常规物理关系中的1—2步直接应用、规范操作或简单因果判断。需要理解/应用而非纯识记，但没有共享中间结论、完整连续过程或隐含转换。</x:v>
      </x:c>
      <x:c r="J81" s="65" t="str">
        <x:v>三次运行错题并集逐题复核</x:v>
      </x:c>
      <x:c r="K81" s="63" t="str">
        <x:v>在安全教育活动中，老师用图示装置演示面粉爆炸现象。面粉被吹入塑料桶后，遇到火焰爆燃，桶口的硬纸板被迅速弹飞。面粉燃烧释放的内能转化为硬纸板的 ，该过程相当于汽油机工作时的 冲程。</x:v>
      </x:c>
      <x:c r="L81" s="63" t="str"/>
      <x:c r="M81" s="63" t="str">
        <x:v>解：面粉爆燃的时候将桶口的硬纸片迅速弹飞，面粉燃烧释放的内能转化为硬纸板的机械能； 四冲程汽油机做功冲程中，是将内能转化为机械能，两者的能量转化相同。 故答案为：机械能；做功。</x:v>
      </x:c>
      <x:c r="N81" s="63" t="str">
        <x:v>https://k12static.xdf.cn/k12/image/externalized/c46d8f7f-bebc-4bf2-8751-095e46d154bf.png</x:v>
      </x:c>
      <x:c r="O81" s="63" t="str">
        <x:v>https://k12static.xdf.cn/k12/image/externalized/7c9767d2-1e3f-4e23-b6fa-13e6f3664be6.png</x:v>
      </x:c>
      <x:c r="P81" s="63" t="str">
        <x:v>1-2步</x:v>
      </x:c>
      <x:c r="Q81" s="63" t="str">
        <x:v>概念判断</x:v>
      </x:c>
      <x:c r="R81" s="63" t="str">
        <x:v>单状态</x:v>
      </x:c>
      <x:c r="S81" s="63" t="str">
        <x:v>无约束</x:v>
      </x:c>
      <x:c r="T81" s="63" t="str">
        <x:v>无</x:v>
      </x:c>
      <x:c r="U81" s="63" t="str">
        <x:v>无</x:v>
      </x:c>
      <x:c r="V81" s="63" t="str">
        <x:v>直接套用</x:v>
      </x:c>
    </x:row>
    <x:row r="82">
      <x:c r="A82" s="64" t="str">
        <x:v>​3665219030787604480</x:v>
      </x:c>
      <x:c r="B82" s="65" t="str">
        <x:v>基础题</x:v>
      </x:c>
      <x:c r="C82" s="65" t="str">
        <x:v>基础题</x:v>
      </x:c>
      <x:c r="D82" s="65" t="str">
        <x:v>基础题|中等题</x:v>
      </x:c>
      <x:c r="E82" s="65" t="str">
        <x:v>保留原主标签；相邻档有争议</x:v>
      </x:c>
      <x:c r="F82" s="65" t="str">
        <x:v>中</x:v>
      </x:c>
      <x:c r="G82" s="65" t="str">
        <x:v>基础题</x:v>
      </x:c>
      <x:c r="H82" s="65" t="str">
        <x:v>基础题</x:v>
      </x:c>
      <x:c r="I82" s="65" t="str">
        <x:v>第二轮复核认为现有证据只能证明该题处于相邻档边界，不能排除原GPT主标签。为避免使用模型预测反向拟合真值，保留原主标签，并将另一档记录为可接受等级。</x:v>
      </x:c>
      <x:c r="J82" s="65" t="str">
        <x:v>三次运行错题并集逐题复核</x:v>
      </x:c>
      <x:c r="K82" s="63" t="str">
        <x:v>如图是渔业养殖中常用的一种增氧装置，质量为45 kg，g取10 N/kg。</x:v>
      </x:c>
      <x:c r="L82" s="63" t="str"/>
      <x:c r="M82" s="63" t="str"/>
      <x:c r="N82" s="63" t="str">
        <x:v>https://k12static.xdf.cn/k12/image/externalized/57660de2-ec28-427b-9db8-5d65263bace0.png</x:v>
      </x:c>
      <x:c r="O82" s="63" t="str">
        <x:v>https://k12static.xdf.cn/k12/image/externalized/4d1e641f-99bb-40a4-81ca-6de5b7df73eb.png</x:v>
      </x:c>
      <x:c r="P82" s="63" t="str">
        <x:v>1-2步</x:v>
      </x:c>
      <x:c r="Q82" s="63" t="str">
        <x:v>力学综合</x:v>
      </x:c>
      <x:c r="R82" s="63" t="str">
        <x:v>双状态</x:v>
      </x:c>
      <x:c r="S82" s="63" t="str">
        <x:v>无约束</x:v>
      </x:c>
      <x:c r="T82" s="63" t="str">
        <x:v>无</x:v>
      </x:c>
      <x:c r="U82" s="63" t="str">
        <x:v>无</x:v>
      </x:c>
      <x:c r="V82" s="63" t="str">
        <x:v>简单因果推理</x:v>
      </x:c>
    </x:row>
    <x:row r="83">
      <x:c r="A83" s="64" t="str">
        <x:v>​3673511291482345472</x:v>
      </x:c>
      <x:c r="B83" s="65" t="str">
        <x:v>基础题</x:v>
      </x:c>
      <x:c r="C83" s="65" t="str">
        <x:v>基础题</x:v>
      </x:c>
      <x:c r="D83" s="65" t="str">
        <x:v>基础题|中等题</x:v>
      </x:c>
      <x:c r="E83" s="65" t="str">
        <x:v>保留原主标签；相邻档有争议</x:v>
      </x:c>
      <x:c r="F83" s="65" t="str">
        <x:v>中</x:v>
      </x:c>
      <x:c r="G83" s="65" t="str">
        <x:v>基础题</x:v>
      </x:c>
      <x:c r="H83" s="65" t="str">
        <x:v>基础题</x:v>
      </x:c>
      <x:c r="I83" s="65" t="str">
        <x:v>第二轮复核认为现有证据只能证明该题处于相邻档边界，不能排除原GPT主标签。为避免使用模型预测反向拟合真值，保留原主标签，并将另一档记录为可接受等级。</x:v>
      </x:c>
      <x:c r="J83" s="65" t="str">
        <x:v>三次运行错题并集逐题复核</x:v>
      </x:c>
      <x:c r="K83" s="63" t="str">
        <x:v>如图所示，水平地面上有底面积为400 cm2、不计质量的薄壁盛水柱形容器A，内有质量为 600 g、棱长为10 cm、质量分布均匀的正方体物块B，通过一根细线与容器底部相连，此时水面距容器底的距离为30 cm。求：</x:v>
      </x:c>
      <x:c r="L83" s="63" t="str"/>
      <x:c r="M83" s="63" t="str"/>
      <x:c r="N83" s="63" t="str">
        <x:v>https://k12static.xdf.cn/k12/image/externalized/b08fd898-eca1-4701-a0bb-928485922bd9.png</x:v>
      </x:c>
      <x:c r="O83" s="63" t="str">
        <x:v>https://k12static.xdf.cn/k12/image/externalized/21cc90ed-1296-48e3-bf8a-096354ad6d77.png</x:v>
      </x:c>
      <x:c r="P83" s="63" t="str">
        <x:v>3-5步</x:v>
      </x:c>
      <x:c r="Q83" s="63" t="str">
        <x:v>力学综合</x:v>
      </x:c>
      <x:c r="R83" s="63" t="str">
        <x:v>单状态</x:v>
      </x:c>
      <x:c r="S83" s="63" t="str">
        <x:v>单一约束</x:v>
      </x:c>
      <x:c r="T83" s="63" t="str">
        <x:v>无</x:v>
      </x:c>
      <x:c r="U83" s="63" t="str">
        <x:v>无</x:v>
      </x:c>
      <x:c r="V83" s="63" t="str">
        <x:v>多层因果推理</x:v>
      </x:c>
    </x:row>
    <x:row r="84">
      <x:c r="A84" s="64" t="str">
        <x:v>​3673937014702317568</x:v>
      </x:c>
      <x:c r="B84" s="65" t="str">
        <x:v>拔高题</x:v>
      </x:c>
      <x:c r="C84" s="65" t="str">
        <x:v>中等题</x:v>
      </x:c>
      <x:c r="D84" s="65" t="str">
        <x:v>中等题|拔高题</x:v>
      </x:c>
      <x:c r="E84" s="65" t="str">
        <x:v>修订GPT主标签</x:v>
      </x:c>
      <x:c r="F84" s="65" t="str">
        <x:v>高</x:v>
      </x:c>
      <x:c r="G84" s="65" t="str">
        <x:v>拔高题</x:v>
      </x:c>
      <x:c r="H84" s="65" t="str">
        <x:v>拔高题</x:v>
      </x:c>
      <x:c r="I84" s="65" t="str">
        <x:v>三个小问依次为液体压强、显性浮力和匀速平衡求密度，模型及条件均直接，最高链约3—4步，属于中等/拔高边界，压到中等更稳妥。</x:v>
      </x:c>
      <x:c r="J84" s="65" t="str">
        <x:v>三次运行错题并集逐题复核</x:v>
      </x:c>
      <x:c r="K84" s="63" t="str">
        <x:v>小丁设计了一种水下遥感探测器。如图所示，探测器的主体是一个边长为$2\mathrm{~ dm}$的正方体金属盒，上下各有一个带传感器的阀门，总重力为$30\mathrm{~ N}$。某次水底采样时，向探测器内注水，探测器沉入水底。采样完成后，遥控传感器将两个阀门同时打开，从上阀门注入高压气体，水从下阀门流出，当探测器内水的深度为$10\mathrm{~ cm}$时，关闭两阀门，探测器连同样品恰能匀速上浮，如图所示，已知样品体积为$200\mathrm{~ cm}^{3}$，$g=10\mathrm{~ N}/\mathrm{kg}$，$\rho _{\mathrm{水}}=1.0\times 10^{3}\mathrm{~ kg}/\mathrm{m}^{3}$，不计金属盒厚度及阀门和传感器的体积，忽略气体质量和水的阻力，求：</x:v>
      </x:c>
      <x:c r="L84" s="63" t="str"/>
      <x:c r="M84" s="63" t="str"/>
      <x:c r="N84" s="63" t="str">
        <x:v>https://k12static.xdf.cn/k12/image/externalized/35386629-b98d-479f-a493-8cde2555f733.png</x:v>
      </x:c>
      <x:c r="O84" s="63" t="str">
        <x:v>https://k12static.xdf.cn/k12/image/externalized/756cdf0d-33b5-46a7-940a-99e24aa1973c.png</x:v>
      </x:c>
      <x:c r="P84" s="63" t="str">
        <x:v>3-5步</x:v>
      </x:c>
      <x:c r="Q84" s="63" t="str">
        <x:v>力学综合</x:v>
      </x:c>
      <x:c r="R84" s="63" t="str">
        <x:v>单状态</x:v>
      </x:c>
      <x:c r="S84" s="63" t="str">
        <x:v>单一约束</x:v>
      </x:c>
      <x:c r="T84" s="63" t="str">
        <x:v>无</x:v>
      </x:c>
      <x:c r="U84" s="63" t="str">
        <x:v>无</x:v>
      </x:c>
      <x:c r="V84" s="63" t="str">
        <x:v>多层因果推理</x:v>
      </x:c>
    </x:row>
    <x:row r="85">
      <x:c r="A85" s="64" t="str">
        <x:v>​3678659552448622592</x:v>
      </x:c>
      <x:c r="B85" s="65" t="str">
        <x:v>拔高题</x:v>
      </x:c>
      <x:c r="C85" s="65" t="str">
        <x:v>中等题</x:v>
      </x:c>
      <x:c r="D85" s="65" t="str">
        <x:v>中等题|拔高题</x:v>
      </x:c>
      <x:c r="E85" s="65" t="str">
        <x:v>修订GPT主标签</x:v>
      </x:c>
      <x:c r="F85" s="65" t="str">
        <x:v>高</x:v>
      </x:c>
      <x:c r="G85" s="65" t="str">
        <x:v>中等题</x:v>
      </x:c>
      <x:c r="H85" s="65" t="str">
        <x:v>压轴题</x:v>
      </x:c>
      <x:c r="I85" s="65" t="str">
        <x:v>需要围绕受力、浮力/压强与状态变化完成常规的3—4个有效决策，或完成一套完整标准实验/共享过程分析。关系仍显性、方法常规，没有决定性隐含转换、复杂边界筛选或多状态强耦合。</x:v>
      </x:c>
      <x:c r="J85" s="65" t="str">
        <x:v>三次运行错题并集逐题复核</x:v>
      </x:c>
      <x:c r="K85" s="63" t="str">
        <x:v>汽车落水后该如何逃生？同学们聚焦真实问题，开展跨学科实践活动。（一）汽车落水后为何会下沉？（二）落水后推门逃生可行吗？（三）水下破窗逃生可行吗？</x:v>
      </x:c>
      <x:c r="L85" s="63" t="str"/>
      <x:c r="M85" s="63" t="str"/>
      <x:c r="N85" s="63" t="str">
        <x:v>https://k12static.xdf.cn/k12/image/externalized/0c30a09e-0816-4090-b397-1bd4da4c10e6.png</x:v>
      </x:c>
      <x:c r="O85" s="63" t="str">
        <x:v>https://k12static.xdf.cn/k12/image/externalized/c6b74a9d-1147-4bee-bdfa-7ae0c53a020a.png</x:v>
      </x:c>
      <x:c r="P85" s="63" t="str">
        <x:v>3-5步</x:v>
      </x:c>
      <x:c r="Q85" s="63" t="str">
        <x:v>力学综合</x:v>
      </x:c>
      <x:c r="R85" s="63" t="str">
        <x:v>单状态</x:v>
      </x:c>
      <x:c r="S85" s="63" t="str">
        <x:v>单一约束</x:v>
      </x:c>
      <x:c r="T85" s="63" t="str">
        <x:v>无</x:v>
      </x:c>
      <x:c r="U85" s="63" t="str">
        <x:v>无</x:v>
      </x:c>
      <x:c r="V85" s="63" t="str">
        <x:v>多层因果推理</x:v>
      </x:c>
    </x:row>
    <x:row r="86">
      <x:c r="A86" s="64" t="str">
        <x:v>​3678675760415592448</x:v>
      </x:c>
      <x:c r="B86" s="65" t="str">
        <x:v>中等题</x:v>
      </x:c>
      <x:c r="C86" s="65" t="str">
        <x:v>拔高题</x:v>
      </x:c>
      <x:c r="D86" s="65" t="str">
        <x:v>中等题|拔高题</x:v>
      </x:c>
      <x:c r="E86" s="65" t="str">
        <x:v>修订GPT主标签</x:v>
      </x:c>
      <x:c r="F86" s="65" t="str">
        <x:v>高</x:v>
      </x:c>
      <x:c r="G86" s="65" t="str">
        <x:v>基础题</x:v>
      </x:c>
      <x:c r="H86" s="65" t="str">
        <x:v>中等题</x:v>
      </x:c>
      <x:c r="I86" s="65" t="str">
        <x:v>最高问需由悬停状态反求本体排水体积，再切换到抛掉全部压载铁后的上浮状态计算浮力，存在状态转换与隐含量反推，应进入拔高。</x:v>
      </x:c>
      <x:c r="J86" s="65" t="str">
        <x:v>三次运行错题并集逐题复核</x:v>
      </x:c>
      <x:c r="K86" s="63" t="str">
        <x:v>阅读《万米深海的中国奇迹》并回答问题。万米深海的中国奇迹深邃的海底世界充满了神秘与未知，驱动着人类孜孜不倦地探索。2020年11月，我国自主研发的奋斗者号全海深载人潜水器如甲图所示成功坐底10909米深海，刷新了我国载人深潜的纪录。图乙是它的结构示意图。“奋斗者”号总质量为22t（不包含压载铁质量），其底部装配有可抛弃压载铁，中部安装新型固体浮力材料保障潜水器安全返回水面，载人舱为独创的钛合金球形，整体锻造、无缝焊接，壳体轻薄且强度极高，均匀分散深海压力，保证舱体不变形、不破裂，为潜航员筑牢安全屏障。除载人舱及部分电路设施外，其余部分与海水相通。某次执行任务时，在“奋斗者”号的外部挂好2t的压载铁，注水下潜，当下潜至预定深度时，“奋斗者”号通过适时抛掉1t的压载铁实现悬停。当完成工作后，潜航员再抛掉剩余的压载铁，实现上浮。可见，“奋斗者”号在海水中实现无动力下潜和上浮，压载铁的作用都是巨大的。（设定海水密度均匀且$\rho _{\mathrm{海水}}=1\times 10^{3}\mathrm{kg}/\mathrm{m}^{3}\mathrm{，}\rho _{\mathrm{压载铁}}=8\times 10^{3}\mathrm{kg}/\mathrm{m}^{3}$，g取10N/kg）请根据上述材料，回答下列问题：</x:v>
      </x:c>
      <x:c r="L86" s="63" t="str"/>
      <x:c r="M86" s="63" t="str"/>
      <x:c r="N86" s="63" t="str">
        <x:v>https://k12static.xdf.cn/k12/image/externalized/96b16c86-253b-43b4-a439-242de6486c55.png</x:v>
      </x:c>
      <x:c r="O86" s="63" t="str">
        <x:v>https://k12static.xdf.cn/k12/image/externalized/11e3675a-7ea3-469e-8443-ecd3fb3b8a6b.png</x:v>
      </x:c>
      <x:c r="P86" s="63" t="str">
        <x:v>3-5步</x:v>
      </x:c>
      <x:c r="Q86" s="63" t="str">
        <x:v>力学综合</x:v>
      </x:c>
      <x:c r="R86" s="63" t="str">
        <x:v>双状态</x:v>
      </x:c>
      <x:c r="S86" s="63" t="str">
        <x:v>单一约束</x:v>
      </x:c>
      <x:c r="T86" s="63" t="str">
        <x:v>无</x:v>
      </x:c>
      <x:c r="U86" s="63" t="str">
        <x:v>无</x:v>
      </x:c>
      <x:c r="V86" s="63" t="str">
        <x:v>多层因果推理</x:v>
      </x:c>
    </x:row>
    <x:row r="87">
      <x:c r="A87" s="64" t="str">
        <x:v>​2141150480809406464</x:v>
      </x:c>
      <x:c r="B87" s="65" t="str">
        <x:v>送分题</x:v>
      </x:c>
      <x:c r="C87" s="65" t="str">
        <x:v>送分题</x:v>
      </x:c>
      <x:c r="D87" s="65" t="str">
        <x:v>送分题|基础题</x:v>
      </x:c>
      <x:c r="E87" s="65" t="str">
        <x:v>保留主标签；相邻双档均可</x:v>
      </x:c>
      <x:c r="F87" s="65" t="str">
        <x:v>中</x:v>
      </x:c>
      <x:c r="G87" s="65" t="str">
        <x:v>送分题</x:v>
      </x:c>
      <x:c r="H87" s="65" t="str">
        <x:v>基础题</x:v>
      </x:c>
      <x:c r="I87" s="65" t="str">
        <x:v>多个空/选项彼此独立，不形成连续链；最高难任务属于教材概念与常规物理关系中的1—2步直接应用、规范操作或简单因果判断。需要理解/应用而非纯识记，但没有共享中间结论、完整连续过程或隐含转换。</x:v>
      </x:c>
      <x:c r="J87" s="65" t="str">
        <x:v>三次运行错题并集逐题复核</x:v>
      </x:c>
      <x:c r="K87" s="63" t="str">
        <x:v>关于蒸发和沸腾，下列说法中正确的是$(\qquad)$</x:v>
      </x:c>
      <x:c r="L87" s="63" t="str">
        <x:v>A. 都需要吸热 B. 蒸发只发生在液体表面，沸腾发生在液体的表面和内部 C. 液体在任何温度下都可以蒸发，沸腾需要液体温度达到沸点 D. 都属于汽化过程，都比升华容易发生</x:v>
      </x:c>
      <x:c r="M87" s="63" t="str">
        <x:v>A．蒸发和沸腾时汽化的两种方式，汽化需要吸热，故 A 正确； B．蒸发和沸腾都可以在液体表面进行，沸腾可以在液体内部发生，故 B 正确； C．蒸发在任何温度下都能发生，而沸腾只能在特定的温度（沸点）才能发生，故 C 正确； D．蒸发和沸腾时汽化的两种方式，都是由气态变成液态的过程，升华是物质由固态直接变成气态的过程，由气态变成液态的过程不一定比由固态直接变成气态的过程容易发生，故 D 不正确． 故选 ABC</x:v>
      </x:c>
      <x:c r="N87" s="63" t="str">
        <x:v>https://k12static.xdf.cn/k12/image/externalized/e4a2c49c-0dfc-414c-8185-c8e3b4d0607a.png</x:v>
      </x:c>
      <x:c r="O87" s="63" t="str">
        <x:v>https://k12static.xdf.cn/k12/image/externalized/44342ac3-413f-45ae-a3b4-aeaf48173b2c.png</x:v>
      </x:c>
      <x:c r="P87" s="63" t="str">
        <x:v>1-2步</x:v>
      </x:c>
      <x:c r="Q87" s="63" t="str">
        <x:v>概念判断</x:v>
      </x:c>
      <x:c r="R87" s="63" t="str">
        <x:v>单状态</x:v>
      </x:c>
      <x:c r="S87" s="63" t="str">
        <x:v>无约束</x:v>
      </x:c>
      <x:c r="T87" s="63" t="str">
        <x:v>无</x:v>
      </x:c>
      <x:c r="U87" s="63" t="str">
        <x:v>无</x:v>
      </x:c>
      <x:c r="V87" s="63" t="str">
        <x:v>简单因果推理</x:v>
      </x:c>
    </x:row>
    <x:row r="88">
      <x:c r="A88" s="64" t="str">
        <x:v>​2261899973604954112</x:v>
      </x:c>
      <x:c r="B88" s="65" t="str">
        <x:v>中等题</x:v>
      </x:c>
      <x:c r="C88" s="65" t="str">
        <x:v>中等题</x:v>
      </x:c>
      <x:c r="D88" s="65" t="str">
        <x:v>基础题|中等题</x:v>
      </x:c>
      <x:c r="E88" s="65" t="str">
        <x:v>保留主标签；相邻双档均可</x:v>
      </x:c>
      <x:c r="F88" s="65" t="str">
        <x:v>中</x:v>
      </x:c>
      <x:c r="G88" s="65" t="str">
        <x:v>中等题</x:v>
      </x:c>
      <x:c r="H88" s="65" t="str">
        <x:v>中等题</x:v>
      </x:c>
      <x:c r="I88" s="65" t="str">
        <x:v>动滑轮受力与A物体二力平衡均为显性模型，最长链约2步；可视为基础/中等边界，单列中等证据不足。</x:v>
      </x:c>
      <x:c r="J88" s="65" t="str">
        <x:v>三次运行错题并集逐题复核</x:v>
      </x:c>
      <x:c r="K88" s="63" t="str">
        <x:v>如图所示的装置中，物体B和动滑轮总重10N，且恰好匀速下降。则A物体受到的摩擦力的方向和大小为（ ）</x:v>
      </x:c>
      <x:c r="L88" s="63" t="str">
        <x:v>A. 水平向右，5N B. 水平向右，10N C. 水平向左，10N D. 水平向左，5N</x:v>
      </x:c>
      <x:c r="M88" s="63" t="str">
        <x:v>解：如图所示，物体B和动滑轮总重10N，且恰好匀速下降，则绳子对物体B和动滑轮的拉力等于5N（省一半的力），物体A在水平方向上受到绳子的拉力大小等于5N（与绳子对物体B和动滑轮的拉力是一对相互作用力），由于物体A在水平方向上做匀速直线运动，所以物体A所受到的摩擦力跟绳子对物体A的拉力是一对平衡力，它们大小相等，方向相反，所以摩擦力大小等于5N，方向水平向左。 由上述可知选项A、B、C都不正确。 故选：D。</x:v>
      </x:c>
      <x:c r="N88" s="63" t="str">
        <x:v>https://k12static.xdf.cn/k12/image/externalized/60f22e2b-f02f-417b-8eee-7d0950294c5a.png</x:v>
      </x:c>
      <x:c r="O88" s="63" t="str">
        <x:v>https://k12static.xdf.cn/k12/image/externalized/52e9b681-a62e-41bd-9ff1-0c8d8e61da29.png</x:v>
      </x:c>
      <x:c r="P88" s="63" t="str">
        <x:v>3-5步</x:v>
      </x:c>
      <x:c r="Q88" s="63" t="str">
        <x:v>力学综合</x:v>
      </x:c>
      <x:c r="R88" s="63" t="str">
        <x:v>单状态</x:v>
      </x:c>
      <x:c r="S88" s="63" t="str">
        <x:v>单一约束</x:v>
      </x:c>
      <x:c r="T88" s="63" t="str">
        <x:v>无</x:v>
      </x:c>
      <x:c r="U88" s="63" t="str">
        <x:v>无</x:v>
      </x:c>
      <x:c r="V88" s="63" t="str">
        <x:v>多层因果推理</x:v>
      </x:c>
    </x:row>
    <x:row r="89">
      <x:c r="A89" s="64" t="str">
        <x:v>​2263016904717787136</x:v>
      </x:c>
      <x:c r="B89" s="65" t="str">
        <x:v>中等题</x:v>
      </x:c>
      <x:c r="C89" s="65" t="str">
        <x:v>中等题</x:v>
      </x:c>
      <x:c r="D89" s="65" t="str">
        <x:v>中等题|拔高题</x:v>
      </x:c>
      <x:c r="E89" s="65" t="str">
        <x:v>保留主标签；相邻双档均可</x:v>
      </x:c>
      <x:c r="F89" s="65" t="str">
        <x:v>中</x:v>
      </x:c>
      <x:c r="G89" s="65" t="str">
        <x:v>基础题</x:v>
      </x:c>
      <x:c r="H89" s="65" t="str">
        <x:v>中等题</x:v>
      </x:c>
      <x:c r="I89" s="65" t="str">
        <x:v>需要围绕电路状态、图线/参数与安全约束完成常规的3—4个有效决策，或完成一套完整标准实验/共享过程分析。关系仍显性、方法常规，没有决定性隐含转换、复杂边界筛选或多状态强耦合。</x:v>
      </x:c>
      <x:c r="J89" s="65" t="str">
        <x:v>三次运行错题并集逐题复核</x:v>
      </x:c>
      <x:c r="K89" s="63" t="str">
        <x:v>如图电路，电源电压恒定，R1=10Ω，R2=5Ω，R3是定值电阻。闭合开关S1，单刀双掷开关S2接a时电流表的示数为0.3A，接b时电流表的示数可能为（ ）</x:v>
      </x:c>
      <x:c r="L89" s="63" t="str">
        <x:v>A. 0.2A B. 0.4A C. 0.6A D. 0.8A</x:v>
      </x:c>
      <x:c r="M89" s="63" t="str">
        <x:v>解：由电路图可知，闭合开关S1，单刀双掷开关S2接a时，R1和R3串联，由串联电路的电阻特点可知，此时电路中的总电阻：Ra=R1+R3=10Ω+R3， 设电源电压为U，那么此时电路中的电流为：Ia=$\frac{U}{{R}_{a}}$=$\frac{U}{10Ω+{R}_{3}}$=0.3A，则：2Ia=$\frac{U}{\frac{10Ω+{R}_{3}}{2}}$=$\frac{U}{5Ω+\frac{1}{2}{R}_{3}}$=0.6A； 闭合开关S1，单刀双掷开关S2接b时，R2和R3串联，此时电路中的总电阻：Rb=R2+R3=5Ω+R3， 此时电源电压不变，此时电路中的电流为：Ib=$\frac{U}{{R}_{b}}$=$\frac{U}{5Ω+{R}_{3}}$， 由分子相同时，分母越小比值越大可知：$\frac{U}{10Ω+{R}_{3}}$＜$\frac{U}{5Ω+{R}_{3}}$＜$\frac{U}{5Ω+\frac{1}{2}{R}_{3}}$，即：0.3A＜Ib＜0.6A， 所以电流表的示数可能是0.4A，故B正确。 故选：B。</x:v>
      </x:c>
      <x:c r="N89" s="63" t="str">
        <x:v>https://k12static.xdf.cn/k12/image/externalized/3c7b00af-5760-4743-a9e7-c8e5514b11f7.png</x:v>
      </x:c>
      <x:c r="O89" s="63" t="str">
        <x:v>https://k12static.xdf.cn/k12/image/externalized/aaa50639-9a23-4959-bf23-7fa47481578f.png</x:v>
      </x:c>
      <x:c r="P89" s="63" t="str">
        <x:v>3-5步</x:v>
      </x:c>
      <x:c r="Q89" s="63" t="str">
        <x:v>电路综合</x:v>
      </x:c>
      <x:c r="R89" s="63" t="str">
        <x:v>双状态</x:v>
      </x:c>
      <x:c r="S89" s="63" t="str">
        <x:v>单一约束</x:v>
      </x:c>
      <x:c r="T89" s="63" t="str">
        <x:v>无</x:v>
      </x:c>
      <x:c r="U89" s="63" t="str">
        <x:v>无</x:v>
      </x:c>
      <x:c r="V89" s="63" t="str">
        <x:v>多层因果推理</x:v>
      </x:c>
    </x:row>
    <x:row r="90">
      <x:c r="A90" s="64" t="str">
        <x:v>​2271711819884433408</x:v>
      </x:c>
      <x:c r="B90" s="65" t="str">
        <x:v>拔高题</x:v>
      </x:c>
      <x:c r="C90" s="65" t="str">
        <x:v>拔高题</x:v>
      </x:c>
      <x:c r="D90" s="65" t="str">
        <x:v>中等题|拔高题</x:v>
      </x:c>
      <x:c r="E90" s="65" t="str">
        <x:v>保留主标签；相邻双档均可</x:v>
      </x:c>
      <x:c r="F90" s="65" t="str">
        <x:v>中</x:v>
      </x:c>
      <x:c r="G90" s="65" t="str">
        <x:v>拔高题</x:v>
      </x:c>
      <x:c r="H90" s="65" t="str">
        <x:v>中等题</x:v>
      </x:c>
      <x:c r="I90" s="65" t="str">
        <x:v>最高难任务在电路状态、图线/参数与安全约束中包含图线反推、状态转换、误差评价、几何/等效转换、方程联立或参数反求等决定性卡点，整体约5—6个有效决策；尚未形成压轴所需的完整复杂约束网络。</x:v>
      </x:c>
      <x:c r="J90" s="65" t="str">
        <x:v>三次运行错题并集逐题复核</x:v>
      </x:c>
      <x:c r="K90" s="63" t="str">
        <x:v>如图所示的电路中，已知定值电阻R1=8Ω，R2=4Ω，灯泡L的额定电压为6V．读出电压表V1的示数为7V，电压表V2的示数为5V，电灯正常工作时，灯泡的额定功率为（ ）</x:v>
      </x:c>
      <x:c r="L90" s="63" t="str">
        <x:v>A. 3W B. 6W C. 9W D. 12W</x:v>
      </x:c>
      <x:c r="M90" s="63" t="str">
        <x:v>解：（1）电阻R1、R2与灯泡L串联，电压表V1测电阻R1与灯泡L两端的电压； 电压表电阻V2测电阻R2与灯泡L两端的电压； （2）串联电路电流处处相等，则两定值电阻的电压之比$\frac{{U}_{1}}{{U}_{2}}$=$\frac{I{R}_{1}}{I{R}_{2}}$=$\frac{{R}_{1}}{{R}_{2}}$=$\frac{8Ω}{4Ω}$=2，则U1=2U2-----①； 由串联电路的特点知：UV 1=U1+UL=7V-------②， UV 2=UL+U2=5V---------③； 由①②③解得U1=4V，U2=2V，UL=3V； （3）电路电流I=$\frac{{U}_{1}}{{R}_{1}}$=$\frac{4V}{8Ω}$=0.5A， 灯泡电阻RL=$\frac{{U}_{L}}{I}$=$\frac{3V}{0.5A}$=6Ω； 则灯泡的额定功率PL=$\frac{{U}_{L额}^{2}}{{R}_{L}}$=$\frac{{(6V)}^{2}}{6Ω}$=6W。 故选：B。</x:v>
      </x:c>
      <x:c r="N90" s="63" t="str">
        <x:v>https://k12static.xdf.cn/k12/image/externalized/e79a4b1a-6fcd-43d4-aa47-bfbc276d400a.png</x:v>
      </x:c>
      <x:c r="O90" s="63" t="str">
        <x:v>https://k12static.xdf.cn/k12/image/externalized/0f390431-64c8-471c-bb2e-8cff33308c02.png</x:v>
      </x:c>
      <x:c r="P90" s="63" t="str">
        <x:v>3-5步</x:v>
      </x:c>
      <x:c r="Q90" s="63" t="str">
        <x:v>电路综合</x:v>
      </x:c>
      <x:c r="R90" s="63" t="str">
        <x:v>单状态</x:v>
      </x:c>
      <x:c r="S90" s="63" t="str">
        <x:v>单一约束</x:v>
      </x:c>
      <x:c r="T90" s="63" t="str">
        <x:v>无</x:v>
      </x:c>
      <x:c r="U90" s="63" t="str">
        <x:v>无</x:v>
      </x:c>
      <x:c r="V90" s="63" t="str">
        <x:v>多层因果推理</x:v>
      </x:c>
    </x:row>
    <x:row r="91">
      <x:c r="A91" s="64" t="str">
        <x:v>​2306494294351990784</x:v>
      </x:c>
      <x:c r="B91" s="65" t="str">
        <x:v>拔高题</x:v>
      </x:c>
      <x:c r="C91" s="65" t="str">
        <x:v>拔高题</x:v>
      </x:c>
      <x:c r="D91" s="65" t="str">
        <x:v>中等题|拔高题</x:v>
      </x:c>
      <x:c r="E91" s="65" t="str">
        <x:v>保留主标签；相邻双档均可</x:v>
      </x:c>
      <x:c r="F91" s="65" t="str">
        <x:v>中</x:v>
      </x:c>
      <x:c r="G91" s="65" t="str">
        <x:v>中等题</x:v>
      </x:c>
      <x:c r="H91" s="65" t="str">
        <x:v>拔高题</x:v>
      </x:c>
      <x:c r="I91" s="65" t="str">
        <x:v>最高难任务在标准实验流程、读数与数据归纳中包含图线反推、状态转换、误差评价、几何/等效转换、方程联立或参数反求等决定性卡点，整体约5—6个有效决策；尚未形成压轴所需的完整复杂约束网络。</x:v>
      </x:c>
      <x:c r="J91" s="65" t="str">
        <x:v>三次运行错题并集逐题复核</x:v>
      </x:c>
      <x:c r="K91" s="63" t="str">
        <x:v>分别标有“6V 6W”和“6V 3W”的甲、乙两只灯泡，经实验测得其I-U特性曲线如右图所示。现将甲、乙两灯并联在电路中，当两只灯泡的总电流为1A时，两只灯泡消耗的总功率是（ ）</x:v>
      </x:c>
      <x:c r="L91" s="63" t="str">
        <x:v>A. 3W B. 4W C. 4.5W D. 6W</x:v>
      </x:c>
      <x:c r="M91" s="63" t="str">
        <x:v>解：由图象根据R=$\frac{U}{I}$可知，甲灯泡的阻值比较的小， 两只灯泡的总电流为1A时，由图象可知， 当甲灯泡通过的电流为0.6A，乙灯泡通过的电流为0.4A时，电路两端电压为3V， 则两个灯泡消耗的总功率为：P=UI=3V×1A=3W。 故选：A。</x:v>
      </x:c>
      <x:c r="N91" s="63" t="str">
        <x:v>https://k12static.xdf.cn/k12/image/externalized/b69f35ec-4d63-422f-8737-8195e13775ab.png</x:v>
      </x:c>
      <x:c r="O91" s="63" t="str">
        <x:v>https://k12static.xdf.cn/k12/image/externalized/55047916-0b28-436b-add8-09de439b5e12.png</x:v>
      </x:c>
      <x:c r="P91" s="63" t="str">
        <x:v>3-5步</x:v>
      </x:c>
      <x:c r="Q91" s="63" t="str">
        <x:v>电路综合</x:v>
      </x:c>
      <x:c r="R91" s="63" t="str">
        <x:v>单状态</x:v>
      </x:c>
      <x:c r="S91" s="63" t="str">
        <x:v>单一约束</x:v>
      </x:c>
      <x:c r="T91" s="63" t="str">
        <x:v>无</x:v>
      </x:c>
      <x:c r="U91" s="63" t="str">
        <x:v>图像反推或外推</x:v>
      </x:c>
      <x:c r="V91" s="63" t="str">
        <x:v>多层因果推理</x:v>
      </x:c>
    </x:row>
    <x:row r="92">
      <x:c r="A92" s="64" t="str">
        <x:v>​2318614351300288512</x:v>
      </x:c>
      <x:c r="B92" s="65" t="str">
        <x:v>中等题</x:v>
      </x:c>
      <x:c r="C92" s="65" t="str">
        <x:v>中等题</x:v>
      </x:c>
      <x:c r="D92" s="65" t="str">
        <x:v>中等题|拔高题</x:v>
      </x:c>
      <x:c r="E92" s="65" t="str">
        <x:v>保留主标签；相邻双档均可</x:v>
      </x:c>
      <x:c r="F92" s="65" t="str">
        <x:v>中</x:v>
      </x:c>
      <x:c r="G92" s="65" t="str">
        <x:v>中等题</x:v>
      </x:c>
      <x:c r="H92" s="65" t="str">
        <x:v>中等题</x:v>
      </x:c>
      <x:c r="I92" s="65" t="str">
        <x:v>存在约3—4步常规连续分析、共享过程或完整标准实验任务，关系仍显性。 题目证据：最长连续链实际有效物理决策共4步：1. 结合串联规律建立U=IR+UL的方程；2. 结合I-U图像验证满足方程的电流和电压；3. 确定电路实际电流；4. 代入公式计算总功率。五维锚定：知识量跨欧姆定律、串联电路规律、电功率计算三个关联知识点；过程为单状态但需要结合图像匹配满足方程的解；数学工具为简单方程加图像匹配；情境为常规习题变式；思维层次达到常规分析外的图像反推要求。核心任务是串联电路规律结合非线性I-U图像求解实际电流，存在图像匹配的隐性决策环节。</x:v>
      </x:c>
      <x:c r="J92" s="65" t="str">
        <x:v>三次运行错题并集逐题复核</x:v>
      </x:c>
      <x:c r="K92" s="63" t="str">
        <x:v>标有“6V 3W”的小灯泡，通过它的电流与电压的关系如图所示。若把它与一只阻值为5Ω的电阻串联接在电压为6V的电路中，则整个电路消耗的功率为（ ）</x:v>
      </x:c>
      <x:c r="L92" s="63" t="str">
        <x:v>A. 3.2W B. 2.4W C. 2.1W D. 3W</x:v>
      </x:c>
      <x:c r="M92" s="63" t="str">
        <x:v>解：小灯泡与一个阻值R=5Ω电阻串联接入电压是6V的电路中， 因串联电路中各处的电流相等， 由I=$\frac{U}{R}$可得电源的电压： U=IR+UL，即6V=I×5Ω+UL， 由图象可知，当灯泡两端的电压为4V，通过的电流为0.4A时，上面等式成立；即5Ω电阻与灯泡串联在6V电路中时，电路中的电流为0.4A； 则整个电路消耗的功率：P=UI=6V×0.4A=2.4W。 故选：B。</x:v>
      </x:c>
      <x:c r="N92" s="63" t="str">
        <x:v>https://k12static.xdf.cn/k12/image/externalized/1382bd17-7f91-4b6c-a57e-df7b850265fe.png</x:v>
      </x:c>
      <x:c r="O92" s="63" t="str">
        <x:v>https://k12static.xdf.cn/k12/image/externalized/23aad0b5-b17a-4e3b-a372-86ef66b35443.png</x:v>
      </x:c>
      <x:c r="P92" s="63" t="str">
        <x:v>3-5步</x:v>
      </x:c>
      <x:c r="Q92" s="63" t="str">
        <x:v>电路综合</x:v>
      </x:c>
      <x:c r="R92" s="63" t="str">
        <x:v>单状态</x:v>
      </x:c>
      <x:c r="S92" s="63" t="str">
        <x:v>单一约束</x:v>
      </x:c>
      <x:c r="T92" s="63" t="str">
        <x:v>无</x:v>
      </x:c>
      <x:c r="U92" s="63" t="str">
        <x:v>图像反推或外推</x:v>
      </x:c>
      <x:c r="V92" s="63" t="str">
        <x:v>多层因果推理</x:v>
      </x:c>
    </x:row>
    <x:row r="93">
      <x:c r="A93" s="64" t="str">
        <x:v>​2360689630988218368</x:v>
      </x:c>
      <x:c r="B93" s="65" t="str">
        <x:v>基础题</x:v>
      </x:c>
      <x:c r="C93" s="65" t="str">
        <x:v>基础题</x:v>
      </x:c>
      <x:c r="D93" s="65" t="str">
        <x:v>基础题|中等题</x:v>
      </x:c>
      <x:c r="E93" s="65" t="str">
        <x:v>保留主标签；相邻双档均可</x:v>
      </x:c>
      <x:c r="F93" s="65" t="str">
        <x:v>中</x:v>
      </x:c>
      <x:c r="G93" s="65" t="str">
        <x:v>基础题</x:v>
      </x:c>
      <x:c r="H93" s="65" t="str">
        <x:v>中等题</x:v>
      </x:c>
      <x:c r="I93" s="65" t="str">
        <x:v>需要围绕电路状态、图线/参数与安全约束完成常规的3—4个有效决策，或完成一套完整标准实验/共享过程分析。关系仍显性、方法常规，没有决定性隐含转换、复杂边界筛选或多状态强耦合。</x:v>
      </x:c>
      <x:c r="J93" s="65" t="str">
        <x:v>三次运行错题并集逐题复核</x:v>
      </x:c>
      <x:c r="K93" s="63" t="str">
        <x:v>在如图所示的电路中，根据小磁针静止时的指向可知（ ）</x:v>
      </x:c>
      <x:c r="L93" s="63" t="str">
        <x:v>A. a端是通电螺线管的N极，c端是电源正极 B. b端是通电螺线管的N极，d端是电源正极 C. a端是通电螺线管的N极，c端是电源负极 D. b端是通电螺线管的N极，d端是电源负极</x:v>
      </x:c>
      <x:c r="M93" s="63" t="str">
        <x:v>解：通电螺线管内部中间的小磁针，静止时N极指向左端，可知，螺线管内部的磁场方向水平向左，根据安培定则，知螺线管中的电流从左侧流进，右侧流出，则c端为电源的正极，d端为负极，内部的磁场由b指向a,则a端是通电螺线管的N极，故A正确，BCD错误。 故选：A。</x:v>
      </x:c>
      <x:c r="N93" s="63" t="str">
        <x:v>https://k12static.xdf.cn/k12/image/externalized/1478ad07-fba4-40b5-ab15-d9351019b132.png</x:v>
      </x:c>
      <x:c r="O93" s="63" t="str">
        <x:v>https://k12static.xdf.cn/k12/image/externalized/cc68314a-6c01-4adc-bc0d-27f2587a07cb.png</x:v>
      </x:c>
      <x:c r="P93" s="63" t="str">
        <x:v>1-2步</x:v>
      </x:c>
      <x:c r="Q93" s="63" t="str">
        <x:v>概念判断</x:v>
      </x:c>
      <x:c r="R93" s="63" t="str">
        <x:v>单状态</x:v>
      </x:c>
      <x:c r="S93" s="63" t="str">
        <x:v>无约束</x:v>
      </x:c>
      <x:c r="T93" s="63" t="str">
        <x:v>无</x:v>
      </x:c>
      <x:c r="U93" s="63" t="str">
        <x:v>无</x:v>
      </x:c>
      <x:c r="V93" s="63" t="str">
        <x:v>多层因果推理</x:v>
      </x:c>
    </x:row>
    <x:row r="94">
      <x:c r="A94" s="64" t="str">
        <x:v>​2366366723734016000</x:v>
      </x:c>
      <x:c r="B94" s="65" t="str">
        <x:v>送分题</x:v>
      </x:c>
      <x:c r="C94" s="65" t="str">
        <x:v>送分题</x:v>
      </x:c>
      <x:c r="D94" s="65" t="str">
        <x:v>送分题|基础题</x:v>
      </x:c>
      <x:c r="E94" s="65" t="str">
        <x:v>保留主标签；相邻双档均可</x:v>
      </x:c>
      <x:c r="F94" s="65" t="str">
        <x:v>中</x:v>
      </x:c>
      <x:c r="G94" s="65" t="str">
        <x:v>基础题</x:v>
      </x:c>
      <x:c r="H94" s="65" t="str">
        <x:v>送分题</x:v>
      </x:c>
      <x:c r="I94" s="65" t="str">
        <x:v>核心只需识别一个唯一、熟悉且关系显性的教材模板（教材概念与常规物理关系），没有第二次独立物理决策；背景、选项数量或机械作答动作不增加难度。</x:v>
      </x:c>
      <x:c r="J94" s="65" t="str">
        <x:v>三次运行错题并集逐题复核</x:v>
      </x:c>
      <x:c r="K94" s="63" t="str">
        <x:v>冬天，人们说话时，可以看到口里呼出“白气”，打开冰箱时，也可以看到从冰箱里冲出的“白气”。下列对这两次“白气”成因的判断，正确的是（ ）</x:v>
      </x:c>
      <x:c r="L94" s="63" t="str">
        <x:v>A. 从冰箱里冲出“白气”是汽化形成的水蒸气 B. 口里呼出“白气”是汽化形成的小水珠 C. 这两次“白气”都是液化形成的水蒸气 D. 这两次“白气”都是液化形成的小水珠</x:v>
      </x:c>
      <x:c r="M94" s="63" t="str">
        <x:v>解：冰箱里冲出的“白气”是空气中的水蒸气遇冷液化形成的，口里呼出的“白气”是口里的水蒸气遇冷液化形成的。 综上可知，D正确，ABC错误。 故选：D。</x:v>
      </x:c>
      <x:c r="N94" s="63" t="str">
        <x:v>https://k12static.xdf.cn/k12/image/externalized/8cd48663-89a1-4747-8b73-5602bc14f411.png</x:v>
      </x:c>
      <x:c r="O94" s="63" t="str">
        <x:v>https://k12static.xdf.cn/k12/image/externalized/d442dce6-42d6-43e2-a636-9846d55bba9f.png</x:v>
      </x:c>
      <x:c r="P94" s="63" t="str">
        <x:v>1-2步</x:v>
      </x:c>
      <x:c r="Q94" s="63" t="str">
        <x:v>概念判断</x:v>
      </x:c>
      <x:c r="R94" s="63" t="str">
        <x:v>单状态</x:v>
      </x:c>
      <x:c r="S94" s="63" t="str">
        <x:v>无约束</x:v>
      </x:c>
      <x:c r="T94" s="63" t="str">
        <x:v>无</x:v>
      </x:c>
      <x:c r="U94" s="63" t="str">
        <x:v>无</x:v>
      </x:c>
      <x:c r="V94" s="63" t="str">
        <x:v>简单因果推理</x:v>
      </x:c>
    </x:row>
    <x:row r="95">
      <x:c r="A95" s="64" t="str">
        <x:v>​2373133670859956224</x:v>
      </x:c>
      <x:c r="B95" s="65" t="str">
        <x:v>基础题</x:v>
      </x:c>
      <x:c r="C95" s="65" t="str">
        <x:v>基础题</x:v>
      </x:c>
      <x:c r="D95" s="65" t="str">
        <x:v>基础题|中等题</x:v>
      </x:c>
      <x:c r="E95" s="65" t="str">
        <x:v>保留主标签；相邻双档均可</x:v>
      </x:c>
      <x:c r="F95" s="65" t="str">
        <x:v>中</x:v>
      </x:c>
      <x:c r="G95" s="65" t="str">
        <x:v>送分题</x:v>
      </x:c>
      <x:c r="H95" s="65" t="str">
        <x:v>基础题</x:v>
      </x:c>
      <x:c r="I95" s="65" t="str">
        <x:v>最高难任务为1—2步显性应用、规范操作或简单因果，没有连续模型转换。 题目证据：最长连续链实际有效物理决策为2步：第一步分析弹簧恢复形变过程中物块的受力与运动，第二步分析物块离开弹簧后的受力与运动。五维锚定：知识量为同模块两个关联知识点，过程对象为两个连续状态，数学工具无复杂运算，情境为常规物理模型情境，思维层次为简单应用加常规分析。整体需要对两个连续运动状态分别分析判断。</x:v>
      </x:c>
      <x:c r="J95" s="65" t="str">
        <x:v>三次运行错题并集逐题复核</x:v>
      </x:c>
      <x:c r="K95" s="63" t="str">
        <x:v>如图所示，小物块A和弹簧放在光滑的水平面上，弹簧左端固定于竖直墙面，向左移动物块A并压缩弹簧至B处，静止释放物块A，此后物块的运动是（ ）</x:v>
      </x:c>
      <x:c r="L95" s="63" t="str">
        <x:v>A. 一直加速 B. 一直匀速 C. 先加速后匀速 D. 先加速后减速</x:v>
      </x:c>
      <x:c r="M95" s="63" t="str">
        <x:v>解：如图所示，当压缩弹簧时，弹簧具有弹性势能，在恢复形变时，弹性势能转化为动能，使物块获得一定的速度，且在物块离开弹簧时，速度达到最大；物块离开弹簧后，因水平面光滑，它在水平方向不受力，故物块将做匀速直线运动。 综上所述，静止释放物块A，此后物块的运动是先加速后匀速。只有选项C符合题意。 故选：C。</x:v>
      </x:c>
      <x:c r="N95" s="63" t="str">
        <x:v>https://k12static.xdf.cn/k12/image/externalized/e5dee6b2-9a88-4d8d-abfe-3599120e02a1.png</x:v>
      </x:c>
      <x:c r="O95" s="63" t="str">
        <x:v>https://k12static.xdf.cn/k12/image/externalized/3b9be24b-7dbd-4579-b091-87edcc1482ee.png</x:v>
      </x:c>
      <x:c r="P95" s="63" t="str">
        <x:v>1-2步</x:v>
      </x:c>
      <x:c r="Q95" s="63" t="str">
        <x:v>概念判断</x:v>
      </x:c>
      <x:c r="R95" s="63" t="str">
        <x:v>双状态</x:v>
      </x:c>
      <x:c r="S95" s="63" t="str">
        <x:v>无约束</x:v>
      </x:c>
      <x:c r="T95" s="63" t="str">
        <x:v>无</x:v>
      </x:c>
      <x:c r="U95" s="63" t="str">
        <x:v>无</x:v>
      </x:c>
      <x:c r="V95" s="63" t="str">
        <x:v>简单因果推理</x:v>
      </x:c>
    </x:row>
    <x:row r="96">
      <x:c r="A96" s="64" t="str">
        <x:v>​2433717794975301632</x:v>
      </x:c>
      <x:c r="B96" s="65" t="str">
        <x:v>中等题</x:v>
      </x:c>
      <x:c r="C96" s="65" t="str">
        <x:v>中等题</x:v>
      </x:c>
      <x:c r="D96" s="65" t="str">
        <x:v>基础题|中等题</x:v>
      </x:c>
      <x:c r="E96" s="65" t="str">
        <x:v>保留主标签；相邻双档均可</x:v>
      </x:c>
      <x:c r="F96" s="65" t="str">
        <x:v>中</x:v>
      </x:c>
      <x:c r="G96" s="65" t="str">
        <x:v>基础题</x:v>
      </x:c>
      <x:c r="H96" s="65" t="str">
        <x:v>中等题</x:v>
      </x:c>
      <x:c r="I96" s="65" t="str">
        <x:v>存在约3—4步常规连续分析、共享过程或完整标准实验任务，关系仍显性。 题目证据：原标偏低。最长有效链为1-2步、题型为力学综合、涉及双状态、含单一约束、推理为简单因果推理；实际任务已超过基础题所允许的直接识别/显性应用范围，裁定为中等题。 复核证据：独立盲评与三次模型中有3/4支持中等题。</x:v>
      </x:c>
      <x:c r="J96" s="65" t="str">
        <x:v>三次运行错题并集逐题复核</x:v>
      </x:c>
      <x:c r="K96" s="63" t="str">
        <x:v>同一个滑轮分别用（a）（b）两种方式匀速提升物体（G动＜G物），假设所用的拉力分别为F1、F2，机械效率为η1、η2，不计绳重和摩擦，则（ ）</x:v>
      </x:c>
      <x:c r="L96" s="63" t="str">
        <x:v>A. F1＞F2；η1=η2 B. F1＞F2；η1＞η2 C. F1＜F2；η1=η2 D. F1＞F2；η1＜η2</x:v>
      </x:c>
      <x:c r="M96" s="63" t="str">
        <x:v>解：（a）为定滑轮，不计绳重和摩擦，则拉力F1=G，机械效率η1=100%；（b）为动滑轮，F2=$\frac{G+{G}_{动}}{2}$，已知G动＜G物，则F1＞F2；η2＜100%，则η1＞η2。 故选：B。</x:v>
      </x:c>
      <x:c r="N96" s="63" t="str">
        <x:v>https://k12static.xdf.cn/k12/image/externalized/0e0de74c-7f29-4102-9074-11c2fbcf9c04.png</x:v>
      </x:c>
      <x:c r="O96" s="63" t="str">
        <x:v>https://k12static.xdf.cn/k12/image/externalized/ab9a254b-f9aa-4c81-81e8-cac0757944da.png</x:v>
      </x:c>
      <x:c r="P96" s="63" t="str">
        <x:v>1-2步</x:v>
      </x:c>
      <x:c r="Q96" s="63" t="str">
        <x:v>力学综合</x:v>
      </x:c>
      <x:c r="R96" s="63" t="str">
        <x:v>双状态</x:v>
      </x:c>
      <x:c r="S96" s="63" t="str">
        <x:v>单一约束</x:v>
      </x:c>
      <x:c r="T96" s="63" t="str">
        <x:v>无</x:v>
      </x:c>
      <x:c r="U96" s="63" t="str">
        <x:v>无</x:v>
      </x:c>
      <x:c r="V96" s="63" t="str">
        <x:v>简单因果推理</x:v>
      </x:c>
    </x:row>
    <x:row r="97">
      <x:c r="A97" s="64" t="str">
        <x:v>​2484795579631501312</x:v>
      </x:c>
      <x:c r="B97" s="65" t="str">
        <x:v>送分题</x:v>
      </x:c>
      <x:c r="C97" s="65" t="str">
        <x:v>送分题</x:v>
      </x:c>
      <x:c r="D97" s="65" t="str">
        <x:v>送分题|基础题</x:v>
      </x:c>
      <x:c r="E97" s="65" t="str">
        <x:v>保留主标签；相邻双档均可</x:v>
      </x:c>
      <x:c r="F97" s="65" t="str">
        <x:v>中</x:v>
      </x:c>
      <x:c r="G97" s="65" t="str">
        <x:v>送分题</x:v>
      </x:c>
      <x:c r="H97" s="65" t="str">
        <x:v>基础题</x:v>
      </x:c>
      <x:c r="I97" s="65" t="str">
        <x:v>多个空/选项彼此独立，不形成连续链；最高难任务属于力学模型、运动/受力与能量关系中的1—2步直接应用、规范操作或简单因果判断。需要理解/应用而非纯识记，但没有共享中间结论、完整连续过程或隐含转换。</x:v>
      </x:c>
      <x:c r="J97" s="65" t="str">
        <x:v>三次运行错题并集逐题复核</x:v>
      </x:c>
      <x:c r="K97" s="63" t="str">
        <x:v>下列关于杠杆的说法中正确的是（ ）</x:v>
      </x:c>
      <x:c r="L97" s="63" t="str">
        <x:v>A. 杠杆必须是一根直棒 B. 杠杆不一定要有支点 C. 杠杆的力臂是从支点到力的作用点的垂直距离 D. 杠杆的动力作用线不能通过支点</x:v>
      </x:c>
      <x:c r="M97" s="63" t="str">
        <x:v>解：A、杠杆不一定是直棒，故A错误； B、杠杆一定要有支点，故B错误； C、杠杆的力臂是从支点到力的作用线的垂直距离，故C错误； D、杠杆的动力臂不可能为零，故杠杆的动力作用线不可以通过支点，故D正确。 故选：D。</x:v>
      </x:c>
      <x:c r="N97" s="63" t="str">
        <x:v>https://k12static.xdf.cn/k12/image/externalized/74261351-bbef-4e2e-aeaf-22b2a48d76c8.png</x:v>
      </x:c>
      <x:c r="O97" s="63" t="str">
        <x:v>https://k12static.xdf.cn/k12/image/externalized/4415f050-3ea8-4272-ada0-1ac83baf74ba.png</x:v>
      </x:c>
      <x:c r="P97" s="63" t="str">
        <x:v>1-2步</x:v>
      </x:c>
      <x:c r="Q97" s="63" t="str">
        <x:v>概念判断</x:v>
      </x:c>
      <x:c r="R97" s="63" t="str">
        <x:v>单状态</x:v>
      </x:c>
      <x:c r="S97" s="63" t="str">
        <x:v>无约束</x:v>
      </x:c>
      <x:c r="T97" s="63" t="str">
        <x:v>无</x:v>
      </x:c>
      <x:c r="U97" s="63" t="str">
        <x:v>无</x:v>
      </x:c>
      <x:c r="V97" s="63" t="str">
        <x:v>直接套用</x:v>
      </x:c>
    </x:row>
    <x:row r="98">
      <x:c r="A98" s="64" t="str">
        <x:v>​2484856140146769920</x:v>
      </x:c>
      <x:c r="B98" s="65" t="str">
        <x:v>拔高题</x:v>
      </x:c>
      <x:c r="C98" s="65" t="str">
        <x:v>拔高题</x:v>
      </x:c>
      <x:c r="D98" s="65" t="str">
        <x:v>中等题|拔高题</x:v>
      </x:c>
      <x:c r="E98" s="65" t="str">
        <x:v>保留主标签；相邻双档均可</x:v>
      </x:c>
      <x:c r="F98" s="65" t="str">
        <x:v>中</x:v>
      </x:c>
      <x:c r="G98" s="65" t="str">
        <x:v>压轴题</x:v>
      </x:c>
      <x:c r="H98" s="65" t="str">
        <x:v>拔高题</x:v>
      </x:c>
      <x:c r="I98" s="65" t="str">
        <x:v>最高难任务在图表信息提取与关系反推中包含图线反推、状态转换、误差评价、几何/等效转换、方程联立或参数反求等决定性卡点，整体约5—6个有效决策；尚未形成压轴所需的完整复杂约束网络。</x:v>
      </x:c>
      <x:c r="J98" s="65" t="str">
        <x:v>三次运行错题并集逐题复核</x:v>
      </x:c>
      <x:c r="K98" s="63" t="str">
        <x:v>小车在水平方向受到两个拉力F1和F2的作用，拉力F1和F2的大小随时间变化的图象如图乙和丙，小车的运动状态随时间变化的图象如图丁，根据图象，下列分析正确的是（ ）</x:v>
      </x:c>
      <x:c r="L98" s="63" t="str">
        <x:v>A. t=1s时，小车受到的摩擦力大小是3N，摩擦力的方向水平向右 B. t=3s时，小车受到的摩擦力大小是2.5N，摩擦力方向水平向左 C. t=7s时，小车受到的合力大小是4.5N，合力方向水平向右 D. 在4到6s这个时间段，若桌面变得绝对光滑，小车将匀速直线运动</x:v>
      </x:c>
      <x:c r="M98" s="63" t="str">
        <x:v>解： A、由图丁可知，t=1s时小车的速度为0，处于静止状态，受到的合力为0，水平方向上受到向左的拉力F1和向右的拉力F2、静摩擦力的共同作用，这三个力的合力为0；由图可知，此时的F1=3N，F2=1N，则静摩擦力为：f=F1-F2=3N-1N=2N，方向与F2的方向相同，水平向右，故A错误； B、由v-t图像可知，4s～6s小车做匀速直线运动，水平方向上受到的合力为0；由图可知，此时的F'1=6N，F'2=3.5N，则f'=F'1-F'2=6N-3.5N=2.5N，方向与F2的方向相同，水平向右；t=3s时，F1大于F2，小车向左运动，小车对桌面的压力不变，接触面的粗糙程度不变，则受到的摩擦力不变，为2.5N，摩擦力方向水平向右，故B错误； C、t=7s时，F''1=0N，F''2=2N，小车向左运动，小车对桌面的压力不变，接触面的粗糙程度不变，则受到的摩擦力不变，为2.5N，此时的合力为：F=F''2+f'-F''1=2N+2.5N-0N=4.5N，合力的方向水平向右，故C正确； D、在4到6s这个时间段，若桌面变得绝对光滑，则小车不会受到摩擦力的作用，由于此时的两个拉力不同，则小车做变速运动，故D错误。 故选：C。</x:v>
      </x:c>
      <x:c r="N98" s="63" t="str">
        <x:v>https://k12static.xdf.cn/k12/image/externalized/1b2b1a21-0f97-4a70-96c7-65413766618d.png</x:v>
      </x:c>
      <x:c r="O98" s="63" t="str">
        <x:v>https://k12static.xdf.cn/k12/image/externalized/958567e5-accf-4b22-9cee-ba366d33ea77.png</x:v>
      </x:c>
      <x:c r="P98" s="63" t="str">
        <x:v>3-5步</x:v>
      </x:c>
      <x:c r="Q98" s="63" t="str">
        <x:v>力学综合</x:v>
      </x:c>
      <x:c r="R98" s="63" t="str">
        <x:v>多状态</x:v>
      </x:c>
      <x:c r="S98" s="63" t="str">
        <x:v>单一约束</x:v>
      </x:c>
      <x:c r="T98" s="63" t="str">
        <x:v>无</x:v>
      </x:c>
      <x:c r="U98" s="63" t="str">
        <x:v>多组比较归纳</x:v>
      </x:c>
      <x:c r="V98" s="63" t="str">
        <x:v>多层因果推理</x:v>
      </x:c>
    </x:row>
    <x:row r="99">
      <x:c r="A99" s="64" t="str">
        <x:v>​2533978085436526592</x:v>
      </x:c>
      <x:c r="B99" s="65" t="str">
        <x:v>基础题</x:v>
      </x:c>
      <x:c r="C99" s="65" t="str">
        <x:v>基础题</x:v>
      </x:c>
      <x:c r="D99" s="65" t="str">
        <x:v>基础题|中等题</x:v>
      </x:c>
      <x:c r="E99" s="65" t="str">
        <x:v>保留主标签；相邻双档均可</x:v>
      </x:c>
      <x:c r="F99" s="65" t="str">
        <x:v>中</x:v>
      </x:c>
      <x:c r="G99" s="65" t="str">
        <x:v>基础题</x:v>
      </x:c>
      <x:c r="H99" s="65" t="str">
        <x:v>中等题</x:v>
      </x:c>
      <x:c r="I99" s="65" t="str">
        <x:v>需要围绕图表信息提取与关系反推完成常规的3—4个有效决策，或完成一套完整标准实验/共享过程分析。关系仍显性、方法常规，没有决定性隐含转换、复杂边界筛选或多状态强耦合。</x:v>
      </x:c>
      <x:c r="J99" s="65" t="str">
        <x:v>三次运行错题并集逐题复核</x:v>
      </x:c>
      <x:c r="K99" s="63" t="str">
        <x:v>下表是一些物质的比热容，根据表中数据，下列判断正确的是（ ） 物质 水 煤油 冰 铝 铜 比热容/（J•kg-1•℃-1） 4.2×103 2.1×103 2.1×103 0.88×103 0.39×103</x:v>
      </x:c>
      <x:c r="L99" s="63" t="str">
        <x:v>A. 不同物质的比热容一定不同 B. 物质的物态发生变化，比热容不变 C. 质量相等的水和煤油吸收相同的热量，煤油的末温高 D. 质量相等的铝和铜升高相同的温度，铝吸收的热量更多</x:v>
      </x:c>
      <x:c r="M99" s="63" t="str">
        <x:v>解：A、比热容是物质本身的一种特性，它与物质的种类和状态有关，不同的物质，比热容一般不同，但是也有特殊情况，如表格中的煤油和冰的比热容就是相等的，故A错误； B、同种物质的不同状态，其比热容不同，如表格中的水和冰，物质的物态变化了，比热容也改变了，故B错误； C、根据公式Δt=$\frac{Q{}_{吸}}{cm}$可知，在质量和吸收的热量相同时，比热容越小，温度升高的越多，由表格可知c水＞c煤油，故煤油升高的温度更多，但水和煤油的初温未知，故无法判断其末温，故C错误； D、根据公式Q吸=cmΔt可知，在质量和升高的温度相等时，比热容越大，吸收的热量越多，由表格可知c铝＞c铜，故铝吸收的热量更多，故D正确。 故选：D。</x:v>
      </x:c>
      <x:c r="N99" s="63" t="str">
        <x:v>https://k12static.xdf.cn/k12/image/externalized/437baf20-9e4a-437c-8fd6-1828ad0f6996.png</x:v>
      </x:c>
      <x:c r="O99" s="63" t="str">
        <x:v>https://k12static.xdf.cn/k12/image/externalized/19414193-54e8-4722-b7fd-b5f88bc5e2a0.png</x:v>
      </x:c>
      <x:c r="P99" s="63" t="str">
        <x:v>1-2步</x:v>
      </x:c>
      <x:c r="Q99" s="63" t="str">
        <x:v>概念判断</x:v>
      </x:c>
      <x:c r="R99" s="63" t="str">
        <x:v>单状态</x:v>
      </x:c>
      <x:c r="S99" s="63" t="str">
        <x:v>无约束</x:v>
      </x:c>
      <x:c r="T99" s="63" t="str">
        <x:v>无</x:v>
      </x:c>
      <x:c r="U99" s="63" t="str">
        <x:v>直接读数</x:v>
      </x:c>
      <x:c r="V99" s="63" t="str">
        <x:v>简单因果推理</x:v>
      </x:c>
    </x:row>
    <x:row r="100">
      <x:c r="A100" s="64" t="str">
        <x:v>​2601086076485197824</x:v>
      </x:c>
      <x:c r="B100" s="65" t="str">
        <x:v>基础题</x:v>
      </x:c>
      <x:c r="C100" s="65" t="str">
        <x:v>基础题</x:v>
      </x:c>
      <x:c r="D100" s="65" t="str">
        <x:v>基础题|中等题</x:v>
      </x:c>
      <x:c r="E100" s="65" t="str">
        <x:v>保留主标签；相邻双档均可</x:v>
      </x:c>
      <x:c r="F100" s="65" t="str">
        <x:v>中</x:v>
      </x:c>
      <x:c r="G100" s="65" t="str">
        <x:v>基础题</x:v>
      </x:c>
      <x:c r="H100" s="65" t="str">
        <x:v>基础题</x:v>
      </x:c>
      <x:c r="I100" s="65" t="str">
        <x:v>最高难任务为1—2步显性应用、规范操作或简单因果，没有连续模型转换。 题目证据：保留原标。最长有效链为1-2步、题型为概念判断、实验要求达到“控制变量或故障分析”、推理为多层因果推理，与基础题边界一致。 复核证据：教师标签与独立盲评一致；三次模型运行使用相近提示词，仅作为辅助证据，不足以推翻两者一致结论。。</x:v>
      </x:c>
      <x:c r="J100" s="65" t="str">
        <x:v>三次运行错题并集逐题复核</x:v>
      </x:c>
      <x:c r="K100" s="63" t="str">
        <x:v>如图所示，是电学中常见的电路图，在A、B两点间分别接入下列选项加点字的元件，并进行对应实验，对滑动变阻器在此实验中的作用描述不正确的是（ ）</x:v>
      </x:c>
      <x:c r="L100" s="63" t="str">
        <x:v>A. 探究电流与电压的关系——改变定值电阻两端电压 B. 探究电流与电阻的关系——使定值电阻两端电压成倍数变化 C. 测量定值电阻的阻值——多次测量求平均值，减小实验误差 D. 测量小灯泡的额定功率——调节小灯泡两端电压，使小灯泡在额定电压下发光</x:v>
      </x:c>
      <x:c r="M100" s="63" t="str">
        <x:v>解：A、探究电流与电压的关系时滑动变阻器的作用一般有保护电路和改变被测电阻两端电压，故A正确； B、探究电流与电阻的关系时滑动变阻器的作用是保护电路和保持定值电阻两端电压不变，找出普遍规律，故B错误； C、小灯泡的电阻受温度影响较大，不可以多测几组数据，通过求平均值来减小误差，故C正确； D、在“伏安法”测小灯泡电功率的实验中，调节小灯泡两端电压，使小灯泡在额定电压下发光，故D正确。 故选：B。</x:v>
      </x:c>
      <x:c r="N100" s="63" t="str">
        <x:v>https://k12static.xdf.cn/k12/image/externalized/551688b9-53ad-47c0-886a-870865ad3aee.png</x:v>
      </x:c>
      <x:c r="O100" s="63" t="str">
        <x:v>https://k12static.xdf.cn/k12/image/externalized/1f77964a-e441-49f7-97df-2f40ffe7ad67.png</x:v>
      </x:c>
      <x:c r="P100" s="63" t="str">
        <x:v>1-2步</x:v>
      </x:c>
      <x:c r="Q100" s="63" t="str">
        <x:v>概念判断</x:v>
      </x:c>
      <x:c r="R100" s="63" t="str">
        <x:v>单状态</x:v>
      </x:c>
      <x:c r="S100" s="63" t="str">
        <x:v>无约束</x:v>
      </x:c>
      <x:c r="T100" s="63" t="str">
        <x:v>控制变量或故障分析</x:v>
      </x:c>
      <x:c r="U100" s="63" t="str">
        <x:v>无</x:v>
      </x:c>
      <x:c r="V100" s="63" t="str">
        <x:v>多层因果推理</x:v>
      </x:c>
    </x:row>
    <x:row r="101">
      <x:c r="A101" s="64" t="str">
        <x:v>​2601086228621471744</x:v>
      </x:c>
      <x:c r="B101" s="65" t="str">
        <x:v>送分题</x:v>
      </x:c>
      <x:c r="C101" s="65" t="str">
        <x:v>送分题</x:v>
      </x:c>
      <x:c r="D101" s="65" t="str">
        <x:v>送分题|基础题</x:v>
      </x:c>
      <x:c r="E101" s="65" t="str">
        <x:v>保留主标签；相邻双档均可</x:v>
      </x:c>
      <x:c r="F101" s="65" t="str">
        <x:v>中</x:v>
      </x:c>
      <x:c r="G101" s="65" t="str">
        <x:v>送分题</x:v>
      </x:c>
      <x:c r="H101" s="65" t="str">
        <x:v>基础题</x:v>
      </x:c>
      <x:c r="I101" s="65" t="str">
        <x:v>多个空/选项彼此独立，不形成连续链；最高难任务属于电路状态、图线/参数与安全约束中的1—2步直接应用、规范操作或简单因果判断。需要理解/应用而非纯识记，但没有共享中间结论、完整连续过程或隐含转换。</x:v>
      </x:c>
      <x:c r="J101" s="65" t="str">
        <x:v>三次运行错题并集逐题复核</x:v>
      </x:c>
      <x:c r="K101" s="63" t="str">
        <x:v>如图，将一根铅笔芯接入电路中，固定A端的夹子，向右移动B端的夹子，观察小灯泡的亮度。下列说法正确的是（ ）</x:v>
      </x:c>
      <x:c r="L101" s="63" t="str">
        <x:v>A. 灯泡与铅笔芯是并联的 B. 该实验能解释滑动变阻器的原理 C. 接入电路中的铅笔芯越长，灯泡越亮 D. 将铅笔芯换成塑料吸管，灯泡仍会发光</x:v>
      </x:c>
      <x:c r="M101" s="63" t="str">
        <x:v>解： A、由图可知，电路电流只有一条路径，铅笔芯与灯泡串联，故A错误； B、移动铅笔芯上的夹子，可以改变铅笔芯接入电路中的长度，从而改变接入电路中的电阻，滑动变阻器就是根据此原理制成的，故B正确； C、接入电路的铅笔芯长度越长，铅笔芯的电阻越大，总电阻越大，根据欧姆定律可知，通过小灯泡的电流越小，小灯泡越暗，故C错误； D、将铅笔芯换成塑料吸管，塑料吸管是绝缘体，灯泡不能发光，故D错误。 故选：B。</x:v>
      </x:c>
      <x:c r="N101" s="63" t="str">
        <x:v>https://k12static.xdf.cn/k12/image/externalized/6d85174f-842e-4f22-ae52-df1899ba7fa6.png</x:v>
      </x:c>
      <x:c r="O101" s="63" t="str">
        <x:v>https://k12static.xdf.cn/k12/image/externalized/abf273a5-b721-4707-861a-4b0cbc3c95e6.png</x:v>
      </x:c>
      <x:c r="P101" s="63" t="str">
        <x:v>1-2步</x:v>
      </x:c>
      <x:c r="Q101" s="63" t="str">
        <x:v>概念判断</x:v>
      </x:c>
      <x:c r="R101" s="63" t="str">
        <x:v>单状态</x:v>
      </x:c>
      <x:c r="S101" s="63" t="str">
        <x:v>无约束</x:v>
      </x:c>
      <x:c r="T101" s="63" t="str">
        <x:v>无</x:v>
      </x:c>
      <x:c r="U101" s="63" t="str">
        <x:v>无</x:v>
      </x:c>
      <x:c r="V101" s="63" t="str">
        <x:v>简单因果推理</x:v>
      </x:c>
    </x:row>
    <x:row r="102">
      <x:c r="A102" s="64" t="str">
        <x:v>​2604092909603258368</x:v>
      </x:c>
      <x:c r="B102" s="65" t="str">
        <x:v>基础题</x:v>
      </x:c>
      <x:c r="C102" s="65" t="str">
        <x:v>基础题</x:v>
      </x:c>
      <x:c r="D102" s="65" t="str">
        <x:v>基础题|中等题</x:v>
      </x:c>
      <x:c r="E102" s="65" t="str">
        <x:v>保留主标签；相邻双档均可</x:v>
      </x:c>
      <x:c r="F102" s="65" t="str">
        <x:v>中</x:v>
      </x:c>
      <x:c r="G102" s="65" t="str">
        <x:v>基础题</x:v>
      </x:c>
      <x:c r="H102" s="65" t="str">
        <x:v>基础题</x:v>
      </x:c>
      <x:c r="I102" s="65" t="str">
        <x:v>最高难任务为1—2步显性应用、规范操作或简单因果，没有连续模型转换。 题目证据：保留原标。最长有效链为1-2步、题型为实验探究、实验要求达到“控制变量或故障分析”、推理为简单因果推理，与基础题边界一致。 复核证据：教师标签与独立盲评一致；三次模型运行使用相近提示词，仅作为辅助证据，不足以推翻两者一致结论。。</x:v>
      </x:c>
      <x:c r="J102" s="65" t="str">
        <x:v>三次运行错题并集逐题复核</x:v>
      </x:c>
      <x:c r="K102" s="63" t="str">
        <x:v>如图所示，将塑料刻度尺的一端紧压在桌面上，另一端伸出桌面，拨动刻度尺使其振动，听刻度尺发出的声音。 （1）实验时若保持刻度尺伸出桌面的长度不变，用不同大小的力拨动刻度尺，则这样做的目的是为了探究 ________ 与 ________ 的关系。 （2）实验时若改变刻度尺伸出桌面的长度，用相同大小的力拨动刻度尺，则这样做的目的是为了探究 ________ 与 ________ 的关系。 （3）换用钢尺做此实验，钢尺伸出桌面的长度与塑料尺相同，拨动尺子的力也保持相同，则听到声音的主要差异是 ________ 不同（填“响度”、“音调”或“音色”）。</x:v>
      </x:c>
      <x:c r="L102" s="63" t="str"/>
      <x:c r="M102" s="63" t="str">
        <x:v>解：（1）钢尺紧按在桌面上，一端伸出桌面适当的长度，长度不变，则振动的频率就不变，即音调不变；轻拨与重拨，钢尺的振动幅度变化，钢尺发出声音的响度不同； （2）改变刻度尺伸出桌面的长度，用相同大小的力拨动刻度尺，此时刻度尺的振动的幅度是相同的，但由于钢尺伸出桌面的长度不同导致钢尺振动的频率不同，则这样做的目的是为了探究音调与物体振动频率的关系。 （3）音色也是物体的音品，是取决于物体本身的一种属性，即物体的材料、结构不同，其所发出声音的音色就是不同的； 故答案为：（1）响度；振幅；（2）音调；频率；（3）音色。</x:v>
      </x:c>
      <x:c r="N102" s="63" t="str">
        <x:v>https://k12static.xdf.cn/k12/image/externalized/49429f2c-8b95-4064-81d5-163af4c7df06.png</x:v>
      </x:c>
      <x:c r="O102" s="63" t="str">
        <x:v>https://k12static.xdf.cn/k12/image/externalized/136eec06-1e13-448b-81c1-ef35a3750c52.png</x:v>
      </x:c>
      <x:c r="P102" s="63" t="str">
        <x:v>1-2步</x:v>
      </x:c>
      <x:c r="Q102" s="63" t="str">
        <x:v>实验探究</x:v>
      </x:c>
      <x:c r="R102" s="63" t="str">
        <x:v>单状态</x:v>
      </x:c>
      <x:c r="S102" s="63" t="str">
        <x:v>无约束</x:v>
      </x:c>
      <x:c r="T102" s="63" t="str">
        <x:v>控制变量或故障分析</x:v>
      </x:c>
      <x:c r="U102" s="63" t="str">
        <x:v>无</x:v>
      </x:c>
      <x:c r="V102" s="63" t="str">
        <x:v>简单因果推理</x:v>
      </x:c>
    </x:row>
    <x:row r="103">
      <x:c r="A103" s="64" t="str">
        <x:v>​2605176096749531136</x:v>
      </x:c>
      <x:c r="B103" s="65" t="str">
        <x:v>基础题</x:v>
      </x:c>
      <x:c r="C103" s="65" t="str">
        <x:v>基础题</x:v>
      </x:c>
      <x:c r="D103" s="65" t="str">
        <x:v>送分题|基础题</x:v>
      </x:c>
      <x:c r="E103" s="65" t="str">
        <x:v>保留主标签；相邻双档均可</x:v>
      </x:c>
      <x:c r="F103" s="65" t="str">
        <x:v>中</x:v>
      </x:c>
      <x:c r="G103" s="65" t="str">
        <x:v>基础题</x:v>
      </x:c>
      <x:c r="H103" s="65" t="str">
        <x:v>送分题</x:v>
      </x:c>
      <x:c r="I103" s="65" t="str">
        <x:v>最高难任务为1—2步显性应用、规范操作或简单因果，没有连续模型转换。 题目证据：保留原标。最长有效链为1-2步、题型为概念判断、推理为简单因果推理，与基础题边界一致。 复核证据：各独立判断分裂，先取五方中位档；低结构概念题按基础封顶。</x:v>
      </x:c>
      <x:c r="J103" s="65" t="str">
        <x:v>三次运行错题并集逐题复核</x:v>
      </x:c>
      <x:c r="K103" s="63" t="str">
        <x:v>沂河畔的电视塔是临沂的标志性建筑物，在落日余晖下的倒影和地上的建筑物相得益彰，格外引人注目，如图所示。则电视塔在水中的“倒影”​（ ）</x:v>
      </x:c>
      <x:c r="L103" s="63" t="str">
        <x:v>A. 是光的折射形成的虚像 B. 是光的反射形成的实像 C. 与电视塔关于水面对称 D. 水位下降后变小</x:v>
      </x:c>
      <x:c r="M103" s="63" t="str">
        <x:v>解：AB、电视塔在水中的“倒影”是由于光照射到水面发生光的反射形成的虚像，故AB错误； CD、平面镜成像的特点：物像等大，成的是虚像，则电视塔在水中的“倒影”​与电视塔关于水面对称、大小相同，故C正确，D错误。 故选：C。</x:v>
      </x:c>
      <x:c r="N103" s="63" t="str">
        <x:v>https://k12static.xdf.cn/k12/image/externalized/ff3bf020-9703-4087-a98e-f313c86553c5.png</x:v>
      </x:c>
      <x:c r="O103" s="63" t="str">
        <x:v>https://k12static.xdf.cn/k12/image/externalized/b1885bd3-a637-455c-8200-ab35c3312425.png</x:v>
      </x:c>
      <x:c r="P103" s="63" t="str">
        <x:v>1-2步</x:v>
      </x:c>
      <x:c r="Q103" s="63" t="str">
        <x:v>概念判断</x:v>
      </x:c>
      <x:c r="R103" s="63" t="str">
        <x:v>单状态</x:v>
      </x:c>
      <x:c r="S103" s="63" t="str">
        <x:v>无约束</x:v>
      </x:c>
      <x:c r="T103" s="63" t="str">
        <x:v>无</x:v>
      </x:c>
      <x:c r="U103" s="63" t="str">
        <x:v>无</x:v>
      </x:c>
      <x:c r="V103" s="63" t="str">
        <x:v>简单因果推理</x:v>
      </x:c>
    </x:row>
    <x:row r="104">
      <x:c r="A104" s="64" t="str">
        <x:v>​2610676572127506432</x:v>
      </x:c>
      <x:c r="B104" s="65" t="str">
        <x:v>拔高题</x:v>
      </x:c>
      <x:c r="C104" s="65" t="str">
        <x:v>拔高题</x:v>
      </x:c>
      <x:c r="D104" s="65" t="str">
        <x:v>中等题|拔高题</x:v>
      </x:c>
      <x:c r="E104" s="65" t="str">
        <x:v>保留主标签；相邻双档均可</x:v>
      </x:c>
      <x:c r="F104" s="65" t="str">
        <x:v>中</x:v>
      </x:c>
      <x:c r="G104" s="65" t="str">
        <x:v>压轴题</x:v>
      </x:c>
      <x:c r="H104" s="65" t="str">
        <x:v>拔高题</x:v>
      </x:c>
      <x:c r="I104" s="65" t="str">
        <x:v>最高难任务在图表信息提取与关系反推中包含图线反推、状态转换、误差评价、几何/等效转换、方程联立或参数反求等决定性卡点，整体约5—6个有效决策；尚未形成压轴所需的完整复杂约束网络。</x:v>
      </x:c>
      <x:c r="J104" s="65" t="str">
        <x:v>三次运行错题并集逐题复核</x:v>
      </x:c>
      <x:c r="K104" s="63" t="str">
        <x:v>交管部门在某路段设置了测速仪。如图甲所示，在一次测量中，汽车向测速仪匀速驶来，测速仪向汽车发出三次短促的超声波信号，每次间隔时间相等，根据超声波信号的时间差测出车速。如图乙所示是测速仪前两次发出与接收超声波的情况，s表示超声波与测速仪之间的距离，超声波在空气中速度为340m/s。下列说法正确的是（ ）</x:v>
      </x:c>
      <x:c r="L104" s="63" t="str">
        <x:v>A. 测速仪发射超声波信号的时间间隔为1s B. 汽车第一次接收到信号时距测速仪170m C. 通过测算，汽车匀速行驶的速度为20m/s D. 在第3.9s时汽车接收到第三次超声波信号</x:v>
      </x:c>
      <x:c r="M104" s="63" t="str">
        <x:v>解： A、由图知，测速仪发射超声波信号的时间间隔为1.8s,故A错误； B、汽车收到第一次信号时，经过的时间为t1=$\frac{1s}{2}$=0.5s,距测速仪s1=v波t1=340m/s×0.5s=170m,故B正确； 由图知，汽车收到第二次信号时，经过的时间为t2=$\frac{2.6s-1.8s}{2}$=0.4s 距测速仪s2=v波t2=340m/s×0.4s=136m, C、汽车遇到两次信号距离测速仪的距离差： s=s1-s2=170m-136m=34m, 汽车两次收到信号的时间差：t=2.2s-0.5s=1.7s,汽车的速度v=$\frac{s}{t}$=$\frac{34m}{1.7s}$=20m/s,故C正确； D、汽车两次收到信号的时间差为1.7s,汽车接收到第三次超声波信号时刻为：1.7s+1.7s+0.5s=3.9s,故D正确。 本故选：BCD。</x:v>
      </x:c>
      <x:c r="N104" s="63" t="str">
        <x:v>https://k12static.xdf.cn/k12/image/externalized/f14a2dab-dd21-42b8-9bd7-31419053452a.png</x:v>
      </x:c>
      <x:c r="O104" s="63" t="str">
        <x:v>https://k12static.xdf.cn/k12/image/externalized/7bce4feb-db3e-4875-bc47-b7ca6e39d719.png</x:v>
      </x:c>
      <x:c r="P104" s="63" t="str">
        <x:v>3-5步</x:v>
      </x:c>
      <x:c r="Q104" s="63" t="str">
        <x:v>图像表格分析</x:v>
      </x:c>
      <x:c r="R104" s="63" t="str">
        <x:v>双状态</x:v>
      </x:c>
      <x:c r="S104" s="63" t="str">
        <x:v>单一约束</x:v>
      </x:c>
      <x:c r="T104" s="63" t="str">
        <x:v>无</x:v>
      </x:c>
      <x:c r="U104" s="63" t="str">
        <x:v>直接读数</x:v>
      </x:c>
      <x:c r="V104" s="63" t="str">
        <x:v>多层因果推理</x:v>
      </x:c>
    </x:row>
    <x:row r="105">
      <x:c r="A105" s="64" t="str">
        <x:v>​2624042181088010240</x:v>
      </x:c>
      <x:c r="B105" s="65" t="str">
        <x:v>中等题</x:v>
      </x:c>
      <x:c r="C105" s="65" t="str">
        <x:v>中等题</x:v>
      </x:c>
      <x:c r="D105" s="65" t="str">
        <x:v>基础题|中等题</x:v>
      </x:c>
      <x:c r="E105" s="65" t="str">
        <x:v>保留主标签；相邻双档均可</x:v>
      </x:c>
      <x:c r="F105" s="65" t="str">
        <x:v>中</x:v>
      </x:c>
      <x:c r="G105" s="65" t="str">
        <x:v>中等题</x:v>
      </x:c>
      <x:c r="H105" s="65" t="str">
        <x:v>基础题</x:v>
      </x:c>
      <x:c r="I105" s="65" t="str">
        <x:v>需要围绕力学模型、运动/受力与能量关系完成常规的3—4个有效决策，或完成一套完整标准实验/共享过程分析。关系仍显性、方法常规，没有决定性隐含转换、复杂边界筛选或多状态强耦合。</x:v>
      </x:c>
      <x:c r="J105" s="65" t="str">
        <x:v>三次运行错题并集逐题复核</x:v>
      </x:c>
      <x:c r="K105" s="63" t="str">
        <x:v>计算机的中央运算器简称CPU，决定着计算机的运算速度。使用中国自主芯片制造的“神威•太湖之光”是全球首个理论性能达到10亿亿次的超级计算机，一块5cm2左右的芯片上能集成260个运算核心，数十亿晶体管；为了安全快速地散热，超级计算机应用了高效水冷却技术。计算机爱好者更喜欢“超频”来提高CPU运算速度，方法之一是通过“跳线”来提高CPU的核心电压。如图所示为某计算机主板上的一个“跳线”装置，装置的电源电压为3V，“超频”工作时通过CPU的电流是3mA。下列说法正确的是（ ）</x:v>
      </x:c>
      <x:c r="L105" s="63" t="str">
        <x:v>A. “神威•太湖之光”超级计算机芯片的制造中使用了纳米材料 B. 超级计算机使用高效水冷技术进行散热是因为水的比热容较大 C. 图中计算机CPU超频工作时“跳线”装置应连接“1、2”接线柱 D. 图中计算机CPU正常工作时“跳线”装置的电功率小于9×10-3W</x:v>
      </x:c>
      <x:c r="M105" s="63" t="str">
        <x:v>解：A、芯片的主要材料是硅，属于半导体材料，其宽度大约是微米级别，故A错误； B、计算机使用高效水冷技术进行散热是因为水的比热容较大，相同质量、升高相同温度带走的热量更多，故B正确； C、图中计算机CPU超频工作时应该增大CPU的电压，故不能与电阻串联分压，应该直接连接“1、2”接线柱，故C正确； D、装置的电源电压为3V，“超频”工作时通过CPU的电流是3mA。CPU正常工作时电流小于3mA，“跳线”装置的与CPU串联，电压必然小于3V，因而电功率小于P=UI=3V×3×10-3A=9×10-3W，故D正确。 故选：BCD。</x:v>
      </x:c>
      <x:c r="N105" s="63" t="str">
        <x:v>https://k12static.xdf.cn/k12/image/externalized/5e600ce0-470e-44eb-aa93-7ad247221124.png</x:v>
      </x:c>
      <x:c r="O105" s="63" t="str">
        <x:v>https://k12static.xdf.cn/k12/image/externalized/013cc366-2f24-4489-b11f-6b5399d214ab.png</x:v>
      </x:c>
      <x:c r="P105" s="63" t="str">
        <x:v>1-2步</x:v>
      </x:c>
      <x:c r="Q105" s="63" t="str">
        <x:v>概念判断</x:v>
      </x:c>
      <x:c r="R105" s="63" t="str">
        <x:v>单状态</x:v>
      </x:c>
      <x:c r="S105" s="63" t="str">
        <x:v>无约束</x:v>
      </x:c>
      <x:c r="T105" s="63" t="str">
        <x:v>无</x:v>
      </x:c>
      <x:c r="U105" s="63" t="str">
        <x:v>无</x:v>
      </x:c>
      <x:c r="V105" s="63" t="str">
        <x:v>多层因果推理</x:v>
      </x:c>
    </x:row>
    <x:row r="106">
      <x:c r="A106" s="64" t="str">
        <x:v>​2627228039159844864</x:v>
      </x:c>
      <x:c r="B106" s="65" t="str">
        <x:v>送分题</x:v>
      </x:c>
      <x:c r="C106" s="65" t="str">
        <x:v>送分题</x:v>
      </x:c>
      <x:c r="D106" s="65" t="str">
        <x:v>送分题|基础题</x:v>
      </x:c>
      <x:c r="E106" s="65" t="str">
        <x:v>保留主标签；相邻双档均可</x:v>
      </x:c>
      <x:c r="F106" s="65" t="str">
        <x:v>中</x:v>
      </x:c>
      <x:c r="G106" s="65" t="str">
        <x:v>送分题</x:v>
      </x:c>
      <x:c r="H106" s="65" t="str">
        <x:v>基础题</x:v>
      </x:c>
      <x:c r="I106" s="65" t="str">
        <x:v>多个空/选项彼此独立，不形成连续链；最高难任务属于力学模型、运动/受力与能量关系中的1—2步直接应用、规范操作或简单因果判断。需要理解/应用而非纯识记，但没有共享中间结论、完整连续过程或隐含转换。</x:v>
      </x:c>
      <x:c r="J106" s="65" t="str">
        <x:v>三次运行错题并集逐题复核</x:v>
      </x:c>
      <x:c r="K106" s="63" t="str">
        <x:v>如图所示，小杜同学用与丝绸摩擦过的玻璃棒接触验电器的金属球，看到验电器的金属箔张开，在这个过程中（ ）</x:v>
      </x:c>
      <x:c r="L106" s="63" t="str">
        <x:v>A. 玻璃棒和验电器都带负电荷 B. 玻璃棒带正电荷，验电器带负电荷 C. 用丝绸摩擦过的玻璃棒产生了电荷 D. 金属箔张开是因为同种电荷相排斥</x:v>
      </x:c>
      <x:c r="M106" s="63" t="str">
        <x:v>解： 用丝绸摩擦过的玻璃棒带正电。 AB、玻璃棒带正电，当其与验电器接触时，验电器也带正电，故AB错误； C、摩擦起电是电荷的转移，不是创造了电荷，故用丝绸摩擦过的玻璃棒显正电性，是由于一部分电子转移到丝绸上的缘故，故C错误； D、据验电器的原理可知，金属箔张开是因为同种电荷相排斥，故D正确； 故选：D。</x:v>
      </x:c>
      <x:c r="N106" s="63" t="str">
        <x:v>https://k12static.xdf.cn/k12/image/externalized/be19830f-17e8-4a08-b62c-ba4167adc57f.png</x:v>
      </x:c>
      <x:c r="O106" s="63" t="str">
        <x:v>https://k12static.xdf.cn/k12/image/externalized/41c15114-43d3-4d82-9e44-c840925c52fa.png</x:v>
      </x:c>
      <x:c r="P106" s="63" t="str">
        <x:v>1-2步</x:v>
      </x:c>
      <x:c r="Q106" s="63" t="str">
        <x:v>概念判断</x:v>
      </x:c>
      <x:c r="R106" s="63" t="str">
        <x:v>单状态</x:v>
      </x:c>
      <x:c r="S106" s="63" t="str">
        <x:v>无约束</x:v>
      </x:c>
      <x:c r="T106" s="63" t="str">
        <x:v>无</x:v>
      </x:c>
      <x:c r="U106" s="63" t="str">
        <x:v>无</x:v>
      </x:c>
      <x:c r="V106" s="63" t="str">
        <x:v>简单因果推理</x:v>
      </x:c>
    </x:row>
    <x:row r="107">
      <x:c r="A107" s="64" t="str">
        <x:v>​2640096977610723328</x:v>
      </x:c>
      <x:c r="B107" s="65" t="str">
        <x:v>基础题</x:v>
      </x:c>
      <x:c r="C107" s="65" t="str">
        <x:v>基础题</x:v>
      </x:c>
      <x:c r="D107" s="65" t="str">
        <x:v>基础题|中等题</x:v>
      </x:c>
      <x:c r="E107" s="65" t="str">
        <x:v>保留主标签；相邻双档均可</x:v>
      </x:c>
      <x:c r="F107" s="65" t="str">
        <x:v>中</x:v>
      </x:c>
      <x:c r="G107" s="65" t="str">
        <x:v>基础题</x:v>
      </x:c>
      <x:c r="H107" s="65" t="str">
        <x:v>中等题</x:v>
      </x:c>
      <x:c r="I107" s="65" t="str">
        <x:v>需要围绕光路、成像条件与几何关系完成常规的3—4个有效决策，或完成一套完整标准实验/共享过程分析。关系仍显性、方法常规，没有决定性隐含转换、复杂边界筛选或多状态强耦合。</x:v>
      </x:c>
      <x:c r="J107" s="65" t="str">
        <x:v>三次运行错题并集逐题复核</x:v>
      </x:c>
      <x:c r="K107" s="63" t="str">
        <x:v>如图所示，小明找了个空的易拉罐，用钉子在易拉罐底部的中央敲一个小孔，蒙上一层塑料薄膜，制成了一个针孔照相机，将点燃的蜡烛置于小孔前的适当位置，观察并研究小孔成像的特点： （1）小孔成像的原理是 ________ ；眼睛从右侧看过去，将蜡烛靠近针孔照相机少许，蜡烛的像将 ________ （选填“变大”、“变小”或“不变”）。 （2）为了增大烛焰所成的像，可采取的办法是： ________ 。 （3）晴天太阳透过树叶缝隙形成的圆形光斑与上述原理相同，其圆形光斑大小不一的原因是 ________ 。</x:v>
      </x:c>
      <x:c r="L107" s="63" t="str"/>
      <x:c r="M107" s="63" t="str">
        <x:v>解：（1）小孔成像的原理是光的直线传播；眼睛从右侧看过去，将蜡烛靠近针孔照相机少许，蜡烛的像将变大。 （2）为了增大烛焰所成的像，可采取的办法是：将蜡烛靠近易拉罐。 （3）晴天太阳透过树叶缝隙形成的圆形光斑与上述原理相同，其圆形光斑大小不一的原因是树叶缝隙到地面的距离不同。 故答案为：（1）光的直线传播；变大；（2）将蜡烛靠近易拉罐；（3）树叶缝隙到地面的距离不同。</x:v>
      </x:c>
      <x:c r="N107" s="63" t="str">
        <x:v>https://k12static.xdf.cn/k12/image/externalized/987b7bef-37bf-46eb-9665-ccccceacc1f1.png</x:v>
      </x:c>
      <x:c r="O107" s="63" t="str">
        <x:v>https://k12static.xdf.cn/k12/image/externalized/6e30f448-9908-4e97-ad24-2409e5c91e91.png</x:v>
      </x:c>
      <x:c r="P107" s="63" t="str">
        <x:v>1-2步</x:v>
      </x:c>
      <x:c r="Q107" s="63" t="str">
        <x:v>光学声学综合</x:v>
      </x:c>
      <x:c r="R107" s="63" t="str">
        <x:v>单状态</x:v>
      </x:c>
      <x:c r="S107" s="63" t="str">
        <x:v>无约束</x:v>
      </x:c>
      <x:c r="T107" s="63" t="str">
        <x:v>无</x:v>
      </x:c>
      <x:c r="U107" s="63" t="str">
        <x:v>无</x:v>
      </x:c>
      <x:c r="V107" s="63" t="str">
        <x:v>简单因果推理</x:v>
      </x:c>
    </x:row>
    <x:row r="108">
      <x:c r="A108" s="64" t="str">
        <x:v>​2647220715282612224</x:v>
      </x:c>
      <x:c r="B108" s="65" t="str">
        <x:v>基础题</x:v>
      </x:c>
      <x:c r="C108" s="65" t="str">
        <x:v>基础题</x:v>
      </x:c>
      <x:c r="D108" s="65" t="str">
        <x:v>基础题|中等题</x:v>
      </x:c>
      <x:c r="E108" s="65" t="str">
        <x:v>保留主标签；相邻双档均可</x:v>
      </x:c>
      <x:c r="F108" s="65" t="str">
        <x:v>中</x:v>
      </x:c>
      <x:c r="G108" s="65" t="str">
        <x:v>基础题</x:v>
      </x:c>
      <x:c r="H108" s="65" t="str">
        <x:v>基础题</x:v>
      </x:c>
      <x:c r="I108" s="65" t="str">
        <x:v>最高难任务为1—2步显性应用、规范操作或简单因果，没有连续模型转换。 题目证据：保留原标。最长有效链为3-5步、题型为电路综合、含单一约束、图表要求达到“直接读数”、推理为多层因果推理，与基础题边界一致。 复核证据：教师标签与独立盲评一致；三次模型运行使用相近提示词，仅作为辅助证据，不足以推翻两者一致结论。。</x:v>
      </x:c>
      <x:c r="J108" s="65" t="str">
        <x:v>三次运行错题并集逐题复核</x:v>
      </x:c>
      <x:c r="K108" s="63" t="str">
        <x:v>如图1所示，电源是两节新干电池串联组成的电池组，当闭合开关S后，电压表的示数如图2所示，则L1两端的电压为（ ）</x:v>
      </x:c>
      <x:c r="L108" s="63" t="str">
        <x:v>A. 1V B. 2V C. 3V D. 4V</x:v>
      </x:c>
      <x:c r="M108" s="63" t="str">
        <x:v>解：由电路图可知，当闭合开关S后，两灯泡串联，电压表测L2两端的电压， 因电源是两节新干电池串联组成的电池组，其电压为3V， 所以，电压表的量程为0～3V，分度值为0.1V，则L2两端的电压U2=2V， 因串联电路中总电压等于各分电压之和， 所以，L1两端的电压U1=U-U2=3V-2V=1V。 故选：A。</x:v>
      </x:c>
      <x:c r="N108" s="63" t="str">
        <x:v>https://k12static.xdf.cn/k12/image/externalized/bcbc0ffe-9962-4b3b-9e2a-c5c1f5e23a12.png</x:v>
      </x:c>
      <x:c r="O108" s="63" t="str">
        <x:v>https://k12static.xdf.cn/k12/image/externalized/b0b25db3-ba29-4f11-b5e3-3430283c6546.png</x:v>
      </x:c>
      <x:c r="P108" s="63" t="str">
        <x:v>3-5步</x:v>
      </x:c>
      <x:c r="Q108" s="63" t="str">
        <x:v>电路综合</x:v>
      </x:c>
      <x:c r="R108" s="63" t="str">
        <x:v>单状态</x:v>
      </x:c>
      <x:c r="S108" s="63" t="str">
        <x:v>单一约束</x:v>
      </x:c>
      <x:c r="T108" s="63" t="str">
        <x:v>无</x:v>
      </x:c>
      <x:c r="U108" s="63" t="str">
        <x:v>直接读数</x:v>
      </x:c>
      <x:c r="V108" s="63" t="str">
        <x:v>多层因果推理</x:v>
      </x:c>
    </x:row>
    <x:row r="109">
      <x:c r="A109" s="64" t="str">
        <x:v>​2680358799504175104</x:v>
      </x:c>
      <x:c r="B109" s="65" t="str">
        <x:v>送分题</x:v>
      </x:c>
      <x:c r="C109" s="65" t="str">
        <x:v>送分题</x:v>
      </x:c>
      <x:c r="D109" s="65" t="str">
        <x:v>送分题|基础题</x:v>
      </x:c>
      <x:c r="E109" s="65" t="str">
        <x:v>保留主标签；相邻双档均可</x:v>
      </x:c>
      <x:c r="F109" s="65" t="str">
        <x:v>中</x:v>
      </x:c>
      <x:c r="G109" s="65" t="str">
        <x:v>送分题</x:v>
      </x:c>
      <x:c r="H109" s="65" t="str">
        <x:v>基础题</x:v>
      </x:c>
      <x:c r="I109" s="65" t="str">
        <x:v>多个空/选项彼此独立，不形成连续链；最高难任务属于教材概念与常规物理关系中的1—2步直接应用、规范操作或简单因果判断。需要理解/应用而非纯识记，但没有共享中间结论、完整连续过程或隐含转换。</x:v>
      </x:c>
      <x:c r="J109" s="65" t="str">
        <x:v>三次运行错题并集逐题复核</x:v>
      </x:c>
      <x:c r="K109" s="63" t="str">
        <x:v>关于磁场方向的下列说法错误的是（ ）</x:v>
      </x:c>
      <x:c r="L109" s="63" t="str">
        <x:v>A. 小磁针静止时北极所指的方向为该点的磁场方向 B. 小磁针静止时它的北极所受磁场力的方向为该点的磁场方向 C. 通电导线在磁场中所受磁场力的方向为该处的磁场方向 D. 地球周围存在的地磁场的方向总是指向北方</x:v>
      </x:c>
      <x:c r="M109" s="63" t="str">
        <x:v>解：AB、由磁场方向的规定可知，小磁针静止时北极所指的方向为该点的磁场方向，磁场力的方向与磁场方向一致，故AB正确； C、通电导线在磁场中所受磁场力的方向是变化的，与磁场的方向有关，但其受力方向并不是磁场方向，故C错误； D、地磁场的两极与地理两极相反，故地球周围存在的地磁场的方向总是指向北方（即地磁的南极），故D正确。 故选：C。</x:v>
      </x:c>
      <x:c r="N109" s="63" t="str">
        <x:v>https://k12static.xdf.cn/k12/image/externalized/87f4db42-030f-485f-82b8-11bc7c1aae32.png</x:v>
      </x:c>
      <x:c r="O109" s="63" t="str">
        <x:v>https://k12static.xdf.cn/k12/image/externalized/8d22de4f-74d5-462b-a484-607d06cf2965.png</x:v>
      </x:c>
      <x:c r="P109" s="63" t="str">
        <x:v>1-2步</x:v>
      </x:c>
      <x:c r="Q109" s="63" t="str">
        <x:v>概念判断</x:v>
      </x:c>
      <x:c r="R109" s="63" t="str">
        <x:v>单状态</x:v>
      </x:c>
      <x:c r="S109" s="63" t="str">
        <x:v>无约束</x:v>
      </x:c>
      <x:c r="T109" s="63" t="str">
        <x:v>无</x:v>
      </x:c>
      <x:c r="U109" s="63" t="str">
        <x:v>无</x:v>
      </x:c>
      <x:c r="V109" s="63" t="str">
        <x:v>直接套用</x:v>
      </x:c>
    </x:row>
    <x:row r="110">
      <x:c r="A110" s="64" t="str">
        <x:v>​2699496286111698944</x:v>
      </x:c>
      <x:c r="B110" s="65" t="str">
        <x:v>基础题</x:v>
      </x:c>
      <x:c r="C110" s="65" t="str">
        <x:v>基础题</x:v>
      </x:c>
      <x:c r="D110" s="65" t="str">
        <x:v>送分题|基础题</x:v>
      </x:c>
      <x:c r="E110" s="65" t="str">
        <x:v>保留主标签；相邻双档均可</x:v>
      </x:c>
      <x:c r="F110" s="65" t="str">
        <x:v>中</x:v>
      </x:c>
      <x:c r="G110" s="65" t="str">
        <x:v>送分题</x:v>
      </x:c>
      <x:c r="H110" s="65" t="str">
        <x:v>中等题</x:v>
      </x:c>
      <x:c r="I110" s="65" t="str">
        <x:v>最高难任务为1—2步显性应用、规范操作或简单因果，没有连续模型转换。 题目证据：最高难选项的实际有效物理决策约1-2步，四个选项均为独立的常识量级估测，每个选项只需估算验证一个物理量，没有多步连续关联。每个选项的估算均只需要将物理量代入单个公式简单计算，不存在模型重构或多过程分析。</x:v>
      </x:c>
      <x:c r="J110" s="65" t="str">
        <x:v>三次运行错题并集逐题复核</x:v>
      </x:c>
      <x:c r="K110" s="63" t="str">
        <x:v>下列数据最符合实际的是（ ）</x:v>
      </x:c>
      <x:c r="L110" s="63" t="str">
        <x:v>A. 日光灯正常工作时，电流约为1.5A B. 教室里空气的质量约为260g C. 人双脚站立在水平地面上时对地面的压强约为1.2×105Pa D. 一位普通中学生的体积约为0.05m3</x:v>
      </x:c>
      <x:c r="M110" s="63" t="str">
        <x:v>解：A.日光灯正常工作时，电流约为0.2A，故A不符合实际； B.一间空教室的体积约为V=10m×8m×3m=240m3，一间空教室的空气质量约为m=ρV=1.29kg/m3×240m3≈300kg,故B不符合实际； C.一个中学生对地面的压力约500N，双脚与地面的接触面积约400cm2=0.04m2，双脚站立时对地面的压强约为p=$\frac{F}{S}$=$\frac{500N}{0.04{m}^{2}}$=1.25×104Pa,故C不符合实际； D.一位普通中学生的质量约为50kg,人的密度与水的密度接近，约为1.0×103kg/m3，中学生的体积V=$\frac{m}{ρ}$=$\frac{50kg}{1.0×1{0}^{3}\;kg/{m}^{3}}$=0.05m3，故D符合实际。 故选：D。</x:v>
      </x:c>
      <x:c r="N110" s="63" t="str">
        <x:v>https://k12static.xdf.cn/k12/image/externalized/5894b875-f5ab-4eaa-bcbd-7bf43349659d.png</x:v>
      </x:c>
      <x:c r="O110" s="63" t="str">
        <x:v>https://k12static.xdf.cn/k12/image/externalized/111bc564-a687-450a-a119-e33bb732cc92.png</x:v>
      </x:c>
      <x:c r="P110" s="63" t="str">
        <x:v>1-2步</x:v>
      </x:c>
      <x:c r="Q110" s="63" t="str">
        <x:v>概念判断</x:v>
      </x:c>
      <x:c r="R110" s="63" t="str">
        <x:v>单状态</x:v>
      </x:c>
      <x:c r="S110" s="63" t="str">
        <x:v>无约束</x:v>
      </x:c>
      <x:c r="T110" s="63" t="str">
        <x:v>无</x:v>
      </x:c>
      <x:c r="U110" s="63" t="str">
        <x:v>无</x:v>
      </x:c>
      <x:c r="V110" s="63" t="str">
        <x:v>简单因果推理</x:v>
      </x:c>
    </x:row>
    <x:row r="111">
      <x:c r="A111" s="64" t="str">
        <x:v>​2718075184401453056</x:v>
      </x:c>
      <x:c r="B111" s="65" t="str">
        <x:v>中等题</x:v>
      </x:c>
      <x:c r="C111" s="65" t="str">
        <x:v>中等题</x:v>
      </x:c>
      <x:c r="D111" s="65" t="str">
        <x:v>中等题|拔高题</x:v>
      </x:c>
      <x:c r="E111" s="65" t="str">
        <x:v>保留主标签；相邻双档均可</x:v>
      </x:c>
      <x:c r="F111" s="65" t="str">
        <x:v>中</x:v>
      </x:c>
      <x:c r="G111" s="65" t="str">
        <x:v>拔高题</x:v>
      </x:c>
      <x:c r="H111" s="65" t="str">
        <x:v>压轴题</x:v>
      </x:c>
      <x:c r="I111" s="65" t="str">
        <x:v>最高难任务在标准实验流程、读数与数据归纳中包含图线反推、状态转换、误差评价、几何/等效转换、方程联立或参数反求等决定性卡点，整体约5—6个有效决策；尚未形成压轴所需的完整复杂约束网络。</x:v>
      </x:c>
      <x:c r="J111" s="65" t="str">
        <x:v>三次运行错题并集逐题复核</x:v>
      </x:c>
      <x:c r="K111" s="63" t="str">
        <x:v>小华在课外探究弹簧的伸长量与拉力F的关系，记录了实验数据，并根据数据得出了如图甲所示的图像（L为弹簧长度）。</x:v>
      </x:c>
      <x:c r="L111" s="63" t="str"/>
      <x:c r="M111" s="63" t="str"/>
      <x:c r="N111" s="63" t="str">
        <x:v>https://k12static.xdf.cn/k12/image/externalized/5f6d709b-1654-4c8f-8b9d-f9c53dce54bc.png</x:v>
      </x:c>
      <x:c r="O111" s="63" t="str">
        <x:v>https://k12static.xdf.cn/k12/image/externalized/ad979158-fe37-40eb-93ca-302a3747c209.png</x:v>
      </x:c>
      <x:c r="P111" s="63" t="str">
        <x:v>3-5步</x:v>
      </x:c>
      <x:c r="Q111" s="63" t="str">
        <x:v>实验探究</x:v>
      </x:c>
      <x:c r="R111" s="63" t="str">
        <x:v>双状态</x:v>
      </x:c>
      <x:c r="S111" s="63" t="str">
        <x:v>单一约束</x:v>
      </x:c>
      <x:c r="T111" s="63" t="str">
        <x:v>控制变量或故障分析</x:v>
      </x:c>
      <x:c r="U111" s="63" t="str">
        <x:v>多组比较归纳</x:v>
      </x:c>
      <x:c r="V111" s="63" t="str">
        <x:v>多层因果推理</x:v>
      </x:c>
    </x:row>
    <x:row r="112">
      <x:c r="A112" s="64" t="str">
        <x:v>​2722490747940614144</x:v>
      </x:c>
      <x:c r="B112" s="65" t="str">
        <x:v>基础题</x:v>
      </x:c>
      <x:c r="C112" s="65" t="str">
        <x:v>基础题</x:v>
      </x:c>
      <x:c r="D112" s="65" t="str">
        <x:v>基础题|中等题</x:v>
      </x:c>
      <x:c r="E112" s="65" t="str">
        <x:v>保留主标签；相邻双档均可</x:v>
      </x:c>
      <x:c r="F112" s="65" t="str">
        <x:v>中</x:v>
      </x:c>
      <x:c r="G112" s="65" t="str">
        <x:v>基础题</x:v>
      </x:c>
      <x:c r="H112" s="65" t="str">
        <x:v>基础题</x:v>
      </x:c>
      <x:c r="I112" s="65" t="str">
        <x:v>最高难任务为1—2步显性应用、规范操作或简单因果，没有连续模型转换。 题目证据：最高难选项实际有效推理约1步，五维中知识量为2-3个关联的实验知识点，过程/对象为单对象单状态，数学工具无运算，情境为教材标准实验，思维层次属于简单应用。任务围绕平面镜成像实验的器材选择、操作要求和成像特点进行逐一判断，四个选项分别对应实验不同环节，覆盖器材、操作、规律、成像性质四个要点。</x:v>
      </x:c>
      <x:c r="J112" s="65" t="str">
        <x:v>三次运行错题并集逐题复核</x:v>
      </x:c>
      <x:c r="K112" s="63" t="str">
        <x:v>如图是探究平面镜成像特点的实验装置，a为玻璃板，b和c是两支完全相同的蜡烛，下列说法错误的是（ ）</x:v>
      </x:c>
      <x:c r="L112" s="63" t="str">
        <x:v>A. 为了保证实验效果应选择茶色玻璃板 B. 实验时玻璃板a应与水平桌面垂直放置 C. 把蜡烛远离平面镜时，它的像也会远离平面镜 D. 把光屏置于玻璃板后侧，能看到光屏上有蜡烛b的像</x:v>
      </x:c>
      <x:c r="M112" s="63" t="str">
        <x:v>解：A．无色玻璃透光性较强，反射能力差，反射成的像不清晰；茶色玻璃透光性较差，反射的光线较多，反射成的像较清晰，所以选用茶色玻璃板进行实验，能更清晰的观察玻璃板的另一侧的像，故A正确； B．实验中玻璃板如果不垂直于桌面，前面的蜡烛成的像偏高或偏低，后面的蜡烛无法与前面蜡烛的像完全重合，所以实验时玻璃板a应与水平桌面垂直放置，故B正确； C．由平面镜成像特点可知，物和像关于平面镜对称，像与物到镜面的距离相等，所以把蜡烛远离平面镜时，它的像也会远离平面镜，故C正确； D．平面镜成的像是虚像，不是由真实光线会聚形成的，不能被光屏承接，所以，把光屏置于玻璃板后侧，不能看到光屏上有蜡烛b的像，故D错误。 故选：D。</x:v>
      </x:c>
      <x:c r="N112" s="63" t="str">
        <x:v>https://k12static.xdf.cn/k12/image/externalized/130028f5-07c4-459f-a21e-f245769232ce.png</x:v>
      </x:c>
      <x:c r="O112" s="63" t="str">
        <x:v>https://k12static.xdf.cn/k12/image/externalized/e949cf76-ef31-4abf-9feb-6acac0f7446f.png</x:v>
      </x:c>
      <x:c r="P112" s="63" t="str">
        <x:v>1-2步</x:v>
      </x:c>
      <x:c r="Q112" s="63" t="str">
        <x:v>概念判断</x:v>
      </x:c>
      <x:c r="R112" s="63" t="str">
        <x:v>单状态</x:v>
      </x:c>
      <x:c r="S112" s="63" t="str">
        <x:v>无约束</x:v>
      </x:c>
      <x:c r="T112" s="63" t="str">
        <x:v>控制变量或故障分析</x:v>
      </x:c>
      <x:c r="U112" s="63" t="str">
        <x:v>无</x:v>
      </x:c>
      <x:c r="V112" s="63" t="str">
        <x:v>简单因果推理</x:v>
      </x:c>
    </x:row>
    <x:row r="113">
      <x:c r="A113" s="64" t="str">
        <x:v>​2735458921792704512</x:v>
      </x:c>
      <x:c r="B113" s="65" t="str">
        <x:v>送分题</x:v>
      </x:c>
      <x:c r="C113" s="65" t="str">
        <x:v>送分题</x:v>
      </x:c>
      <x:c r="D113" s="65" t="str">
        <x:v>送分题|基础题</x:v>
      </x:c>
      <x:c r="E113" s="65" t="str">
        <x:v>保留主标签；相邻双档均可</x:v>
      </x:c>
      <x:c r="F113" s="65" t="str">
        <x:v>中</x:v>
      </x:c>
      <x:c r="G113" s="65" t="str">
        <x:v>送分题</x:v>
      </x:c>
      <x:c r="H113" s="65" t="str">
        <x:v>基础题</x:v>
      </x:c>
      <x:c r="I113" s="65" t="str">
        <x:v>只需识别一个熟悉教材模板，没有第二次物理决策。 题目证据：保留原标。最长有效链为1-2步、题型为概念判断、推理为简单因果推理，与送分题边界一致。 复核证据：独立盲评与三次模型中有4/4支持基础题；题目仅调用一个唯一熟悉模板，教师送分可接受。</x:v>
      </x:c>
      <x:c r="J113" s="65" t="str">
        <x:v>三次运行错题并集逐题复核</x:v>
      </x:c>
      <x:c r="K113" s="63" t="str">
        <x:v>公元前2世纪，西汉淮南王刘安的《淮南万毕术》就有光学、力学、声学、磁学、热学方面的内容，其中记载冰透镜“削冰令圆，举以向日，以艾承其影，则火生”，其描述的现象如图所示，下列说法错误的是（ ）</x:v>
      </x:c>
      <x:c r="L113" s="63" t="str">
        <x:v>A. 这是光的反射现象 B. 冰透镜对光有会聚作用 C. “举以向日”指的是冰透镜正对太阳光 D. “以艾承其影”中的“影”指冰透镜的焦点</x:v>
      </x:c>
      <x:c r="M113" s="63" t="str">
        <x:v>解：古人将冰磨成一种冰透镜，该透镜中间厚、边缘薄，属于凸透镜，凸透镜对光线具有会聚作用，能使光线发生折射；冰透镜正对太阳光，能使太阳光会聚焦点，从而能点燃艾草取火，故A错误、BCD正确。 故选：A。</x:v>
      </x:c>
      <x:c r="N113" s="63" t="str">
        <x:v>https://k12static.xdf.cn/k12/image/externalized/8d5ee2d4-4f2a-437c-9a1e-a400cbd8e5ce.png</x:v>
      </x:c>
      <x:c r="O113" s="63" t="str">
        <x:v>https://k12static.xdf.cn/k12/image/externalized/813519aa-fc57-474c-8922-1365aa75f7e2.png</x:v>
      </x:c>
      <x:c r="P113" s="63" t="str">
        <x:v>1-2步</x:v>
      </x:c>
      <x:c r="Q113" s="63" t="str">
        <x:v>概念判断</x:v>
      </x:c>
      <x:c r="R113" s="63" t="str">
        <x:v>单状态</x:v>
      </x:c>
      <x:c r="S113" s="63" t="str">
        <x:v>无约束</x:v>
      </x:c>
      <x:c r="T113" s="63" t="str">
        <x:v>无</x:v>
      </x:c>
      <x:c r="U113" s="63" t="str">
        <x:v>无</x:v>
      </x:c>
      <x:c r="V113" s="63" t="str">
        <x:v>简单因果推理</x:v>
      </x:c>
    </x:row>
    <x:row r="114">
      <x:c r="A114" s="64" t="str">
        <x:v>​2754371965440008192</x:v>
      </x:c>
      <x:c r="B114" s="65" t="str">
        <x:v>送分题</x:v>
      </x:c>
      <x:c r="C114" s="65" t="str">
        <x:v>送分题</x:v>
      </x:c>
      <x:c r="D114" s="65" t="str">
        <x:v>送分题|基础题</x:v>
      </x:c>
      <x:c r="E114" s="65" t="str">
        <x:v>保留主标签；相邻双档均可</x:v>
      </x:c>
      <x:c r="F114" s="65" t="str">
        <x:v>中</x:v>
      </x:c>
      <x:c r="G114" s="65" t="str">
        <x:v>送分题</x:v>
      </x:c>
      <x:c r="H114" s="65" t="str">
        <x:v>基础题</x:v>
      </x:c>
      <x:c r="I114" s="65" t="str">
        <x:v>多个空/选项彼此独立，不形成连续链；最高难任务属于教材概念与常规物理关系中的1—2步直接应用、规范操作或简单因果判断。需要理解/应用而非纯识记，但没有共享中间结论、完整连续过程或隐含转换。</x:v>
      </x:c>
      <x:c r="J114" s="65" t="str">
        <x:v>三次运行错题并集逐题复核</x:v>
      </x:c>
      <x:c r="K114" s="63" t="str">
        <x:v>如图所示是我国早期的指南针——司南，它是把天然磁石磨成勺子的形状，放在水平光滑的“地盘”上制成的．东汉学者王充在《论衡》中记载：“司南之杓，投之于地，其柢指南”，“柢”指的是司南长柄，下列说中正确的是</x:v>
      </x:c>
      <x:c r="L114" s="63" t="str">
        <x:v>A. 司南指南北是由于它受到地磁场的作用 B. 司南长柄指的是地磁场的北极 C. 地磁场的南极在地球地理的南极附近 D. 司南长柄一端是磁石的北极</x:v>
      </x:c>
      <x:c r="M114" s="63" t="str">
        <x:v>地球本身是一个大磁体，地磁南（S）极在地理北极附近，地磁北（N）极在地理南极附近。司南是用天然磁石磨制成的勺子，其实质就是一块磁铁，在地球的磁场中受到磁力的作用，静止时长柄指向南方（指向地理南极），则司南长柄是磁石的南极；地理上的南极是在地磁场的北极附近，即司南长柄指的是地磁场的北极，故AB正确，CD错误。故选AB。</x:v>
      </x:c>
      <x:c r="N114" s="63" t="str">
        <x:v>https://k12static.xdf.cn/k12/image/externalized/613823ea-537b-4063-8a43-3a86a7701b14.png</x:v>
      </x:c>
      <x:c r="O114" s="63" t="str">
        <x:v>https://k12static.xdf.cn/k12/image/externalized/50e4090f-b8fe-4b29-9810-2b849f19198c.png</x:v>
      </x:c>
      <x:c r="P114" s="63" t="str">
        <x:v>1-2步</x:v>
      </x:c>
      <x:c r="Q114" s="63" t="str">
        <x:v>概念判断</x:v>
      </x:c>
      <x:c r="R114" s="63" t="str">
        <x:v>单状态</x:v>
      </x:c>
      <x:c r="S114" s="63" t="str">
        <x:v>无约束</x:v>
      </x:c>
      <x:c r="T114" s="63" t="str">
        <x:v>无</x:v>
      </x:c>
      <x:c r="U114" s="63" t="str">
        <x:v>无</x:v>
      </x:c>
      <x:c r="V114" s="63" t="str">
        <x:v>简单因果推理</x:v>
      </x:c>
    </x:row>
    <x:row r="115">
      <x:c r="A115" s="64" t="str">
        <x:v>​2761376339568472064</x:v>
      </x:c>
      <x:c r="B115" s="65" t="str">
        <x:v>拔高题</x:v>
      </x:c>
      <x:c r="C115" s="65" t="str">
        <x:v>拔高题</x:v>
      </x:c>
      <x:c r="D115" s="65" t="str">
        <x:v>中等题|拔高题</x:v>
      </x:c>
      <x:c r="E115" s="65" t="str">
        <x:v>保留主标签；相邻双档均可</x:v>
      </x:c>
      <x:c r="F115" s="65" t="str">
        <x:v>中</x:v>
      </x:c>
      <x:c r="G115" s="65" t="str">
        <x:v>压轴题</x:v>
      </x:c>
      <x:c r="H115" s="65" t="str">
        <x:v>拔高题</x:v>
      </x:c>
      <x:c r="I115" s="65" t="str">
        <x:v>最高难任务在电路状态、图线/参数与安全约束中包含图线反推、状态转换、误差评价、几何/等效转换、方程联立或参数反求等决定性卡点，整体约5—6个有效决策；尚未形成压轴所需的完整复杂约束网络。</x:v>
      </x:c>
      <x:c r="J115" s="65" t="str">
        <x:v>三次运行错题并集逐题复核</x:v>
      </x:c>
      <x:c r="K115" s="63" t="str">
        <x:v>如图所示的电路中，电源电压和灯泡的电阻均不变，当开关S2、S3断开，开关S1闭合时，电压表的示数为12V、电流表的示数为1.5A，灯泡L1正常发光；当开关S1、S3闭合，开关S2断开时，灯泡L2正常发光；当只闭合开关S2时，灯泡L2的实际功率为额定功率的$\dfrac{1}{4}$，灯泡L1与L2的功率之比为2∶1。下列说法正确的是（ ）</x:v>
      </x:c>
      <x:c r="L115" s="63" t="str">
        <x:v>A. 电源电压为12V B. 当开关S1、S2闭合、开关S3断开时，灯泡L2较亮 C. 灯泡L2的额定功率为12W D. 灯泡L1与L2的电阻之比为2∶3</x:v>
      </x:c>
      <x:c r="M115" s="63" t="str">
        <x:v>A．由图知道，当开关S2、S3断开，开关S1闭合时，是L1的简单电路，电压表测量电源电压，由于此时电压表的示数为12V，电流表的示数为1.5A，所以，电源电压是12V，由欧姆定律知道，灯泡L1的电阻$R_{1}=\dfrac{U}{I_{1}}=\dfrac{12\mathrm{V}}{1.5\mathrm{A}}=8\Omega$故A正确；B．当开关S1、S2闭合、开关S3断开时，灯泡L2与L3被短路，是灯泡L1的简单电路，故B错误；D．当只闭合开关S2时，三个灯泡串联，通过的电流相等，由于灯泡L1与L2的功率之比为2∶1，由$P=I^{2}R$知道$\dfrac{P_{{L_{1}}}}{P_{{L_{2}}}}=\dfrac{I^{2}R_{1}}{I^{2}R_{2}}=\dfrac{R_{1}}{R_{2}}=\dfrac{2}{1}$即$R_{2}=\dfrac{1}{2}R_{1}=\dfrac{1}{2}\times 8\Omega =4\Omega$故D错误；C．当开关S1、S3闭合，开关S2断开时，是灯泡L1与L2并联的电路，灯泡L1与L2的额定电压相等，都是12V，又因为$R_{2}=4\Omega$，由$P=\dfrac{U^{2}}{R}$知道，灯泡L2的额定功率为$P_{2\mathrm{额}}=\dfrac{U_{\mathrm{额}}^{2}}{R_{2}}=\dfrac{\left(12\mathrm{V}\right)^{2}}{4\Omega }=36\mathrm{W}$故C错误。故选A。</x:v>
      </x:c>
      <x:c r="N115" s="63" t="str">
        <x:v>https://k12static.xdf.cn/k12/image/externalized/215354ab-0227-4277-98d2-4ac721ffa3bd.png</x:v>
      </x:c>
      <x:c r="O115" s="63" t="str">
        <x:v>https://k12static.xdf.cn/k12/image/externalized/726f8b18-3562-4960-94f7-e4e2a22099c0.png</x:v>
      </x:c>
      <x:c r="P115" s="63" t="str">
        <x:v>3-5步</x:v>
      </x:c>
      <x:c r="Q115" s="63" t="str">
        <x:v>电路综合</x:v>
      </x:c>
      <x:c r="R115" s="63" t="str">
        <x:v>多状态</x:v>
      </x:c>
      <x:c r="S115" s="63" t="str">
        <x:v>单一约束</x:v>
      </x:c>
      <x:c r="T115" s="63" t="str">
        <x:v>无</x:v>
      </x:c>
      <x:c r="U115" s="63" t="str">
        <x:v>无</x:v>
      </x:c>
      <x:c r="V115" s="63" t="str">
        <x:v>多层因果推理</x:v>
      </x:c>
    </x:row>
    <x:row r="116">
      <x:c r="A116" s="64" t="str">
        <x:v>​2762151814819495936</x:v>
      </x:c>
      <x:c r="B116" s="65" t="str">
        <x:v>基础题</x:v>
      </x:c>
      <x:c r="C116" s="65" t="str">
        <x:v>基础题</x:v>
      </x:c>
      <x:c r="D116" s="65" t="str">
        <x:v>基础题|中等题</x:v>
      </x:c>
      <x:c r="E116" s="65" t="str">
        <x:v>保留主标签；相邻双档均可</x:v>
      </x:c>
      <x:c r="F116" s="65" t="str">
        <x:v>中</x:v>
      </x:c>
      <x:c r="G116" s="65" t="str">
        <x:v>送分题</x:v>
      </x:c>
      <x:c r="H116" s="65" t="str">
        <x:v>基础题</x:v>
      </x:c>
      <x:c r="I116" s="65" t="str">
        <x:v>需要围绕电路状态、图线/参数与安全约束完成常规的3—4个有效决策，或完成一套完整标准实验/共享过程分析。关系仍显性、方法常规，没有决定性隐含转换、复杂边界筛选或多状态强耦合。</x:v>
      </x:c>
      <x:c r="J116" s="65" t="str">
        <x:v>三次运行错题并集逐题复核</x:v>
      </x:c>
      <x:c r="K116" s="63" t="str">
        <x:v>如图是四位同学设计的用伏安法测电阻R的电路图，其中正确的是（ ）</x:v>
      </x:c>
      <x:c r="L116" s="63" t="str"/>
      <x:c r="M116" s="63" t="str">
        <x:v>解：A、由电路图知：电流表与电阻并联，电压表串联在电路中，电路连接错误，不能测出电阻R的阻值，故A错误； B、由电路图知，当滑片滑到最左端时，变阻器接入电路的阻值为0，此时可以测出电阻R的一组电流和电压值，从而得出电阻R的阻值，但此电路的缺点是不能进行多次测量，不能通过取平均值来减小测量误差，所以该方案不妥，故B错误； C、由电路图知，电压表测待测电阻两端的电压，电流表测流过待测电阻的电流，且移动变阻器的滑片可以测出多组电流和电压值，所以利用该电路图可以准确测出电阻R的阻值，故C正确； D、电流表测待测电阻与滑动变阻器的电流之和，用该电路图测不出流过待测电阻的电流， 由该电路图测不出电阻R的阻值，故D错误； 故选：C。</x:v>
      </x:c>
      <x:c r="N116" s="63" t="str">
        <x:v>https://k12static.xdf.cn/k12/image/externalized/18dde4b9-c96a-4db7-981e-7e53c3de0e23.png</x:v>
      </x:c>
      <x:c r="O116" s="63" t="str">
        <x:v>https://k12static.xdf.cn/k12/image/externalized/7a3b7c02-c50a-4893-9ee1-5ae92d9cb9e1.png</x:v>
      </x:c>
      <x:c r="P116" s="63" t="str">
        <x:v>1-2步</x:v>
      </x:c>
      <x:c r="Q116" s="63" t="str">
        <x:v>概念判断</x:v>
      </x:c>
      <x:c r="R116" s="63" t="str">
        <x:v>单状态</x:v>
      </x:c>
      <x:c r="S116" s="63" t="str">
        <x:v>无约束</x:v>
      </x:c>
      <x:c r="T116" s="63" t="str">
        <x:v>控制变量或故障分析</x:v>
      </x:c>
      <x:c r="U116" s="63" t="str">
        <x:v>无</x:v>
      </x:c>
      <x:c r="V116" s="63" t="str">
        <x:v>简单因果推理</x:v>
      </x:c>
    </x:row>
    <x:row r="117">
      <x:c r="A117" s="64" t="str">
        <x:v>​2778948880701603840</x:v>
      </x:c>
      <x:c r="B117" s="65" t="str">
        <x:v>拔高题</x:v>
      </x:c>
      <x:c r="C117" s="65" t="str">
        <x:v>拔高题</x:v>
      </x:c>
      <x:c r="D117" s="65" t="str">
        <x:v>中等题|拔高题</x:v>
      </x:c>
      <x:c r="E117" s="65" t="str">
        <x:v>保留主标签；相邻双档均可</x:v>
      </x:c>
      <x:c r="F117" s="65" t="str">
        <x:v>中</x:v>
      </x:c>
      <x:c r="G117" s="65" t="str">
        <x:v>中等题</x:v>
      </x:c>
      <x:c r="H117" s="65" t="str">
        <x:v>拔高题</x:v>
      </x:c>
      <x:c r="I117" s="65" t="str">
        <x:v>最高难任务在标准实验流程、读数与数据归纳中包含图线反推、状态转换、误差评价、几何/等效转换、方程联立或参数反求等决定性卡点，整体约5—6个有效决策；尚未形成压轴所需的完整复杂约束网络。</x:v>
      </x:c>
      <x:c r="J117" s="65" t="str">
        <x:v>三次运行错题并集逐题复核</x:v>
      </x:c>
      <x:c r="K117" s="63" t="str">
        <x:v>小明用如图所示装置将一细光束从水中斜射到空气中，用于探究“光的折射规律”实验测得的数据如表。 入射角/° 0 10 20 30 40 48.6 50 折射角/° 0 13.4 27.0 41.7 58.7 90 （1）当入射角为0°时，折射角大小为0°，说明当光从水中垂直射入空气中时，传播方向 。 （2）分析实验数据可知：入射角增大时，折射角 （填“增大”或“减小”），且折射角 （填“大于”、“小于”或“等于”）入射角。 （3）当入射角为48.6°，折射角大小为90°，若再增大入射角，则折射光线消失，只发生反射，这种现象称为全反射，所以当入射角为50°时会发生 现象。 （4）若光线从空气斜射入水中，入射角为58.7°，则折射角大小为 ，这是因为在光的折射现象中，光路都具有 性。增大入射角，观察折射角的变化，我们发现 （选填“会”或“不会”）发生全反射现象。</x:v>
      </x:c>
      <x:c r="L117" s="63" t="str"/>
      <x:c r="M117" s="63" t="str">
        <x:v>解：（1）当入射角为0°时，折射角大小为0°，说明当光从水中垂直射入空气中时，传播方向不改变； （2）分析实验数据可知：入射角增大时，折射角增大，且折射角大于入射角； （3）当入射角为48.6°，折射角大小为90°，若再增大入射角，则折射光线消失，只发生反射，这种现象称为全反射，所以当入射角为50°会发生全反射现象； （4）光线从水中斜射入空气中时，入射角为40°时，折射角为58.7°，根据光路的可逆性可知，若光线从空气斜射入水中，入射角为58.7°，则折射角大小为40°。此过程中，折射角小于入射角，增大入射角，观察折射角的变化，我们发现不会发生全反射现象。 故答案为：（1）不改变；（2）增大；大于；（3）全反射；（4）40°；可逆；不会。</x:v>
      </x:c>
      <x:c r="N117" s="63" t="str">
        <x:v>https://k12static.xdf.cn/k12/image/externalized/4ca5f9d6-013b-4611-9b80-e04ae14d1389.png</x:v>
      </x:c>
      <x:c r="O117" s="63" t="str">
        <x:v>https://k12static.xdf.cn/k12/image/externalized/e032c094-2173-4a44-9034-52fdda22b837.png</x:v>
      </x:c>
      <x:c r="P117" s="63" t="str">
        <x:v>1-2步</x:v>
      </x:c>
      <x:c r="Q117" s="63" t="str">
        <x:v>实验探究</x:v>
      </x:c>
      <x:c r="R117" s="63" t="str">
        <x:v>单状态</x:v>
      </x:c>
      <x:c r="S117" s="63" t="str">
        <x:v>无约束</x:v>
      </x:c>
      <x:c r="T117" s="63" t="str">
        <x:v>控制变量或故障分析</x:v>
      </x:c>
      <x:c r="U117" s="63" t="str">
        <x:v>多组比较归纳</x:v>
      </x:c>
      <x:c r="V117" s="63" t="str">
        <x:v>多层因果推理</x:v>
      </x:c>
    </x:row>
    <x:row r="118">
      <x:c r="A118" s="64" t="str">
        <x:v>​2781852176509063168</x:v>
      </x:c>
      <x:c r="B118" s="65" t="str">
        <x:v>基础题</x:v>
      </x:c>
      <x:c r="C118" s="65" t="str">
        <x:v>基础题</x:v>
      </x:c>
      <x:c r="D118" s="65" t="str">
        <x:v>送分题|基础题</x:v>
      </x:c>
      <x:c r="E118" s="65" t="str">
        <x:v>保留主标签；相邻双档均可</x:v>
      </x:c>
      <x:c r="F118" s="65" t="str">
        <x:v>中</x:v>
      </x:c>
      <x:c r="G118" s="65" t="str">
        <x:v>基础题</x:v>
      </x:c>
      <x:c r="H118" s="65" t="str">
        <x:v>基础题</x:v>
      </x:c>
      <x:c r="I118" s="65" t="str">
        <x:v>最高难任务为1—2步显性应用、规范操作或简单因果，没有连续模型转换。 题目证据：最长连续链实际有效物理决策为1步：识别倒影属于光的反射现象，判断光路方向是否符合反射规律。五维锚定知识量为单一基础知识点，过程/对象为单状态，无数学计算，情境为熟悉的生活场景，思维层次为简单应用，属于基础题范畴。核心任务是将倒影现象对应到光的反射模型，判断光路方向。</x:v>
      </x:c>
      <x:c r="J118" s="65" t="str">
        <x:v>三次运行错题并集逐题复核</x:v>
      </x:c>
      <x:c r="K118" s="63" t="str">
        <x:v>如图所示，“七桥风月”是济南大明湖扩建后的新八景之一，由鹊华、芙蓉、水西、湖西、北池、百花、秋柳七座景观桥构成。以下能正确反映人看见桥的倒影上M点的光路图是（ ）</x:v>
      </x:c>
      <x:c r="L118" s="63" t="str"/>
      <x:c r="M118" s="63" t="str">
        <x:v>解：桥的倒影是桥反射的光线斜射到水面时再次发生反射，反射光线射入人的眼睛，人逆着光线看到的桥上的M点在水中的虚像，故只有A图符合题意。 故选：A。</x:v>
      </x:c>
      <x:c r="N118" s="63" t="str">
        <x:v>https://k12static.xdf.cn/k12/image/externalized/8a03f45e-7ded-4c64-bb69-70943d6b94fd.png</x:v>
      </x:c>
      <x:c r="O118" s="63" t="str">
        <x:v>https://k12static.xdf.cn/k12/image/externalized/81615a44-e4a8-4814-b511-058496fa4193.png</x:v>
      </x:c>
      <x:c r="P118" s="63" t="str">
        <x:v>1-2步</x:v>
      </x:c>
      <x:c r="Q118" s="63" t="str">
        <x:v>光学声学综合</x:v>
      </x:c>
      <x:c r="R118" s="63" t="str">
        <x:v>单状态</x:v>
      </x:c>
      <x:c r="S118" s="63" t="str">
        <x:v>无约束</x:v>
      </x:c>
      <x:c r="T118" s="63" t="str">
        <x:v>无</x:v>
      </x:c>
      <x:c r="U118" s="63" t="str">
        <x:v>无</x:v>
      </x:c>
      <x:c r="V118" s="63" t="str">
        <x:v>简单因果推理</x:v>
      </x:c>
    </x:row>
    <x:row r="119">
      <x:c r="A119" s="64" t="str">
        <x:v>​2786746633639964672</x:v>
      </x:c>
      <x:c r="B119" s="65" t="str">
        <x:v>拔高题</x:v>
      </x:c>
      <x:c r="C119" s="65" t="str">
        <x:v>拔高题</x:v>
      </x:c>
      <x:c r="D119" s="65" t="str">
        <x:v>中等题|拔高题</x:v>
      </x:c>
      <x:c r="E119" s="65" t="str">
        <x:v>保留主标签；相邻双档均可</x:v>
      </x:c>
      <x:c r="F119" s="65" t="str">
        <x:v>中</x:v>
      </x:c>
      <x:c r="G119" s="65" t="str">
        <x:v>压轴题</x:v>
      </x:c>
      <x:c r="H119" s="65" t="str">
        <x:v>拔高题</x:v>
      </x:c>
      <x:c r="I119" s="65" t="str">
        <x:v>最高难任务在标准实验流程、读数与数据归纳中包含图线反推、状态转换、误差评价、几何/等效转换、方程联立或参数反求等决定性卡点，整体约5—6个有效决策；尚未形成压轴所需的完整复杂约束网络。</x:v>
      </x:c>
      <x:c r="J119" s="65" t="str">
        <x:v>三次运行错题并集逐题复核</x:v>
      </x:c>
      <x:c r="K119" s="63" t="str">
        <x:v>利用弹簧做了如下两个小实验。如图甲所示，一小球从高处落到竖直固定的弹簧上后又被弹起到原高度。小球从高处开始下落到弹回的整个过程中，他的运动速度随时间变化的图像如图乙所示，图中oa段和cd段为直线。则据此图可知，在ab段，小球所受重力 弹力（选填“大于”、“等于”或“小于”），弹力大于重力的时间段为 ；如图丙所示，A、B两根相同的轻弹簧，分别与物块的上下表面相连接，B弹簧的下端与地面连接。起初A弹簧处于自由长度，B弹簧的压缩长度为$\Delta L$。现用手将A弹簧缓慢上提，使B弹簧承受物重的$\dfrac{2}{3}$，B弹簧仍处于压缩状态，那么，A弹簧的上端应向上提起的距离为 。</x:v>
      </x:c>
      <x:c r="L119" s="63" t="str"/>
      <x:c r="M119" s="63" t="str">
        <x:v>[1]由图可知，在ab段，小球继续向下做加速运动，说明合力方向与运动方向相同，即小球所受重力大于弹力。[2]在下落过程中，弹力大于重力时，小球做减速运动；在上升过程中，弹力大于重力，小球做加速运动，结合图像可知，弹力大于重力对应的是$t_{2}\sim t_{4}$这个时间段。[3]一开始，重物压在B弹簧上，B弹簧的压缩长度为$\Delta L$，当压力为重物G的$\dfrac{2}{3}$时，存在$\dfrac{\dfrac{2}{3}G}{G}=\dfrac{\Delta L'}{\Delta L}$解得$\Delta L'=\dfrac{2}{3}\Delta L$B弹簧相对于原来的位置上升的高度$\Delta h_{\mathrm{B}}=\Delta L-\Delta L'=\Delta L-\dfrac{2}{3}\Delta L=\dfrac{1}{3}\Delta L$对于A弹簧，开始A弹簧拉力为零，由于B弹簧原来受压力为G，后来受压力为$\dfrac{2}{3}$G，则A弹簧的拉力为$\dfrac{1}{3}G$，所以A弹簧上端升高$\Delta h_{\mathrm{A}}=\dfrac{1}{3}\Delta L$综上所述，A弹簧上升的高度为$\Delta h=\Delta h_{\mathrm{A}}+\Delta h_{\mathrm{B}}=2\times \dfrac{1}{3}\Delta L=\dfrac{2}{3}\Delta L$</x:v>
      </x:c>
      <x:c r="N119" s="63" t="str">
        <x:v>https://k12static.xdf.cn/k12/image/externalized/db46a0a2-6071-4cbb-8f9b-17737183d173.png</x:v>
      </x:c>
      <x:c r="O119" s="63" t="str">
        <x:v>https://k12static.xdf.cn/k12/image/externalized/ccb8169c-0793-4876-89d0-53e0dbb9276f.png</x:v>
      </x:c>
      <x:c r="P119" s="63" t="str">
        <x:v>3-5步</x:v>
      </x:c>
      <x:c r="Q119" s="63" t="str">
        <x:v>力学综合</x:v>
      </x:c>
      <x:c r="R119" s="63" t="str">
        <x:v>双状态</x:v>
      </x:c>
      <x:c r="S119" s="63" t="str">
        <x:v>单一约束</x:v>
      </x:c>
      <x:c r="T119" s="63" t="str">
        <x:v>无</x:v>
      </x:c>
      <x:c r="U119" s="63" t="str">
        <x:v>多组比较归纳</x:v>
      </x:c>
      <x:c r="V119" s="63" t="str">
        <x:v>多层因果推理</x:v>
      </x:c>
    </x:row>
    <x:row r="120">
      <x:c r="A120" s="64" t="str">
        <x:v>​2804003899629228032</x:v>
      </x:c>
      <x:c r="B120" s="65" t="str">
        <x:v>送分题</x:v>
      </x:c>
      <x:c r="C120" s="65" t="str">
        <x:v>送分题</x:v>
      </x:c>
      <x:c r="D120" s="65" t="str">
        <x:v>送分题|基础题</x:v>
      </x:c>
      <x:c r="E120" s="65" t="str">
        <x:v>保留主标签；相邻双档均可</x:v>
      </x:c>
      <x:c r="F120" s="65" t="str">
        <x:v>中</x:v>
      </x:c>
      <x:c r="G120" s="65" t="str">
        <x:v>送分题</x:v>
      </x:c>
      <x:c r="H120" s="65" t="str">
        <x:v>送分题</x:v>
      </x:c>
      <x:c r="I120" s="65" t="str">
        <x:v>只需识别一个熟悉教材模板，没有第二次物理决策。 题目证据：保留原标。最长有效链为1-2步、题型为概念判断、推理为简单因果推理，与送分题边界一致。 复核证据：教师标签与独立盲评一致；三次模型运行使用相近提示词，仅作为辅助证据，不足以推翻两者一致结论。。</x:v>
      </x:c>
      <x:c r="J120" s="65" t="str">
        <x:v>三次运行错题并集逐题复核</x:v>
      </x:c>
      <x:c r="K120" s="63" t="str">
        <x:v>冰雕是一种以冰为材料来雕刻的艺术形式，属于造型艺术。如图所示，在艺术家用特制的刀具将一块实心冰块雕刻成一件艺术品的过程中（ ）</x:v>
      </x:c>
      <x:c r="L120" s="63" t="str">
        <x:v>A. 冰的质量变大 B. 冰的质量不变 C. 冰的密度变大 D. 冰的密度不变</x:v>
      </x:c>
      <x:c r="M120" s="63" t="str">
        <x:v>解：在冰雕的过程中，冰的质量减少，但冰的密度不变。 故选：D。</x:v>
      </x:c>
      <x:c r="N120" s="63" t="str">
        <x:v>https://k12static.xdf.cn/k12/image/externalized/39bc09fc-b97a-4f77-9fae-3650e09d94c2.png</x:v>
      </x:c>
      <x:c r="O120" s="63" t="str">
        <x:v>https://k12static.xdf.cn/k12/image/externalized/e1da067b-80d8-43bc-b3e5-92878fbb1900.png</x:v>
      </x:c>
      <x:c r="P120" s="63" t="str">
        <x:v>1-2步</x:v>
      </x:c>
      <x:c r="Q120" s="63" t="str">
        <x:v>概念判断</x:v>
      </x:c>
      <x:c r="R120" s="63" t="str">
        <x:v>单状态</x:v>
      </x:c>
      <x:c r="S120" s="63" t="str">
        <x:v>无约束</x:v>
      </x:c>
      <x:c r="T120" s="63" t="str">
        <x:v>无</x:v>
      </x:c>
      <x:c r="U120" s="63" t="str">
        <x:v>无</x:v>
      </x:c>
      <x:c r="V120" s="63" t="str">
        <x:v>简单因果推理</x:v>
      </x:c>
    </x:row>
    <x:row r="121">
      <x:c r="A121" s="64" t="str">
        <x:v>​2804006722561654784</x:v>
      </x:c>
      <x:c r="B121" s="65" t="str">
        <x:v>拔高题</x:v>
      </x:c>
      <x:c r="C121" s="65" t="str">
        <x:v>拔高题</x:v>
      </x:c>
      <x:c r="D121" s="65" t="str">
        <x:v>中等题|拔高题</x:v>
      </x:c>
      <x:c r="E121" s="65" t="str">
        <x:v>保留主标签；相邻双档均可</x:v>
      </x:c>
      <x:c r="F121" s="65" t="str">
        <x:v>中</x:v>
      </x:c>
      <x:c r="G121" s="65" t="str">
        <x:v>中等题</x:v>
      </x:c>
      <x:c r="H121" s="65" t="str">
        <x:v>拔高题</x:v>
      </x:c>
      <x:c r="I121" s="65" t="str">
        <x:v>最高难任务在教材概念与常规物理关系中包含图线反推、状态转换、误差评价、几何/等效转换、方程联立或参数反求等决定性卡点，整体约5—6个有效决策；尚未形成压轴所需的完整复杂约束网络。</x:v>
      </x:c>
      <x:c r="J121" s="65" t="str">
        <x:v>三次运行错题并集逐题复核</x:v>
      </x:c>
      <x:c r="K121" s="63" t="str">
        <x:v>南京绿柳居素菜烹制技艺是江苏省非物质文化遗产，绿柳居的特色绿柳素鸡以豆制品（几乎不含水）为主要原料，经过油炸、上色、煮炖等多道工序制作而成，如图甲所示。经测算，某块素鸡制成后，素鸡吸饱汤汁，体积胀大了30%，如图乙所示。已知豆制品和成品素鸡密度之比为11：10，则这块素鸡的汁水率（素鸡中汤汁的质量与素鸡总质量的比值）约为（ ）</x:v>
      </x:c>
      <x:c r="L121" s="63" t="str">
        <x:v>A. 15.3% B. 12.0% C. 8.3% D. 5.0%</x:v>
      </x:c>
      <x:c r="M121" s="63" t="str">
        <x:v>解：由题意，可设豆制品的体积V，素鸡制成后，素鸡吸饱汤汁，体积胀大了30%，则素鸡的体积为1.3V，设豆制品的密度为11ρ0，则素鸡的密度为10ρ0， 素鸡中汤汁的质量为m汁=m素鸡-m豆=ρ素鸡V素鸡-ρ豆V豆=10ρ0×1.3V-11ρ0×V=2ρ0V， 素鸡的汁水率$\frac{{m}_{汁}}{{m}_{素鸡}}=\frac{2{ρ}_{0}V}{10{ρ}_{0}×1.3V}≈15.3\% $。故A正确，BCD错误。 故选：A。</x:v>
      </x:c>
      <x:c r="N121" s="63" t="str">
        <x:v>https://k12static.xdf.cn/k12/image/externalized/19aa4178-90b0-4519-a9fb-50d5d963bb44.png</x:v>
      </x:c>
      <x:c r="O121" s="63" t="str">
        <x:v>https://k12static.xdf.cn/k12/image/externalized/ed7666b3-3cd5-45a8-ac9d-84d377895230.png</x:v>
      </x:c>
      <x:c r="P121" s="63" t="str">
        <x:v>1-2步</x:v>
      </x:c>
      <x:c r="Q121" s="63" t="str">
        <x:v>力学综合</x:v>
      </x:c>
      <x:c r="R121" s="63" t="str">
        <x:v>单状态</x:v>
      </x:c>
      <x:c r="S121" s="63" t="str">
        <x:v>单一约束</x:v>
      </x:c>
      <x:c r="T121" s="63" t="str">
        <x:v>无</x:v>
      </x:c>
      <x:c r="U121" s="63" t="str">
        <x:v>无</x:v>
      </x:c>
      <x:c r="V121" s="63" t="str">
        <x:v>多层因果推理</x:v>
      </x:c>
    </x:row>
    <x:row r="122">
      <x:c r="A122" s="64" t="str">
        <x:v>​2810985575482658816</x:v>
      </x:c>
      <x:c r="B122" s="65" t="str">
        <x:v>送分题</x:v>
      </x:c>
      <x:c r="C122" s="65" t="str">
        <x:v>送分题</x:v>
      </x:c>
      <x:c r="D122" s="65" t="str">
        <x:v>送分题|基础题</x:v>
      </x:c>
      <x:c r="E122" s="65" t="str">
        <x:v>保留主标签；相邻双档均可</x:v>
      </x:c>
      <x:c r="F122" s="65" t="str">
        <x:v>中</x:v>
      </x:c>
      <x:c r="G122" s="65" t="str">
        <x:v>送分题</x:v>
      </x:c>
      <x:c r="H122" s="65" t="str">
        <x:v>基础题</x:v>
      </x:c>
      <x:c r="I122" s="65" t="str">
        <x:v>多个空/选项彼此独立，不形成连续链；最高难任务属于教材概念与常规物理关系中的1—2步直接应用、规范操作或简单因果判断。需要理解/应用而非纯识记，但没有共享中间结论、完整连续过程或隐含转换。</x:v>
      </x:c>
      <x:c r="J122" s="65" t="str">
        <x:v>三次运行错题并集逐题复核</x:v>
      </x:c>
      <x:c r="K122" s="63" t="str">
        <x:v>社会的发展离不开能源、信息和材料，下列说法中正确的是（ ）</x:v>
      </x:c>
      <x:c r="L122" s="63" t="str">
        <x:v>A. 神舟十四号飞船上的新型硅光电池板主要将太阳能转化为电能 B. 光纤通信利用激光在光导纤维中发生折射传递信息 C. 4G、5G通讯信号电磁波在真空中传播的速度相同 D. 条形码扫描器中的光敏二极管使用的主要是超导材料</x:v>
      </x:c>
      <x:c r="M122" s="63" t="str">
        <x:v>解：A、神舟十四号飞船上的新型硅光电池板主要将太阳能转化为电能，故A正确； B、光纤通信利用激光在光导纤维中发生反射传递信息，故B错误； C、4G、5G通讯信号电磁波在真空中传播的速度相同，故C正确； D、条形码扫描器中的光敏二极管使用的主要是半导体材料，故D错误。 故选：AC。</x:v>
      </x:c>
      <x:c r="N122" s="63" t="str">
        <x:v>https://k12static.xdf.cn/k12/image/externalized/730f970b-1c2c-411d-839b-f94e25eea075.png</x:v>
      </x:c>
      <x:c r="O122" s="63" t="str">
        <x:v>https://k12static.xdf.cn/k12/image/externalized/43768ad8-413a-4b24-adac-979c34288272.png</x:v>
      </x:c>
      <x:c r="P122" s="63" t="str">
        <x:v>1-2步</x:v>
      </x:c>
      <x:c r="Q122" s="63" t="str">
        <x:v>概念判断</x:v>
      </x:c>
      <x:c r="R122" s="63" t="str">
        <x:v>单状态</x:v>
      </x:c>
      <x:c r="S122" s="63" t="str">
        <x:v>无约束</x:v>
      </x:c>
      <x:c r="T122" s="63" t="str">
        <x:v>无</x:v>
      </x:c>
      <x:c r="U122" s="63" t="str">
        <x:v>无</x:v>
      </x:c>
      <x:c r="V122" s="63" t="str">
        <x:v>直接套用</x:v>
      </x:c>
    </x:row>
    <x:row r="123">
      <x:c r="A123" s="64" t="str">
        <x:v>​2810989572485361664</x:v>
      </x:c>
      <x:c r="B123" s="65" t="str">
        <x:v>基础题</x:v>
      </x:c>
      <x:c r="C123" s="65" t="str">
        <x:v>基础题</x:v>
      </x:c>
      <x:c r="D123" s="65" t="str">
        <x:v>送分题|基础题</x:v>
      </x:c>
      <x:c r="E123" s="65" t="str">
        <x:v>保留主标签；相邻双档均可</x:v>
      </x:c>
      <x:c r="F123" s="65" t="str">
        <x:v>中</x:v>
      </x:c>
      <x:c r="G123" s="65" t="str">
        <x:v>基础题</x:v>
      </x:c>
      <x:c r="H123" s="65" t="str">
        <x:v>基础题</x:v>
      </x:c>
      <x:c r="I123" s="65" t="str">
        <x:v>最高难任务为1—2步显性应用、规范操作或简单因果，没有连续模型转换。 题目证据：整道题包含两个独立填空，最长连续链实际有2个有效物理决策，知识量2个，单对象单状态，无需复杂运算，情境为教材常见实验装置，五维锚定基础档。两个空分别调用电动机转动原理、影响转速因素两个不同知识点，不构成直接检索束，需要分别对应规律完成简单应用。</x:v>
      </x:c>
      <x:c r="J123" s="65" t="str">
        <x:v>三次运行错题并集逐题复核</x:v>
      </x:c>
      <x:c r="K123" s="63" t="str">
        <x:v>如图某兴趣小组制作的直流电动机结构简图，闭合开关，轻轻地拨动铜线圈后线圈便转动起来，线圈转起来的原因是 。若想让线圈的转动速度变快，你可以采取的方法是 （写一条合理方法即可）。</x:v>
      </x:c>
      <x:c r="L123" s="63" t="str"/>
      <x:c r="M123" s="63" t="str">
        <x:v>解：闭合开关，轻轻地拨动铜线圈后线圈便转动起来，线圈转起来的原因是通电线圈在磁场中受力转动，电动机的转速与电流大小和磁场强弱有关，若想让线圈的转动速度变快，采取的方法增大电源电压增大线圈中的电流。 故答案为：通电线圈在磁场中受力转动；增大电源电压增大线圈中的电流。</x:v>
      </x:c>
      <x:c r="N123" s="63" t="str">
        <x:v>https://k12static.xdf.cn/k12/image/externalized/79eb28fe-bac5-4a64-9f7f-5a6181216fa0.png</x:v>
      </x:c>
      <x:c r="O123" s="63" t="str">
        <x:v>https://k12static.xdf.cn/k12/image/externalized/fd021035-89e6-4f55-9e5a-333a3fccb272.png</x:v>
      </x:c>
      <x:c r="P123" s="63" t="str">
        <x:v>1-2步</x:v>
      </x:c>
      <x:c r="Q123" s="63" t="str">
        <x:v>概念判断</x:v>
      </x:c>
      <x:c r="R123" s="63" t="str">
        <x:v>单状态</x:v>
      </x:c>
      <x:c r="S123" s="63" t="str">
        <x:v>无约束</x:v>
      </x:c>
      <x:c r="T123" s="63" t="str">
        <x:v>无</x:v>
      </x:c>
      <x:c r="U123" s="63" t="str">
        <x:v>无</x:v>
      </x:c>
      <x:c r="V123" s="63" t="str">
        <x:v>简单因果推理</x:v>
      </x:c>
    </x:row>
    <x:row r="124">
      <x:c r="A124" s="64" t="str">
        <x:v>​2819356128527515648</x:v>
      </x:c>
      <x:c r="B124" s="65" t="str">
        <x:v>基础题</x:v>
      </x:c>
      <x:c r="C124" s="65" t="str">
        <x:v>基础题</x:v>
      </x:c>
      <x:c r="D124" s="65" t="str">
        <x:v>基础题|中等题</x:v>
      </x:c>
      <x:c r="E124" s="65" t="str">
        <x:v>保留主标签；相邻双档均可</x:v>
      </x:c>
      <x:c r="F124" s="65" t="str">
        <x:v>中</x:v>
      </x:c>
      <x:c r="G124" s="65" t="str">
        <x:v>基础题</x:v>
      </x:c>
      <x:c r="H124" s="65" t="str">
        <x:v>基础题</x:v>
      </x:c>
      <x:c r="I124" s="65" t="str">
        <x:v>最高难任务为1—2步显性应用、规范操作或简单因果，没有连续模型转换。 题目证据：最长连续链实际有2个有效物理决策，五维锚定落在基础到中等区间；任务是分别判断木块在酒精和水中的浮沉状态，再利用漂浮条件推导溢出液体质量关系，两个状态独立关联同一木块重力，无复杂约束或转换。</x:v>
      </x:c>
      <x:c r="J124" s="65" t="str">
        <x:v>三次运行错题并集逐题复核</x:v>
      </x:c>
      <x:c r="K124" s="63" t="str">
        <x:v>把一个木块放入盛满酒精的溢水杯中，溢出30g的酒精（ρ木ρ酒），若将此木块从酒精中取出，擦干后放入盛满水的溢水杯中，则溢出的水的质量是（ ）</x:v>
      </x:c>
      <x:c r="L124" s="63" t="str">
        <x:v>A. 等于30g B. 小于30g C. 大于30g D. 无法确定</x:v>
      </x:c>
      <x:c r="M124" s="63" t="str">
        <x:v>由题知$\rho _{\mathrm{木}}所以木块在酒精里漂浮，则木块受到酒精的浮力$F_{\mathrm{浮}}=G_{\mathrm{木}}=G_{\mathrm{排}}=m_{\mathrm{排}}g$$\cdots \cdots$①因为$\rho _{\mathrm{木}} $\rho _{\mathrm{酒}}所以$\rho _{\mathrm{木}}所以木块在水里漂浮，则木块受到水的浮力$F_{\mathrm{浮}}'=G_{\mathrm{木}}=G_{\mathrm{排}}'=m_{\mathrm{排}}'g$$\cdots \cdots$②由①②可知木块排开酒精和水的质量（溢出的质量）$m_{\mathrm{排}}=m_{\mathrm{排}}'=30\mathrm{g}$故BCD不符合题意；故A符合题意。故选A。</x:v>
      </x:c>
      <x:c r="N124" s="63" t="str">
        <x:v>https://k12static.xdf.cn/k12/image/externalized/87aa2bcf-5055-4468-9b7e-07f0bebfd674.png</x:v>
      </x:c>
      <x:c r="O124" s="63" t="str">
        <x:v>https://k12static.xdf.cn/k12/image/externalized/9e847540-2846-4b34-bf0c-152ba7b2a797.png</x:v>
      </x:c>
      <x:c r="P124" s="63" t="str">
        <x:v>1-2步</x:v>
      </x:c>
      <x:c r="Q124" s="63" t="str">
        <x:v>力学综合</x:v>
      </x:c>
      <x:c r="R124" s="63" t="str">
        <x:v>单状态</x:v>
      </x:c>
      <x:c r="S124" s="63" t="str">
        <x:v>无约束</x:v>
      </x:c>
      <x:c r="T124" s="63" t="str">
        <x:v>无</x:v>
      </x:c>
      <x:c r="U124" s="63" t="str">
        <x:v>无</x:v>
      </x:c>
      <x:c r="V124" s="63" t="str">
        <x:v>简单因果推理</x:v>
      </x:c>
    </x:row>
    <x:row r="125">
      <x:c r="A125" s="64" t="str">
        <x:v>​2823802518469910528</x:v>
      </x:c>
      <x:c r="B125" s="65" t="str">
        <x:v>基础题</x:v>
      </x:c>
      <x:c r="C125" s="65" t="str">
        <x:v>基础题</x:v>
      </x:c>
      <x:c r="D125" s="65" t="str">
        <x:v>基础题|中等题</x:v>
      </x:c>
      <x:c r="E125" s="65" t="str">
        <x:v>保留主标签；相邻双档均可</x:v>
      </x:c>
      <x:c r="F125" s="65" t="str">
        <x:v>中</x:v>
      </x:c>
      <x:c r="G125" s="65" t="str">
        <x:v>送分题</x:v>
      </x:c>
      <x:c r="H125" s="65" t="str">
        <x:v>基础题</x:v>
      </x:c>
      <x:c r="I125" s="65" t="str">
        <x:v>需要围绕教材概念与常规物理关系完成常规的3—4个有效决策，或完成一套完整标准实验/共享过程分析。关系仍显性、方法常规，没有决定性隐含转换、复杂边界筛选或多状态强耦合。</x:v>
      </x:c>
      <x:c r="J125" s="65" t="str">
        <x:v>三次运行错题并集逐题复核</x:v>
      </x:c>
      <x:c r="K125" s="63" t="str">
        <x:v>如图所示是小明同学家的电能表，下列说法正确的是（ ）</x:v>
      </x:c>
      <x:c r="L125" s="63" t="str">
        <x:v>A. 小明家同时工作的用电器的总功率不能超过1100W B. 2500r/（kW•h）的含义是电能表每消耗1kW•h的电能，转盘要转了2500转 C. “09316”的含义是：截止目前，小明家共消耗了9316kW•h的电能 D. 小明关闭家中其他用电器，只让电取暖器单独连入电路工作1min,发现电能表的转盘刚好转了50转，则电取暖器消耗的功率为1200W</x:v>
      </x:c>
      <x:c r="M125" s="63" t="str">
        <x:v>解：A、5（10）A中，10A表示电能表平时工作允许通过的最大电流，小明家同时工作的用电器的最大总功率P=UI=220V×10A=2200W，故A错误； B、2500r/（kW•h）含义是接在这个电能表上的用电器，每消耗1kW•h的电能，电能表上指示灯闪烁2500转，故B错误； C、“09316”的含义是：截止目前，小明家共消耗了931.6kW•h的电能，故C错误； D、电能表的转盘转50圈消耗的电能：W=$\frac{50}{2500}$kW•h=0.02kW•h,电取暖器消耗的功率为P=$\frac{W}{t}=\frac{0.02kW\bullet h}{\frac{1}{60}h}$=1.2kW=1200W，故D正确。 故选：D。</x:v>
      </x:c>
      <x:c r="N125" s="63" t="str">
        <x:v>https://k12static.xdf.cn/k12/image/externalized/2ac2fb71-70cd-4748-a2a7-ec24be984a56.png</x:v>
      </x:c>
      <x:c r="O125" s="63" t="str">
        <x:v>https://k12static.xdf.cn/k12/image/externalized/3b029136-e677-4a09-9bb3-38c18310b09b.png</x:v>
      </x:c>
      <x:c r="P125" s="63" t="str">
        <x:v>1-2步</x:v>
      </x:c>
      <x:c r="Q125" s="63" t="str">
        <x:v>概念判断</x:v>
      </x:c>
      <x:c r="R125" s="63" t="str">
        <x:v>单状态</x:v>
      </x:c>
      <x:c r="S125" s="63" t="str">
        <x:v>无约束</x:v>
      </x:c>
      <x:c r="T125" s="63" t="str">
        <x:v>无</x:v>
      </x:c>
      <x:c r="U125" s="63" t="str">
        <x:v>无</x:v>
      </x:c>
      <x:c r="V125" s="63" t="str">
        <x:v>简单因果推理</x:v>
      </x:c>
    </x:row>
    <x:row r="126">
      <x:c r="A126" s="64" t="str">
        <x:v>​2829543923879813120</x:v>
      </x:c>
      <x:c r="B126" s="65" t="str">
        <x:v>基础题</x:v>
      </x:c>
      <x:c r="C126" s="65" t="str">
        <x:v>基础题</x:v>
      </x:c>
      <x:c r="D126" s="65" t="str">
        <x:v>基础题|中等题</x:v>
      </x:c>
      <x:c r="E126" s="65" t="str">
        <x:v>保留主标签；相邻双档均可</x:v>
      </x:c>
      <x:c r="F126" s="65" t="str">
        <x:v>中</x:v>
      </x:c>
      <x:c r="G126" s="65" t="str">
        <x:v>基础题</x:v>
      </x:c>
      <x:c r="H126" s="65" t="str">
        <x:v>中等题</x:v>
      </x:c>
      <x:c r="I126" s="65" t="str">
        <x:v>需要围绕标准实验流程、读数与数据归纳完成常规的3—4个有效决策，或完成一套完整标准实验/共享过程分析。关系仍显性、方法常规，没有决定性隐含转换、复杂边界筛选或多状态强耦合。</x:v>
      </x:c>
      <x:c r="J126" s="65" t="str">
        <x:v>三次运行错题并集逐题复核</x:v>
      </x:c>
      <x:c r="K126" s="63" t="str">
        <x:v>某实验小组利用如图甲所示的实验装置做“探究二力平衡的条件”实验。 （1）实验时应选择较 ________ （光滑/粗糙）的实验桌面； （2）如图甲所示，当左右两端同时挂两个钩码时，小车静止，此时F1、F2的大小 ________ ，方向 ________ ； （3）在图甲实验的基础上，将小车在水平桌面上扭转一个角度后释放，观察小车的运动状态，这样做的目的是探究二力平衡时两个力是否作用在 ________ ； （4）为了探究探究二力平衡时两个力是否作用在同一个物体上，用轻质硬纸片代替小车做实验，如图乙所示，要对硬纸片进行的操作是 ________ 。</x:v>
      </x:c>
      <x:c r="L126" s="63" t="str"/>
      <x:c r="M126" s="63" t="str">
        <x:v>解：（1）把小车放在较光滑的水平桌面上，小车受到的摩擦力越小，摩擦力对实验的影响越小，对得出实验结论更有利； （2）向左右两边加钩码，当钩码质量质量相等时，小车在水平方向受到的拉力大小相等，方向相反，小车处于静止状态； （3）保持两边钩码质量相等，将小车在桌面上旋转一个角度松手后，小车受到的两个拉力不在同一直线上，小车会转动，直到两边的拉线在同一条直线上； （4）为了使两个力不在同一个物体上，可以用剪刀将硬纸片剪开，一分为二。 故答案为：（1）光滑；（2）相等；相反；（3）同一直线上；（4）用剪刀将硬纸片从中间剪开。</x:v>
      </x:c>
      <x:c r="N126" s="63" t="str">
        <x:v>https://k12static.xdf.cn/k12/image/externalized/6e97604b-a1a9-4967-b853-7de3c2682a16.png</x:v>
      </x:c>
      <x:c r="O126" s="63" t="str">
        <x:v>https://k12static.xdf.cn/k12/image/externalized/e18162c4-9bac-432a-9212-fc6687ee05c6.png</x:v>
      </x:c>
      <x:c r="P126" s="63" t="str">
        <x:v>1-2步</x:v>
      </x:c>
      <x:c r="Q126" s="63" t="str">
        <x:v>实验探究</x:v>
      </x:c>
      <x:c r="R126" s="63" t="str">
        <x:v>单状态</x:v>
      </x:c>
      <x:c r="S126" s="63" t="str">
        <x:v>无约束</x:v>
      </x:c>
      <x:c r="T126" s="63" t="str">
        <x:v>基础操作或读数</x:v>
      </x:c>
      <x:c r="U126" s="63" t="str">
        <x:v>无</x:v>
      </x:c>
      <x:c r="V126" s="63" t="str">
        <x:v>直接套用</x:v>
      </x:c>
    </x:row>
    <x:row r="127">
      <x:c r="A127" s="64" t="str">
        <x:v>​2832718128352886784</x:v>
      </x:c>
      <x:c r="B127" s="65" t="str">
        <x:v>基础题</x:v>
      </x:c>
      <x:c r="C127" s="65" t="str">
        <x:v>基础题</x:v>
      </x:c>
      <x:c r="D127" s="65" t="str">
        <x:v>送分题|基础题</x:v>
      </x:c>
      <x:c r="E127" s="65" t="str">
        <x:v>保留主标签；相邻双档均可</x:v>
      </x:c>
      <x:c r="F127" s="65" t="str">
        <x:v>中</x:v>
      </x:c>
      <x:c r="G127" s="65" t="str">
        <x:v>基础题</x:v>
      </x:c>
      <x:c r="H127" s="65" t="str">
        <x:v>送分题</x:v>
      </x:c>
      <x:c r="I127" s="65" t="str">
        <x:v>最高难任务为1—2步显性应用、规范操作或简单因果，没有连续模型转换。 题目证据：保留原标。最长有效链为1-2步、题型为概念判断、推理为简单因果推理，与基础题边界一致。 复核证据：独立盲评与三次模型中有3/4支持基础题。 教师分析疑点：教师分析称无运算，但官方解析包含计算或公式。</x:v>
      </x:c>
      <x:c r="J127" s="65" t="str">
        <x:v>三次运行错题并集逐题复核</x:v>
      </x:c>
      <x:c r="K127" s="63" t="str">
        <x:v>重为5牛的物体放入盛水容器中，物体漂浮在水面上且溢出3牛的水，物体受到的浮力（ ）</x:v>
      </x:c>
      <x:c r="L127" s="63" t="str">
        <x:v>A. 一定等于5牛 B. 一定等于3牛 C. 可能等于3牛 D. 可能等于4牛</x:v>
      </x:c>
      <x:c r="M127" s="63" t="str">
        <x:v>解：由题知，物体漂浮在水面上， 物体受到的浮力： F浮=G=5N。 故选：A。</x:v>
      </x:c>
      <x:c r="N127" s="63" t="str">
        <x:v>https://k12static.xdf.cn/k12/image/externalized/6577c35c-2f92-4958-913b-24b81d768ea3.png</x:v>
      </x:c>
      <x:c r="O127" s="63" t="str">
        <x:v>https://k12static.xdf.cn/k12/image/externalized/28489b41-ff6c-4c50-a961-f17c2604da85.png</x:v>
      </x:c>
      <x:c r="P127" s="63" t="str">
        <x:v>1-2步</x:v>
      </x:c>
      <x:c r="Q127" s="63" t="str">
        <x:v>概念判断</x:v>
      </x:c>
      <x:c r="R127" s="63" t="str">
        <x:v>单状态</x:v>
      </x:c>
      <x:c r="S127" s="63" t="str">
        <x:v>无约束</x:v>
      </x:c>
      <x:c r="T127" s="63" t="str">
        <x:v>无</x:v>
      </x:c>
      <x:c r="U127" s="63" t="str">
        <x:v>无</x:v>
      </x:c>
      <x:c r="V127" s="63" t="str">
        <x:v>简单因果推理</x:v>
      </x:c>
    </x:row>
    <x:row r="128">
      <x:c r="A128" s="64" t="str">
        <x:v>​2839993946345680896</x:v>
      </x:c>
      <x:c r="B128" s="65" t="str">
        <x:v>拔高题</x:v>
      </x:c>
      <x:c r="C128" s="65" t="str">
        <x:v>拔高题</x:v>
      </x:c>
      <x:c r="D128" s="65" t="str">
        <x:v>中等题|拔高题</x:v>
      </x:c>
      <x:c r="E128" s="65" t="str">
        <x:v>保留主标签；相邻双档均可</x:v>
      </x:c>
      <x:c r="F128" s="65" t="str">
        <x:v>中</x:v>
      </x:c>
      <x:c r="G128" s="65" t="str">
        <x:v>压轴题</x:v>
      </x:c>
      <x:c r="H128" s="65" t="str">
        <x:v>拔高题</x:v>
      </x:c>
      <x:c r="I128" s="65" t="str">
        <x:v>存在决定性反推/等效/误差/几何转换，或同一装置中的5—6步高密度综合链。 题目证据：最长连续链实际有效物理决策共4步：1. 根据电表满刻度和电路结构，确定电路最大电流为0.6A；2. 计算R0的最大电功率，排除错误选项；3. 根据滑动变阻器可完全接入，确定R0电功率不为零，排除错误选项；4. 根据P=I²R0的函数关系，判断图像的曲线特征，确定正确选项。五维锚定：知识量为2-3个关联电学知识点，过程对象为最大电流和最小电流两个状态，数学工具为电功率公式变形和二次函数图像分析，情境为常规串联电路变式，思维层次为应用分析，整体靠近拔高档。真实任务为常规分析结合图像特征判断，存在对图像形状的二次推导，属</x:v>
      </x:c>
      <x:c r="J128" s="65" t="str">
        <x:v>三次运行错题并集逐题复核</x:v>
      </x:c>
      <x:c r="K128" s="63" t="str">
        <x:v>如图所示，电源电压为6V且保持不变，滑动变阻器的最大阻值为20Ω，定值电阻R0为5Ω．闭合开关后，移动滑片，发现能使电流表（“0～0.6A”或“0～3A”）和电压表（“0～3V”或“0～15V”）的指针同时达到满刻度线，则R0的电功率与电流的关系图象可能是（ ）</x:v>
      </x:c>
      <x:c r="L128" s="63" t="str"/>
      <x:c r="M128" s="63" t="str">
        <x:v>解：由题意可知，电表的指针同时达到满刻度线，即电路中的最大电流为0.6A，则 R0的最大电功率：P0max=（Imax）2R0=（0.6A）2×5Ω=1.8W，故D不正确； 滑动变阻器完全接入电路中时电路中的电流最小，R0的电功率最小，但不为0，故AC不正确； 根据P=I2R0可知，功率与电流是二次函数关系，其图象是开口向上的抛物线的一部分。 因在I＜1A时，I2＜I， 所以，在电路中的电流小于0.6A时，I2R0＜IR0，故B正确。 故选：B。</x:v>
      </x:c>
      <x:c r="N128" s="63" t="str">
        <x:v>https://k12static.xdf.cn/k12/image/externalized/2384df3d-34b3-4408-9cf2-9c0d64fc6eca.png</x:v>
      </x:c>
      <x:c r="O128" s="63" t="str">
        <x:v>https://k12static.xdf.cn/k12/image/externalized/70572317-4ac9-430c-a6cc-1f3adb31bbc7.png</x:v>
      </x:c>
      <x:c r="P128" s="63" t="str">
        <x:v>3-5步</x:v>
      </x:c>
      <x:c r="Q128" s="63" t="str">
        <x:v>电路综合</x:v>
      </x:c>
      <x:c r="R128" s="63" t="str">
        <x:v>双状态</x:v>
      </x:c>
      <x:c r="S128" s="63" t="str">
        <x:v>单一约束</x:v>
      </x:c>
      <x:c r="T128" s="63" t="str">
        <x:v>无</x:v>
      </x:c>
      <x:c r="U128" s="63" t="str">
        <x:v>图像反推或外推</x:v>
      </x:c>
      <x:c r="V128" s="63" t="str">
        <x:v>多层因果推理</x:v>
      </x:c>
    </x:row>
    <x:row r="129">
      <x:c r="A129" s="64" t="str">
        <x:v>​2851636783905574912</x:v>
      </x:c>
      <x:c r="B129" s="65" t="str">
        <x:v>送分题</x:v>
      </x:c>
      <x:c r="C129" s="65" t="str">
        <x:v>送分题</x:v>
      </x:c>
      <x:c r="D129" s="65" t="str">
        <x:v>送分题|基础题</x:v>
      </x:c>
      <x:c r="E129" s="65" t="str">
        <x:v>保留主标签；相邻双档均可</x:v>
      </x:c>
      <x:c r="F129" s="65" t="str">
        <x:v>中</x:v>
      </x:c>
      <x:c r="G129" s="65" t="str">
        <x:v>送分题</x:v>
      </x:c>
      <x:c r="H129" s="65" t="str">
        <x:v>基础题</x:v>
      </x:c>
      <x:c r="I129" s="65" t="str">
        <x:v>多个空/选项彼此独立，不形成连续链；最高难任务属于教材概念与常规物理关系中的1—2步直接应用、规范操作或简单因果判断。需要理解/应用而非纯识记，但没有共享中间结论、完整连续过程或隐含转换。</x:v>
      </x:c>
      <x:c r="J129" s="65" t="str">
        <x:v>三次运行错题并集逐题复核</x:v>
      </x:c>
      <x:c r="K129" s="63" t="str">
        <x:v>关于力的作用效果，下列说法正确的是（ ）</x:v>
      </x:c>
      <x:c r="L129" s="63" t="str">
        <x:v>A. 对物体施加力，物体一定会发生形变 B. 运动状态发生变化，物体可能受到力的作用 C. 只要受力，物体一定运动 D. 物体运动方向改变，一定受到力的作用</x:v>
      </x:c>
      <x:c r="M129" s="63" t="str">
        <x:v>解：A．物体受到力的作用可能会发生形变，也可能是运动状态发生改变，故A错误； B．力是改变物体运动状态的原因，运动状态发生变化，物体一定受到力的作用，故B错误； C．静止的物体，也受力，不一定运动，故C错误； D．力是改变物体运动状态的原因，物体运动方向改变，一定受到力的作用，故D正确。 故选：D。</x:v>
      </x:c>
      <x:c r="N129" s="63" t="str">
        <x:v>https://k12static.xdf.cn/k12/image/externalized/131f6fb8-b45d-4c8a-9f78-d65aeecbf229.png</x:v>
      </x:c>
      <x:c r="O129" s="63" t="str">
        <x:v>https://k12static.xdf.cn/k12/image/externalized/713d7e67-26f3-479a-9e15-f3e7c0d88e06.png</x:v>
      </x:c>
      <x:c r="P129" s="63" t="str">
        <x:v>1-2步</x:v>
      </x:c>
      <x:c r="Q129" s="63" t="str">
        <x:v>概念判断</x:v>
      </x:c>
      <x:c r="R129" s="63" t="str">
        <x:v>单状态</x:v>
      </x:c>
      <x:c r="S129" s="63" t="str">
        <x:v>无约束</x:v>
      </x:c>
      <x:c r="T129" s="63" t="str">
        <x:v>无</x:v>
      </x:c>
      <x:c r="U129" s="63" t="str">
        <x:v>无</x:v>
      </x:c>
      <x:c r="V129" s="63" t="str">
        <x:v>简单因果推理</x:v>
      </x:c>
    </x:row>
    <x:row r="130">
      <x:c r="A130" s="64" t="str">
        <x:v>​2852904450535477248</x:v>
      </x:c>
      <x:c r="B130" s="65" t="str">
        <x:v>基础题</x:v>
      </x:c>
      <x:c r="C130" s="65" t="str">
        <x:v>基础题</x:v>
      </x:c>
      <x:c r="D130" s="65" t="str">
        <x:v>基础题|中等题</x:v>
      </x:c>
      <x:c r="E130" s="65" t="str">
        <x:v>保留主标签；相邻双档均可</x:v>
      </x:c>
      <x:c r="F130" s="65" t="str">
        <x:v>中</x:v>
      </x:c>
      <x:c r="G130" s="65" t="str">
        <x:v>基础题</x:v>
      </x:c>
      <x:c r="H130" s="65" t="str">
        <x:v>中等题</x:v>
      </x:c>
      <x:c r="I130" s="65" t="str">
        <x:v>最高难任务为1—2步显性应用、规范操作或简单因果，没有连续模型转换。 题目证据：最长连续链实际有效物理决策约2步，五维锚定：知识量为单个力与运动的知识点，过程对象为加速、匀速两个连续状态，数学工具无复杂运算，情境为常规下落情境不增难，思维层次为简单应用。任务为分阶段分析雨滴受力与运动状态的对应关系，不存在完整实验闭环或决定性转换。</x:v>
      </x:c>
      <x:c r="J130" s="65" t="str">
        <x:v>三次运行错题并集逐题复核</x:v>
      </x:c>
      <x:c r="K130" s="63" t="str">
        <x:v>雨滴自高空由静止开始下落，下落过程中受到的空气阻力随其下落速度增大而增大，在整个下落过程中雨滴的运动情况是（设下落高度足够大）（ ）</x:v>
      </x:c>
      <x:c r="L130" s="63" t="str">
        <x:v>A. 先加速下落，后减速下落 B. 先加速下落，后匀速下落 C. 先加速下落，中间匀速下落，最后减速下落 D. 先匀速下落，后加速下落，最后减速下落</x:v>
      </x:c>
      <x:c r="M130" s="63" t="str">
        <x:v>解：雨滴开始下落的时候，速度很小，阻力也小，重力的方向向下，阻力的方向向上，故重力和阻力的合力方向向下，故雨滴做加速运动，随着速度的增加，阻力也越来越大，当阻力增加到和重力相等的时候，雨滴做匀速运动。故A、C、D错误。 故选：B。</x:v>
      </x:c>
      <x:c r="N130" s="63" t="str">
        <x:v>https://k12static.xdf.cn/k12/image/externalized/6af7c59d-ca7f-4a0e-884a-a993f1703b11.png</x:v>
      </x:c>
      <x:c r="O130" s="63" t="str">
        <x:v>https://k12static.xdf.cn/k12/image/externalized/c83b58f8-2dfc-4384-b261-101350107d56.png</x:v>
      </x:c>
      <x:c r="P130" s="63" t="str">
        <x:v>1-2步</x:v>
      </x:c>
      <x:c r="Q130" s="63" t="str">
        <x:v>概念判断</x:v>
      </x:c>
      <x:c r="R130" s="63" t="str">
        <x:v>双状态</x:v>
      </x:c>
      <x:c r="S130" s="63" t="str">
        <x:v>无约束</x:v>
      </x:c>
      <x:c r="T130" s="63" t="str">
        <x:v>无</x:v>
      </x:c>
      <x:c r="U130" s="63" t="str">
        <x:v>无</x:v>
      </x:c>
      <x:c r="V130" s="63" t="str">
        <x:v>简单因果推理</x:v>
      </x:c>
    </x:row>
    <x:row r="131">
      <x:c r="A131" s="64" t="str">
        <x:v>​2883161239111114752</x:v>
      </x:c>
      <x:c r="B131" s="65" t="str">
        <x:v>送分题</x:v>
      </x:c>
      <x:c r="C131" s="65" t="str">
        <x:v>送分题</x:v>
      </x:c>
      <x:c r="D131" s="65" t="str">
        <x:v>送分题|基础题</x:v>
      </x:c>
      <x:c r="E131" s="65" t="str">
        <x:v>保留主标签；相邻双档均可</x:v>
      </x:c>
      <x:c r="F131" s="65" t="str">
        <x:v>中</x:v>
      </x:c>
      <x:c r="G131" s="65" t="str">
        <x:v>送分题</x:v>
      </x:c>
      <x:c r="H131" s="65" t="str">
        <x:v>基础题</x:v>
      </x:c>
      <x:c r="I131" s="65" t="str">
        <x:v>多个空/选项彼此独立，不形成连续链；最高难任务属于教材概念与常规物理关系中的1—2步直接应用、规范操作或简单因果判断。需要理解/应用而非纯识记，但没有共享中间结论、完整连续过程或隐含转换。</x:v>
      </x:c>
      <x:c r="J131" s="65" t="str">
        <x:v>三次运行错题并集逐题复核</x:v>
      </x:c>
      <x:c r="K131" s="63" t="str">
        <x:v>关于重力的说法正确的是（ ）</x:v>
      </x:c>
      <x:c r="L131" s="63" t="str">
        <x:v>A. 质量与重力成正比 B. 重力的施力物体是地球 C. 重力的方向始终垂直向下 D. 重力只作用在物体的重心上</x:v>
      </x:c>
      <x:c r="M131" s="63" t="str">
        <x:v>解：A．物体的重力与质量成正比，质量与重力无关，故A错误； B．由于地球的吸引而使物体受到的力叫重力，重力的施力物体是地球，故B正确； C．重力的方向始终竖直向下的，故C错误； D．重力是因地球对物体的引力而产生的，物体的各部分都受到重力作用，故D错误。 故选：B。</x:v>
      </x:c>
      <x:c r="N131" s="63" t="str">
        <x:v>https://k12static.xdf.cn/k12/image/externalized/e7ad5d20-aa79-4c98-9b6e-ce0eeb17d022.png</x:v>
      </x:c>
      <x:c r="O131" s="63" t="str">
        <x:v>https://k12static.xdf.cn/k12/image/externalized/4f98bbe8-5839-4ab3-b56e-b8155808531f.png</x:v>
      </x:c>
      <x:c r="P131" s="63" t="str">
        <x:v>1-2步</x:v>
      </x:c>
      <x:c r="Q131" s="63" t="str">
        <x:v>概念判断</x:v>
      </x:c>
      <x:c r="R131" s="63" t="str">
        <x:v>单状态</x:v>
      </x:c>
      <x:c r="S131" s="63" t="str">
        <x:v>无约束</x:v>
      </x:c>
      <x:c r="T131" s="63" t="str">
        <x:v>无</x:v>
      </x:c>
      <x:c r="U131" s="63" t="str">
        <x:v>无</x:v>
      </x:c>
      <x:c r="V131" s="63" t="str">
        <x:v>简单因果推理</x:v>
      </x:c>
    </x:row>
    <x:row r="132">
      <x:c r="A132" s="64" t="str">
        <x:v>​2923952905620643840</x:v>
      </x:c>
      <x:c r="B132" s="65" t="str">
        <x:v>基础题</x:v>
      </x:c>
      <x:c r="C132" s="65" t="str">
        <x:v>基础题</x:v>
      </x:c>
      <x:c r="D132" s="65" t="str">
        <x:v>基础题|中等题</x:v>
      </x:c>
      <x:c r="E132" s="65" t="str">
        <x:v>保留主标签；相邻双档均可</x:v>
      </x:c>
      <x:c r="F132" s="65" t="str">
        <x:v>中</x:v>
      </x:c>
      <x:c r="G132" s="65" t="str">
        <x:v>基础题</x:v>
      </x:c>
      <x:c r="H132" s="65" t="str">
        <x:v>基础题</x:v>
      </x:c>
      <x:c r="I132" s="65" t="str">
        <x:v>最高难任务为1—2步显性应用、规范操作或简单因果，没有连续模型转换。 题目证据：最长连续链实际有2个有效物理决策：第一步是正确识别杠杆倾斜时两个力的力臂，判断出L_A &gt; L_B；第二步利用杠杆平衡条件F1l1=F2l2推导两个重物的重力关系。五维中知识量为同模块2个关联知识点，过程为单状态杠杆，数学工具无复杂计算，情境是常规杠杆模型，思维层次属于简单因果推理，核心易错点是容易把AO、BO直接当作力臂忽略杠杆倾斜的影响。</x:v>
      </x:c>
      <x:c r="J132" s="65" t="str">
        <x:v>三次运行错题并集逐题复核</x:v>
      </x:c>
      <x:c r="K132" s="63" t="str">
        <x:v>如图所示，轻质杠杆AOB的支点是O，AO=BO。若在A和B端分别悬挂两个重物后，杠杆恰好在图示位置平衡，则（ ）</x:v>
      </x:c>
      <x:c r="L132" s="63" t="str">
        <x:v>A. A端较重 B. B端较重 C. 两边一样重 D. 无法确定</x:v>
      </x:c>
      <x:c r="M132" s="63" t="str">
        <x:v>解：根据力臂是从支点到力的作用下的距离，左侧力臂大于右侧，故右侧的力臂较小，根据杠杆的平衡条件F1l1=F2l2可知GA＜GB，B端较重，故B符合题意，ACD不符合题意。 故选：B。</x:v>
      </x:c>
      <x:c r="N132" s="63" t="str">
        <x:v>https://k12static.xdf.cn/k12/image/externalized/eaa9fbfe-4cfb-4099-8913-1e7b1243b7fd.png</x:v>
      </x:c>
      <x:c r="O132" s="63" t="str">
        <x:v>https://k12static.xdf.cn/k12/image/externalized/faf70d79-3b1d-4126-98cd-1df0677c7abb.png</x:v>
      </x:c>
      <x:c r="P132" s="63" t="str">
        <x:v>1-2步</x:v>
      </x:c>
      <x:c r="Q132" s="63" t="str">
        <x:v>力学综合</x:v>
      </x:c>
      <x:c r="R132" s="63" t="str">
        <x:v>单状态</x:v>
      </x:c>
      <x:c r="S132" s="63" t="str">
        <x:v>单一约束</x:v>
      </x:c>
      <x:c r="T132" s="63" t="str">
        <x:v>无</x:v>
      </x:c>
      <x:c r="U132" s="63" t="str">
        <x:v>无</x:v>
      </x:c>
      <x:c r="V132" s="63" t="str">
        <x:v>简单因果推理</x:v>
      </x:c>
    </x:row>
    <x:row r="133">
      <x:c r="A133" s="64" t="str">
        <x:v>​2974679389878120448</x:v>
      </x:c>
      <x:c r="B133" s="65" t="str">
        <x:v>中等题</x:v>
      </x:c>
      <x:c r="C133" s="65" t="str">
        <x:v>中等题</x:v>
      </x:c>
      <x:c r="D133" s="65" t="str">
        <x:v>基础题|中等题</x:v>
      </x:c>
      <x:c r="E133" s="65" t="str">
        <x:v>保留主标签；相邻双档均可</x:v>
      </x:c>
      <x:c r="F133" s="65" t="str">
        <x:v>中</x:v>
      </x:c>
      <x:c r="G133" s="65" t="str">
        <x:v>中等题</x:v>
      </x:c>
      <x:c r="H133" s="65" t="str">
        <x:v>基础题</x:v>
      </x:c>
      <x:c r="I133" s="65" t="str">
        <x:v>需要围绕标准实验流程、读数与数据归纳完成常规的3—4个有效决策，或完成一套完整标准实验/共享过程分析。关系仍显性、方法常规，没有决定性隐含转换、复杂边界筛选或多状态强耦合。</x:v>
      </x:c>
      <x:c r="J133" s="65" t="str">
        <x:v>三次运行错题并集逐题复核</x:v>
      </x:c>
      <x:c r="K133" s="63" t="str">
        <x:v>小明乘坐动车时，为了检验动力行驶过程中的平衡性而做的实验，他将装满水的矿泉水瓶倒立在高速行驶的动车的桌面上，他惊奇的发现矿泉水瓶稳稳的倒立在桌面上，关于这一现象，下列说法中错误的是（ ）</x:v>
      </x:c>
      <x:c r="L133" s="63" t="str">
        <x:v>A. 矿泉水瓶的重力和桌面对矿泉水瓶的支持力是一对平衡力 B. 矿泉水瓶的重力和桌面对矿泉水瓶的支持力是一对相互作用力 C. 若高速行驶的动车突然刹车，矿泉水瓶会倒向前方 D. 矿泉水瓶和动车的运动速度相同，惯性大小也相同</x:v>
      </x:c>
      <x:c r="M133" s="63" t="str">
        <x:v>解：A、矿泉水瓶的重力和桌面对矿泉水瓶的支持力，大小不相等、方向相反、作用在同一个物体上，作用在同一条直线上是一对平衡力。故A错误。 B、矿泉水瓶的重力和桌面对矿泉水瓶的支持力是作用在同一物体上两个力，不是一对相互作用力。故B错误。 C、原来矿泉水瓶与车一起向前运动，若车突然刹车，车停止，由于惯性矿泉水瓶仍保持原来的运动状态，所以矿泉水瓶应倒向前方。故C正确。 D、惯性大小只与质量有关，与速度大小无关，矿泉水瓶和动车的质量不相同，惯性大小不同。故D错误。 故选：ABD。</x:v>
      </x:c>
      <x:c r="N133" s="63" t="str">
        <x:v>https://k12static.xdf.cn/k12/image/externalized/922364e9-d8b4-4c79-90be-3e0e725f210d.png</x:v>
      </x:c>
      <x:c r="O133" s="63" t="str">
        <x:v>https://k12static.xdf.cn/k12/image/externalized/8d35aaff-7dc4-4639-abf9-133e670db84b.png</x:v>
      </x:c>
      <x:c r="P133" s="63" t="str">
        <x:v>1-2步</x:v>
      </x:c>
      <x:c r="Q133" s="63" t="str">
        <x:v>概念判断</x:v>
      </x:c>
      <x:c r="R133" s="63" t="str">
        <x:v>单状态</x:v>
      </x:c>
      <x:c r="S133" s="63" t="str">
        <x:v>无约束</x:v>
      </x:c>
      <x:c r="T133" s="63" t="str">
        <x:v>无</x:v>
      </x:c>
      <x:c r="U133" s="63" t="str">
        <x:v>无</x:v>
      </x:c>
      <x:c r="V133" s="63" t="str">
        <x:v>多层因果推理</x:v>
      </x:c>
    </x:row>
    <x:row r="134">
      <x:c r="A134" s="64" t="str">
        <x:v>​3019585172721106944</x:v>
      </x:c>
      <x:c r="B134" s="65" t="str">
        <x:v>基础题</x:v>
      </x:c>
      <x:c r="C134" s="65" t="str">
        <x:v>基础题</x:v>
      </x:c>
      <x:c r="D134" s="65" t="str">
        <x:v>送分题|基础题</x:v>
      </x:c>
      <x:c r="E134" s="65" t="str">
        <x:v>保留主标签；相邻双档均可</x:v>
      </x:c>
      <x:c r="F134" s="65" t="str">
        <x:v>中</x:v>
      </x:c>
      <x:c r="G134" s="65" t="str">
        <x:v>基础题</x:v>
      </x:c>
      <x:c r="H134" s="65" t="str">
        <x:v>中等题</x:v>
      </x:c>
      <x:c r="I134" s="65" t="str">
        <x:v>多个空/选项彼此独立，不形成连续链；最高难任务属于教材概念与常规物理关系中的1—2步直接应用、规范操作或简单因果判断。需要理解/应用而非纯识记，但没有共享中间结论、完整连续过程或隐含转换。</x:v>
      </x:c>
      <x:c r="J134" s="65" t="str">
        <x:v>三次运行错题并集逐题复核</x:v>
      </x:c>
      <x:c r="K134" s="63" t="str">
        <x:v>2023年11月，全国越野山地自行车邀请赛在普集街道举行。右图是比赛过程中的一张照片，根据图片提供的信息，下列估测比较接近实际的是（ ）</x:v>
      </x:c>
      <x:c r="L134" s="63" t="str">
        <x:v>A. 参加比赛的运动员质量约为65kg B. 山地自行车车轮的直径约为1m C. 普通人平时的骑行速度约为5m/s D. 运动员长时间骑行功率约为70W</x:v>
      </x:c>
      <x:c r="M134" s="63" t="str">
        <x:v>A．运动员质量约为65kg，故A符合题意；B．山地自行车车轮的直径在70cm，即0.7m左右，故B不符合题意；C．普通人平时的骑行速度约为5m/s，故C符合题意；D．运动员长时间骑行的速度约4m/s，施加的动力约为20N，功率约为$P=\dfrac{W}{t}=\dfrac{Fs}{t}=Fv=20\mathrm{N}\times 4\mathrm{m}/\mathrm{s}=80\mathrm{W}$故D符合题意。故选ACD。</x:v>
      </x:c>
      <x:c r="N134" s="63" t="str">
        <x:v>https://k12static.xdf.cn/k12/image/externalized/3d14cc14-5e84-4739-82ef-cefffcd4019d.png</x:v>
      </x:c>
      <x:c r="O134" s="63" t="str">
        <x:v>https://k12static.xdf.cn/k12/image/externalized/fa77fd06-884e-4d1e-90fa-dd31aa86b078.png</x:v>
      </x:c>
      <x:c r="P134" s="63" t="str">
        <x:v>1-2步</x:v>
      </x:c>
      <x:c r="Q134" s="63" t="str">
        <x:v>概念判断</x:v>
      </x:c>
      <x:c r="R134" s="63" t="str">
        <x:v>单状态</x:v>
      </x:c>
      <x:c r="S134" s="63" t="str">
        <x:v>无约束</x:v>
      </x:c>
      <x:c r="T134" s="63" t="str">
        <x:v>无</x:v>
      </x:c>
      <x:c r="U134" s="63" t="str">
        <x:v>无</x:v>
      </x:c>
      <x:c r="V134" s="63" t="str">
        <x:v>简单因果推理</x:v>
      </x:c>
    </x:row>
    <x:row r="135">
      <x:c r="A135" s="64" t="str">
        <x:v>​3032812287435792384</x:v>
      </x:c>
      <x:c r="B135" s="65" t="str">
        <x:v>压轴题</x:v>
      </x:c>
      <x:c r="C135" s="65" t="str">
        <x:v>压轴题</x:v>
      </x:c>
      <x:c r="D135" s="65" t="str">
        <x:v>拔高题|压轴题</x:v>
      </x:c>
      <x:c r="E135" s="65" t="str">
        <x:v>保留主标签；相邻双档均可</x:v>
      </x:c>
      <x:c r="F135" s="65" t="str">
        <x:v>中</x:v>
      </x:c>
      <x:c r="G135" s="65" t="str">
        <x:v>拔高题</x:v>
      </x:c>
      <x:c r="H135" s="65" t="str">
        <x:v>压轴题</x:v>
      </x:c>
      <x:c r="I135" s="65" t="str">
        <x:v>题目把教材概念与常规物理关系组织成多对象、多状态、多约束的共享模型网络，后续任务依赖前述状态/参数，并要求分类、临界/边界、有效解筛选或可行性验证，属于7步以上的完整耦合链。</x:v>
      </x:c>
      <x:c r="J135" s="65" t="str">
        <x:v>三次运行错题并集逐题复核</x:v>
      </x:c>
      <x:c r="K135" s="63" t="str">
        <x:v>量热器内的容器中盛有一定温度、一定质量的热水。如果将质量为6000g、温度为﹣11℃的冰投入容器中，则容器中的物质将恰好全部结冰。如果投入的冰块质量为100g、温度为0℃，则容器中的物质将恰好全部化为水。容器内原有水的质量为 g。如果一开始投入冰的质量为100g、温度为﹣11℃，则最终容器内的温度为 ℃。已知冰的熔化热λ=330kJ/kg，冰的比热为ci=2100J/（kg•℃），水的比热为c=4200J/（kg•℃）。</x:v>
      </x:c>
      <x:c r="L135" s="63" t="str"/>
      <x:c r="M135" s="63" t="str">
        <x:v>[1][2]如果将质量为6000g、温度为﹣11℃的冰投入容器中，则容器中的物质将恰好全部结冰，说明冰从﹣11℃升高到0℃吸收的热量等于水从初温降低到0℃放出的热量和水凝固放出的热量之和，即$Q_{\mathrm{冰吸}1}=Q_{\mathrm{水放}}+Q_{\mathrm{水固}}$故$c_{\mathrm{冰}}m_{\mathrm{冰}1}\Delta t_{\mathrm{冰}1}=c_{\mathrm{水}}m_{\mathrm{水}}\Delta t_{\mathrm{水}}+\lambda m_{\mathrm{水}}$……①投入的冰块质量为100g、温度为0℃，则容器中的物质将恰好全部化为水，说明冰熔化吸收的热量等于水从初温降低到0℃放出的热量，即$Q_{\mathrm{冰吸}2}=Q_{\mathrm{放水}}$故$\lambda m_{\mathrm{冰}2}=c_{\mathrm{水}}m_{\mathrm{水}}\Delta t_{\mathrm{水}}$……②由①②可知$c_{\mathrm{冰}}m_{\mathrm{冰}1}\Delta t_{\mathrm{冰}1}=\lambda m_{\mathrm{冰}2}+\lambda m_{\mathrm{水}}$则$m_{\mathrm{水}}=\dfrac{c_{\mathrm{冰}}m_{\mathrm{冰}1}\Delta t_{\mathrm{冰}1}-\lambda m_{\mathrm{冰}2}}{\lambda }=\dfrac{2100\mathrm{J}/\left(\mathrm{kg}\cdot \text{℃}\right)\times 6\mathrm{kg}\times 11\text{℃}-330\times 10^{3}\mathrm{J}/\mathrm{kg}\times 0.1\mathrm{kg}}{330\times 10^{3}\mathrm{J}/\mathrm{kg}}=0.32\mathrm{kg}=320\mathrm{g}$将m水带入②式得$\Delta t=\dfrac{\lambda m_{\mathrm{冰}2}}{c_{\mathrm{水}}m_{\mathrm{水}}}=\dfrac{330\times 10^{3}\mathrm{J}/\mathrm{kg}\times 0.1\mathrm{kg}}{4200\mathrm{J}/\left(\mathrm{kg}\cdot \text{℃}\right)\times 0.32\mathrm{kg}}\approx 24.6\text{℃}$则容器内原有水的初温为$t_{0}=t+\Delta t=0\text{℃}+24.6\text{℃}=24.6\text{℃}$如果一开始投入冰的质量为100g、温度为﹣11℃，那么冰完全熔化吸收的热量为$Q_{\mathrm{吸冰}}_{3}=c_{\mathrm{冰}}m_{\mathrm{冰}}_{3}\Delta t_{\mathrm{冰}}_{3}+\lambda m_{\mathrm{冰}}_{3}=2100\mathrm{J}/\left(\mathrm{kg}\cdot \text{℃}\right)\times 0.1kg\times 11\text{℃}+330\times 10^{3}\mathrm{J}/\mathrm{kg}\times 0.1\mathrm{kg}=35310\mathrm{J}$容器内原有的水温度降低到0℃放出的热量为$Q_{\mathrm{放水}}=c_{\mathrm{水}}m_{\mathrm{水}}\Delta t_{\mathrm{水}}=4200\mathrm{J}/\left(\mathrm{kg}\cdot \text{℃}\right)\times 0.32\mathrm{kg}\times 24.6\text{℃}=33062.4\mathrm{J}$由于$Q_{\mathrm{吸冰}3}&gt; Q_{\mathrm{放水}}$说明冰不能完全熔化，此时处于冰水混合物状态，故最终容器内的温度为0℃。</x:v>
      </x:c>
      <x:c r="N135" s="63" t="str">
        <x:v>https://k12static.xdf.cn/k12/image/externalized/f159f033-87b3-433a-87d2-eb36aab72775.png</x:v>
      </x:c>
      <x:c r="O135" s="63" t="str">
        <x:v>https://k12static.xdf.cn/k12/image/externalized/c663aeac-db59-4347-864e-a0e47b8e6b78.png</x:v>
      </x:c>
      <x:c r="P135" s="63" t="str">
        <x:v>6-8步</x:v>
      </x:c>
      <x:c r="Q135" s="63" t="str">
        <x:v>热学综合</x:v>
      </x:c>
      <x:c r="R135" s="63" t="str">
        <x:v>多状态</x:v>
      </x:c>
      <x:c r="S135" s="63" t="str">
        <x:v>多约束</x:v>
      </x:c>
      <x:c r="T135" s="63" t="str">
        <x:v>无</x:v>
      </x:c>
      <x:c r="U135" s="63" t="str">
        <x:v>无</x:v>
      </x:c>
      <x:c r="V135" s="63" t="str">
        <x:v>逆向推理或临界分析</x:v>
      </x:c>
    </x:row>
    <x:row r="136">
      <x:c r="A136" s="64" t="str">
        <x:v>​3055882987938803712</x:v>
      </x:c>
      <x:c r="B136" s="65" t="str">
        <x:v>送分题</x:v>
      </x:c>
      <x:c r="C136" s="65" t="str">
        <x:v>送分题</x:v>
      </x:c>
      <x:c r="D136" s="65" t="str">
        <x:v>送分题|基础题</x:v>
      </x:c>
      <x:c r="E136" s="65" t="str">
        <x:v>保留主标签；相邻双档均可</x:v>
      </x:c>
      <x:c r="F136" s="65" t="str">
        <x:v>中</x:v>
      </x:c>
      <x:c r="G136" s="65" t="str">
        <x:v>送分题</x:v>
      </x:c>
      <x:c r="H136" s="65" t="str">
        <x:v>基础题</x:v>
      </x:c>
      <x:c r="I136" s="65" t="str">
        <x:v>多个空/选项彼此独立，不形成连续链；最高难任务属于力学模型、运动/受力与能量关系中的1—2步直接应用、规范操作或简单因果判断。需要理解/应用而非纯识记，但没有共享中间结论、完整连续过程或隐含转换。</x:v>
      </x:c>
      <x:c r="J136" s="65" t="str">
        <x:v>三次运行错题并集逐题复核</x:v>
      </x:c>
      <x:c r="K136" s="63" t="str">
        <x:v>如图甲所示是一款电脑鼠标，它的按键可看作简单的杠杆，如图乙所示，A为按键，O为支点，下列选项和鼠标杠杆类型相同的是（ ）</x:v>
      </x:c>
      <x:c r="L136" s="63" t="str">
        <x:v>A. 筷子 B. 天平 C. 钓鱼竿 D. 羊角锤</x:v>
      </x:c>
      <x:c r="M136" s="63" t="str">
        <x:v>解：鼠标在使用过程中，动力臂大于阻力臂，属于省力杠杆； AC、筷子、钓鱼竿在使用过程中，动力臂小于阻力臂，属于费力杠杆，故AC错误； B、天平在使用过程中，动力臂等于阻力臂，属于等臂杠杆，故B错误； D、羊角锤在使用过程中，动力臂大于阻力臂，属于省力杠杆，故D正确。 故选：D。</x:v>
      </x:c>
      <x:c r="N136" s="63" t="str">
        <x:v>https://k12static.xdf.cn/k12/image/externalized/08464544-e09f-4dc7-b4d3-e647140512d1.png</x:v>
      </x:c>
      <x:c r="O136" s="63" t="str">
        <x:v>https://k12static.xdf.cn/k12/image/externalized/dd78df28-52c1-4c16-972c-d93606ee6e05.png</x:v>
      </x:c>
      <x:c r="P136" s="63" t="str">
        <x:v>1-2步</x:v>
      </x:c>
      <x:c r="Q136" s="63" t="str">
        <x:v>概念判断</x:v>
      </x:c>
      <x:c r="R136" s="63" t="str">
        <x:v>单状态</x:v>
      </x:c>
      <x:c r="S136" s="63" t="str">
        <x:v>无约束</x:v>
      </x:c>
      <x:c r="T136" s="63" t="str">
        <x:v>无</x:v>
      </x:c>
      <x:c r="U136" s="63" t="str">
        <x:v>无</x:v>
      </x:c>
      <x:c r="V136" s="63" t="str">
        <x:v>简单因果推理</x:v>
      </x:c>
    </x:row>
    <x:row r="137">
      <x:c r="A137" s="64" t="str">
        <x:v>​3061392439711125504</x:v>
      </x:c>
      <x:c r="B137" s="65" t="str">
        <x:v>送分题</x:v>
      </x:c>
      <x:c r="C137" s="65" t="str">
        <x:v>送分题</x:v>
      </x:c>
      <x:c r="D137" s="65" t="str">
        <x:v>送分题|基础题</x:v>
      </x:c>
      <x:c r="E137" s="65" t="str">
        <x:v>保留主标签；相邻双档均可</x:v>
      </x:c>
      <x:c r="F137" s="65" t="str">
        <x:v>中</x:v>
      </x:c>
      <x:c r="G137" s="65" t="str">
        <x:v>送分题</x:v>
      </x:c>
      <x:c r="H137" s="65" t="str">
        <x:v>基础题</x:v>
      </x:c>
      <x:c r="I137" s="65" t="str">
        <x:v>多个空/选项彼此独立，不形成连续链；最高难任务属于力学模型、运动/受力与能量关系中的1—2步直接应用、规范操作或简单因果判断。需要理解/应用而非纯识记，但没有共享中间结论、完整连续过程或隐含转换。</x:v>
      </x:c>
      <x:c r="J137" s="65" t="str">
        <x:v>三次运行错题并集逐题复核</x:v>
      </x:c>
      <x:c r="K137" s="63" t="str">
        <x:v>关于摩擦起电的判断下列说法是否正确</x:v>
      </x:c>
      <x:c r="L137" s="63" t="str"/>
      <x:c r="M137" s="63" t="str"/>
      <x:c r="N137" s="63" t="str">
        <x:v>https://k12static.xdf.cn/k12/image/externalized/af0dfeff-3a10-4f1a-81c8-1ec00b2a98a7.png</x:v>
      </x:c>
      <x:c r="O137" s="63" t="str">
        <x:v>https://k12static.xdf.cn/k12/image/externalized/a7b71541-b646-4043-852a-68afc955e715.png</x:v>
      </x:c>
      <x:c r="P137" s="63" t="str">
        <x:v>1-2步</x:v>
      </x:c>
      <x:c r="Q137" s="63" t="str">
        <x:v>概念判断</x:v>
      </x:c>
      <x:c r="R137" s="63" t="str">
        <x:v>单状态</x:v>
      </x:c>
      <x:c r="S137" s="63" t="str">
        <x:v>无约束</x:v>
      </x:c>
      <x:c r="T137" s="63" t="str">
        <x:v>无</x:v>
      </x:c>
      <x:c r="U137" s="63" t="str">
        <x:v>无</x:v>
      </x:c>
      <x:c r="V137" s="63" t="str">
        <x:v>直接套用</x:v>
      </x:c>
    </x:row>
    <x:row r="138">
      <x:c r="A138" s="64" t="str">
        <x:v>​3087035829816758272</x:v>
      </x:c>
      <x:c r="B138" s="65" t="str">
        <x:v>送分题</x:v>
      </x:c>
      <x:c r="C138" s="65" t="str">
        <x:v>送分题</x:v>
      </x:c>
      <x:c r="D138" s="65" t="str">
        <x:v>送分题|基础题</x:v>
      </x:c>
      <x:c r="E138" s="65" t="str">
        <x:v>保留主标签；相邻双档均可</x:v>
      </x:c>
      <x:c r="F138" s="65" t="str">
        <x:v>中</x:v>
      </x:c>
      <x:c r="G138" s="65" t="str">
        <x:v>送分题</x:v>
      </x:c>
      <x:c r="H138" s="65" t="str">
        <x:v>送分题</x:v>
      </x:c>
      <x:c r="I138" s="65" t="str">
        <x:v>只需识别一个熟悉教材模板，没有第二次物理决策。 题目证据：最长连续链只有1个有效物理决策，两个小问均直接调用平面镜成像的同一规律结论；第一问为一步整数加法，不需要规律选择、模型重构或连续推理。五维锚定符合送分题特征，不存在复杂建模或分析任务。</x:v>
      </x:c>
      <x:c r="J138" s="65" t="str">
        <x:v>三次运行错题并集逐题复核</x:v>
      </x:c>
      <x:c r="K138" s="63" t="str">
        <x:v>如图所示，摄影师抓拍到鸟儿在湖面觅食的画面，若鸟儿距离湖面30cm,则它的像距离鸟儿 cm；若鸟儿远离湖面飞走，则它在湖水中所成像的大小 （选填“变大”、“变小”或“不变”）。</x:v>
      </x:c>
      <x:c r="L138" s="63" t="str"/>
      <x:c r="M138" s="63" t="str">
        <x:v>解：平静的湖面相当于平面镜，根据平面镜成像特点：像与物大小相同，像到平面镜的距离和物体到平面镜距离相等。鸟儿距离湖面30cm,则鸟儿在湖水中的像距湖面也是30cm,所以它的像距离鸟儿的距离为30cm+30cm=60cm。 平面镜成像时，像和物体的大小相等，由于鸟儿大小不变，因此鸟儿远离湖面时，湖水中鸟儿的像的大小不变。 故答案为：60；不变。</x:v>
      </x:c>
      <x:c r="N138" s="63" t="str">
        <x:v>https://k12static.xdf.cn/k12/image/externalized/b966a9fa-04c4-49f8-b8b4-371c43b22988.png</x:v>
      </x:c>
      <x:c r="O138" s="63" t="str">
        <x:v>https://k12static.xdf.cn/k12/image/externalized/c41df135-9a82-4f5e-b9e7-f0d538af9818.png</x:v>
      </x:c>
      <x:c r="P138" s="63" t="str">
        <x:v>1-2步</x:v>
      </x:c>
      <x:c r="Q138" s="63" t="str">
        <x:v>光学声学综合</x:v>
      </x:c>
      <x:c r="R138" s="63" t="str">
        <x:v>单状态</x:v>
      </x:c>
      <x:c r="S138" s="63" t="str">
        <x:v>无约束</x:v>
      </x:c>
      <x:c r="T138" s="63" t="str">
        <x:v>无</x:v>
      </x:c>
      <x:c r="U138" s="63" t="str">
        <x:v>无</x:v>
      </x:c>
      <x:c r="V138" s="63" t="str">
        <x:v>简单因果推理</x:v>
      </x:c>
    </x:row>
    <x:row r="139">
      <x:c r="A139" s="64" t="str">
        <x:v>​3109812657669292033</x:v>
      </x:c>
      <x:c r="B139" s="65" t="str">
        <x:v>基础题</x:v>
      </x:c>
      <x:c r="C139" s="65" t="str">
        <x:v>基础题</x:v>
      </x:c>
      <x:c r="D139" s="65" t="str">
        <x:v>送分题|基础题</x:v>
      </x:c>
      <x:c r="E139" s="65" t="str">
        <x:v>保留主标签；相邻双档均可</x:v>
      </x:c>
      <x:c r="F139" s="65" t="str">
        <x:v>中</x:v>
      </x:c>
      <x:c r="G139" s="65" t="str">
        <x:v>基础题</x:v>
      </x:c>
      <x:c r="H139" s="65" t="str">
        <x:v>送分题</x:v>
      </x:c>
      <x:c r="I139" s="65" t="str">
        <x:v>凹镜圆心处光线沿法线入射并原路返回，只调用一个教材原型规则，没有第二次物理决策，可判送分。</x:v>
      </x:c>
      <x:c r="J139" s="65" t="str">
        <x:v>三次运行错题并集逐题复核</x:v>
      </x:c>
      <x:c r="K139" s="63" t="str">
        <x:v>从凹镜镜面的圆心处发射的光线被凹镜反射后将（ ）</x:v>
      </x:c>
      <x:c r="L139" s="63" t="str">
        <x:v>A. 会聚在焦点处 B. 按原来的路线反射回来 C. 成为平行光 D. 反射后的光线方向难以确定</x:v>
      </x:c>
      <x:c r="M139" s="63" t="str">
        <x:v>过凹镜每一点的法线过凹镜的圆心，从凹镜镜面的圆心处发射的光线与法线重合，此时入射角等于0，反射角也等于0，则反射光线按原来的路线反射回来，故ACD不符合题意，B符合题意。故选B。</x:v>
      </x:c>
      <x:c r="N139" s="63" t="str">
        <x:v>https://k12static.xdf.cn/k12/image/externalized/ee33c281-5d06-4469-8a4d-33a59bffa9b7.png</x:v>
      </x:c>
      <x:c r="O139" s="63" t="str">
        <x:v>https://k12static.xdf.cn/k12/image/externalized/f9c70115-380a-43bb-baf2-33031e518099.png</x:v>
      </x:c>
      <x:c r="P139" s="63" t="str">
        <x:v>1-2步</x:v>
      </x:c>
      <x:c r="Q139" s="63" t="str">
        <x:v>概念判断</x:v>
      </x:c>
      <x:c r="R139" s="63" t="str">
        <x:v>单状态</x:v>
      </x:c>
      <x:c r="S139" s="63" t="str">
        <x:v>无约束</x:v>
      </x:c>
      <x:c r="T139" s="63" t="str">
        <x:v>无</x:v>
      </x:c>
      <x:c r="U139" s="63" t="str">
        <x:v>无</x:v>
      </x:c>
      <x:c r="V139" s="63" t="str">
        <x:v>简单因果推理</x:v>
      </x:c>
    </x:row>
    <x:row r="140">
      <x:c r="A140" s="64" t="str">
        <x:v>​3113572355405549568</x:v>
      </x:c>
      <x:c r="B140" s="65" t="str">
        <x:v>送分题</x:v>
      </x:c>
      <x:c r="C140" s="65" t="str">
        <x:v>送分题</x:v>
      </x:c>
      <x:c r="D140" s="65" t="str">
        <x:v>送分题|基础题</x:v>
      </x:c>
      <x:c r="E140" s="65" t="str">
        <x:v>保留主标签；相邻双档均可</x:v>
      </x:c>
      <x:c r="F140" s="65" t="str">
        <x:v>中</x:v>
      </x:c>
      <x:c r="G140" s="65" t="str">
        <x:v>基础题</x:v>
      </x:c>
      <x:c r="H140" s="65" t="str">
        <x:v>送分题</x:v>
      </x:c>
      <x:c r="I140" s="65" t="str">
        <x:v>只需识别一个熟悉教材模板，没有第二次物理决策。 题目证据：最长连续链仅1个有效物理决策，五维中知识量为单一基础知识点，单对象单状态，无运算，情境为教材原型，思维层次为直接识别。任务为直接套用凹透镜特殊光线折射规则作图，无复杂建模或连续推理。</x:v>
      </x:c>
      <x:c r="J140" s="65" t="str">
        <x:v>三次运行错题并集逐题复核</x:v>
      </x:c>
      <x:c r="K140" s="63" t="str">
        <x:v>在图中，根据给出的入射光线画出折射光线。</x:v>
      </x:c>
      <x:c r="L140" s="63" t="str"/>
      <x:c r="M140" s="63" t="str">
        <x:v>平行于主光轴的光线经凹透镜折射后，其折射光线的反向延长线过焦点，过光心的光线经凹透镜折射后传播方向不改变，如图所示：</x:v>
      </x:c>
      <x:c r="N140" s="63" t="str">
        <x:v>https://k12static.xdf.cn/k12/image/externalized/2a9e6bf0-5ec8-4f6c-8a27-339b7d1da4c8.png</x:v>
      </x:c>
      <x:c r="O140" s="63" t="str">
        <x:v>https://k12static.xdf.cn/k12/image/externalized/4ee6bad1-1935-4301-99b1-49a09be9cbe8.png</x:v>
      </x:c>
      <x:c r="P140" s="63" t="str">
        <x:v>1-2步</x:v>
      </x:c>
      <x:c r="Q140" s="63" t="str">
        <x:v>光学声学综合</x:v>
      </x:c>
      <x:c r="R140" s="63" t="str">
        <x:v>单状态</x:v>
      </x:c>
      <x:c r="S140" s="63" t="str">
        <x:v>无约束</x:v>
      </x:c>
      <x:c r="T140" s="63" t="str">
        <x:v>无</x:v>
      </x:c>
      <x:c r="U140" s="63" t="str">
        <x:v>无</x:v>
      </x:c>
      <x:c r="V140" s="63" t="str">
        <x:v>直接套用</x:v>
      </x:c>
    </x:row>
    <x:row r="141">
      <x:c r="A141" s="64" t="str">
        <x:v>​3137118938395119616</x:v>
      </x:c>
      <x:c r="B141" s="65" t="str">
        <x:v>基础题</x:v>
      </x:c>
      <x:c r="C141" s="65" t="str">
        <x:v>基础题</x:v>
      </x:c>
      <x:c r="D141" s="65" t="str">
        <x:v>送分题|基础题</x:v>
      </x:c>
      <x:c r="E141" s="65" t="str">
        <x:v>保留主标签；相邻双档均可</x:v>
      </x:c>
      <x:c r="F141" s="65" t="str">
        <x:v>中</x:v>
      </x:c>
      <x:c r="G141" s="65" t="str">
        <x:v>中等题</x:v>
      </x:c>
      <x:c r="H141" s="65" t="str">
        <x:v>基础题</x:v>
      </x:c>
      <x:c r="I141" s="65" t="str">
        <x:v>最高难任务属于教材概念与常规物理关系中的1—2步直接应用、规范操作或简单因果判断。需要理解/应用而非纯识记，但没有共享中间结论、完整连续过程或隐含转换。</x:v>
      </x:c>
      <x:c r="J141" s="65" t="str">
        <x:v>三次运行错题并集逐题复核</x:v>
      </x:c>
      <x:c r="K141" s="63" t="str">
        <x:v>中医是中国古代科学的瑰宝．图甲“艾灸”时，闻到艾草药香是因为分子在 ；图乙“针灸”的针头做得尖是为了增大 ；图丙“拔火罐”时，玻璃罐能“吸附”在皮肤上是 的作用；图丁“刮痧”时，皮肤温度升高是通过 方式改变物体内能。 " style="width:100%;margin-top:5px"&gt;</x:v>
      </x:c>
      <x:c r="L141" s="63" t="str"/>
      <x:c r="M141" s="63" t="str">
        <x:v>[1]闻到艾草药香是扩散现象，说明构成物质的分子永不停息的无规则运动。[2]针头做得尖是通过减小受力面积来增大压强。[3]玻璃罐能“吸附”在皮肤上是现将瓶内的气体排出，瓶内气压变小，在外界大气压的作用下将玻璃罐压在皮肤上。[4]“刮痧”时，克服摩擦做功，将机械能转化为内能，是通过做功的方式改变物体的内能。</x:v>
      </x:c>
      <x:c r="N141" s="63" t="str">
        <x:v>https://k12static.xdf.cn/k12/image/externalized/3d1c729e-16b3-4838-93e0-d4fb472fe43a.png</x:v>
      </x:c>
      <x:c r="O141" s="63" t="str">
        <x:v>https://k12static.xdf.cn/k12/image/externalized/035d190a-7b73-4591-b5f3-c92167ee4b88.png</x:v>
      </x:c>
      <x:c r="P141" s="63" t="str">
        <x:v>1-2步</x:v>
      </x:c>
      <x:c r="Q141" s="63" t="str">
        <x:v>概念判断</x:v>
      </x:c>
      <x:c r="R141" s="63" t="str">
        <x:v>单状态</x:v>
      </x:c>
      <x:c r="S141" s="63" t="str">
        <x:v>无约束</x:v>
      </x:c>
      <x:c r="T141" s="63" t="str">
        <x:v>无</x:v>
      </x:c>
      <x:c r="U141" s="63" t="str">
        <x:v>无</x:v>
      </x:c>
      <x:c r="V141" s="63" t="str">
        <x:v>直接套用</x:v>
      </x:c>
    </x:row>
    <x:row r="142">
      <x:c r="A142" s="64" t="str">
        <x:v>​3157012283682734080</x:v>
      </x:c>
      <x:c r="B142" s="65" t="str">
        <x:v>拔高题</x:v>
      </x:c>
      <x:c r="C142" s="65" t="str">
        <x:v>拔高题</x:v>
      </x:c>
      <x:c r="D142" s="65" t="str">
        <x:v>中等题|拔高题</x:v>
      </x:c>
      <x:c r="E142" s="65" t="str">
        <x:v>保留主标签；相邻双档均可</x:v>
      </x:c>
      <x:c r="F142" s="65" t="str">
        <x:v>中</x:v>
      </x:c>
      <x:c r="G142" s="65" t="str">
        <x:v>中等题</x:v>
      </x:c>
      <x:c r="H142" s="65" t="str">
        <x:v>基础题</x:v>
      </x:c>
      <x:c r="I142" s="65" t="str">
        <x:v>需要围绕标准实验流程、读数与数据归纳完成常规的3—4个有效决策，或完成一套完整标准实验/共享过程分析。关系仍显性、方法常规，没有决定性隐含转换、复杂边界筛选或多状态强耦合。</x:v>
      </x:c>
      <x:c r="J142" s="65" t="str">
        <x:v>三次运行错题并集逐题复核</x:v>
      </x:c>
      <x:c r="K142" s="63" t="str">
        <x:v>在研究同一直线上二力合成的实验中，用弹簧测力计和相同的弹簧分别进行了4组实验。如图所示，$\Delta L$表示每组分别两次实验中弹簧的伸长量。其中力$F$可以作为$F_{1}$、$F_{2}$合力的是（ ）①$\Delta L$相同②$\Delta L$相同③$\Delta L$不同④$\Delta L$不同</x:v>
      </x:c>
      <x:c r="L142" s="63" t="str">
        <x:v>A. 只有①可以 B. 只有①②可以 C. 只有①③可以 D. ①②③都可以</x:v>
      </x:c>
      <x:c r="M142" s="63" t="str">
        <x:v>①$\Delta L$相同，则F单独作用产生的伸长量与$F_{1}$、$F_{2}$共同作用时相同，表明力的作用效果相同，因此，F可以作为$F_{1}$、$F_{2}$的合力；②同样，$\Delta L$相同，表明力的作用效果相同，F可以作为合力；③$\Delta L$不同，表示F单独作用的效果与$F_{1}$、$F_{2}$共同作用不同。因此，F不能作为合力；力；④$\Delta L$不同，同样表示力的作用效果不等效，F不能作为合力；综上所述力$F$可以作为$F_{1}$、$F_{2}$合力的只有①②可以，故B符合题意，ACD不符合题意。故选B。</x:v>
      </x:c>
      <x:c r="N142" s="63" t="str">
        <x:v>https://k12static.xdf.cn/k12/image/externalized/128f3772-bd0a-419a-8ec0-26c16b005a12.png</x:v>
      </x:c>
      <x:c r="O142" s="63" t="str">
        <x:v>https://k12static.xdf.cn/k12/image/externalized/31ce2ee4-88c2-407b-9036-0b2fc2110199.png</x:v>
      </x:c>
      <x:c r="P142" s="63" t="str">
        <x:v>1-2步</x:v>
      </x:c>
      <x:c r="Q142" s="63" t="str">
        <x:v>概念判断</x:v>
      </x:c>
      <x:c r="R142" s="63" t="str">
        <x:v>单状态</x:v>
      </x:c>
      <x:c r="S142" s="63" t="str">
        <x:v>无约束</x:v>
      </x:c>
      <x:c r="T142" s="63" t="str">
        <x:v>控制变量或故障分析</x:v>
      </x:c>
      <x:c r="U142" s="63" t="str">
        <x:v>无</x:v>
      </x:c>
      <x:c r="V142" s="63" t="str">
        <x:v>简单因果推理</x:v>
      </x:c>
    </x:row>
    <x:row r="143">
      <x:c r="A143" s="64" t="str">
        <x:v>​3280538152034914304</x:v>
      </x:c>
      <x:c r="B143" s="65" t="str">
        <x:v>基础题</x:v>
      </x:c>
      <x:c r="C143" s="65" t="str">
        <x:v>基础题</x:v>
      </x:c>
      <x:c r="D143" s="65" t="str">
        <x:v>送分题|基础题</x:v>
      </x:c>
      <x:c r="E143" s="65" t="str">
        <x:v>保留主标签；相邻双档均可</x:v>
      </x:c>
      <x:c r="F143" s="65" t="str">
        <x:v>中</x:v>
      </x:c>
      <x:c r="G143" s="65" t="str">
        <x:v>中等题</x:v>
      </x:c>
      <x:c r="H143" s="65" t="str">
        <x:v>基础题</x:v>
      </x:c>
      <x:c r="I143" s="65" t="str">
        <x:v>最高难任务为1—2步显性应用、规范操作或简单因果，没有连续模型转换。 题目证据：最高难小问实际有效推理不超过1-2步，五维锚定结果：知识量为多个独立基础概念，过程/对象均为单状态静态识别，无需数学计算，情境为常见生活产品不增负担，思维层次为直接识别加简单应用。各小问彼此独立，均为单个知识点直接检索或简单因果映射，无连续综合任务。</x:v>
      </x:c>
      <x:c r="J143" s="65" t="str">
        <x:v>三次运行错题并集逐题复核</x:v>
      </x:c>
      <x:c r="K143" s="63" t="str">
        <x:v>如图甲所示，是一款多孔智能插排。连接上网络时，插排的指示灯发光，通过手机能远程控制插座上所接入用电器的通电情况，但无论是否连接上网络，USB接口都可以正常工作。 （1）将台灯连入插排的插座上使用时，台灯和USB接口的连接方式是 。如果再接入一台电脑，电路的总电流大小会 。 （2）在插排南部的电路板上安有多个如图乙所示的电路元件，该电路元件的名称是 。该元件能用来调节电路中的电流，电流的国际基本单位是 （填写中文名称）。 （3）以上分析利用了《了解电路》单元中的相关内容，请将该单元思维导图丙中①、②缺失的内容依次写在指定位置① 、② 。 （4）若插排中某连接处断开，维修时可以用电烙铁焊接断点，如图丁所示。焊接时，先用电烙铁接触固态的焊锡，电烙铁的温度应 （选填“高于”“等于”或“低于”）固态焊锡的熔点，使焊锡 （填物态变化名称）变成液态，然后再把获得的液态焊锡液滴放至焊点处，等到冷却后电路的两个金属接头就牢牢地连接在一起了。</x:v>
      </x:c>
      <x:c r="L143" s="63" t="str"/>
      <x:c r="M143" s="63" t="str">
        <x:v>解：（1）将台灯连入插排的插座上使用时，台灯和USB接口的连接方式是并联。如果再接入一台电脑，因为并联电路的总电流等于各支路电流之和，故电路的总电流大小会变大。 （2）在插排南部的电路板上安有多个如图乙所示的电路元件，该电路元件的名称是电阻。该元件能用来调节电路中的电流，电流的国际基本单位是安培。 （3）以上分析利用了《了解电路》单元中的相关内容，该单元思维导图丙中①、②缺失的内容依次写在指定位置为：①电源、②电压。 （4）若插排中某连接处断开，维修时可以用电烙铁焊接断点，如图丁所示。焊接时，先用电烙铁接触固态的焊锡，电烙铁的温度应高于（便与热传递）固态焊锡的熔点，使焊锡熔化（从固态变成液态）变成液态，然后再把获得的液态焊锡液滴放至焊点处，等到冷却后电路的两个金属接头就牢牢地连接在一起了。 故答案为：（1）并联；变大；（2）电阻；安培；（3）①电源；②电压；（4）高于；熔化。</x:v>
      </x:c>
      <x:c r="N143" s="63" t="str">
        <x:v>https://k12static.xdf.cn/k12/image/externalized/369ef3dc-31c7-4d09-b4e3-2e991b3cc11f.png</x:v>
      </x:c>
      <x:c r="O143" s="63" t="str">
        <x:v>https://k12static.xdf.cn/k12/image/externalized/ae081146-9672-474f-9bc9-c6221f9b8f8d.png</x:v>
      </x:c>
      <x:c r="P143" s="63" t="str">
        <x:v>1-2步</x:v>
      </x:c>
      <x:c r="Q143" s="63" t="str">
        <x:v>概念判断</x:v>
      </x:c>
      <x:c r="R143" s="63" t="str">
        <x:v>单状态</x:v>
      </x:c>
      <x:c r="S143" s="63" t="str">
        <x:v>无约束</x:v>
      </x:c>
      <x:c r="T143" s="63" t="str">
        <x:v>无</x:v>
      </x:c>
      <x:c r="U143" s="63" t="str">
        <x:v>无</x:v>
      </x:c>
      <x:c r="V143" s="63" t="str">
        <x:v>直接套用</x:v>
      </x:c>
    </x:row>
    <x:row r="144">
      <x:c r="A144" s="64" t="str">
        <x:v>​3417933977256566784</x:v>
      </x:c>
      <x:c r="B144" s="65" t="str">
        <x:v>送分题</x:v>
      </x:c>
      <x:c r="C144" s="65" t="str">
        <x:v>送分题</x:v>
      </x:c>
      <x:c r="D144" s="65" t="str">
        <x:v>送分题|基础题</x:v>
      </x:c>
      <x:c r="E144" s="65" t="str">
        <x:v>保留主标签；相邻双档均可</x:v>
      </x:c>
      <x:c r="F144" s="65" t="str">
        <x:v>中</x:v>
      </x:c>
      <x:c r="G144" s="65" t="str">
        <x:v>送分题</x:v>
      </x:c>
      <x:c r="H144" s="65" t="str">
        <x:v>基础题</x:v>
      </x:c>
      <x:c r="I144" s="65" t="str">
        <x:v>多个空/选项彼此独立，不形成连续链；最高难任务属于标准实验流程、读数与数据归纳中的1—2步直接应用、规范操作或简单因果判断。需要理解/应用而非纯识记，但没有共享中间结论、完整连续过程或隐含转换。</x:v>
      </x:c>
      <x:c r="J144" s="65" t="str">
        <x:v>三次运行错题并集逐题复核</x:v>
      </x:c>
      <x:c r="K144" s="63" t="str">
        <x:v>在科学发展的历程中，许多学者、科学家做出了杰出的贡献，下列叙述正确的是（ ）①沈括最早记述了“地理的两极和地磁两极不重合”的现象；②焦耳最先精确地确定了电流产生的热量与电流、电压、通电时间之间的关系，我们据此可以解释使用大功率电器时导线发热的原因；③奥斯特首先发现了电磁感应现象；④伽利略通过实验分析得出，物体的运动不需要力来维持；⑤牛顿发现了万有引力定律，才有了今天的通信卫星；⑥托里拆利通过实验测出了大气压强的数值，大气压的数值总是等于$1.013\times 10^{5}$Pa。</x:v>
      </x:c>
      <x:c r="L144" s="63" t="str">
        <x:v>A. 只有①、②、⑤正确 B. 只有①、④、⑤正确 C. 只有②、③、⑥正确 D. 只有①、③、④正确</x:v>
      </x:c>
      <x:c r="M144" s="63" t="str">
        <x:v>①沈括在《梦溪笔谈》中最早记述了磁偏角现象，即地理的两极和地磁两极不重合，故①正确；②焦耳最先精确地确定了电流产生的热量与电流、电阻、通电时间之间的关系，即焦耳定律$Q=I^{2}Rt$，而非与电压的关系，故②错误；③奥斯特首先发现了电流的磁效应，即通电导体周围存在磁场；电磁感应现象是法拉第首先发现的，故③错误；④伽利略通过理想斜面实验分析得出，物体的运动不需要力来维持，力是改变物体运动状态的原因，故④正确；⑤牛顿发现了万有引力定律，人们根据万有引力定律可以计算天体的运动轨道等，为通信卫星等航天器的轨道设计等提供了理论基础，才有了今天的通信卫星，故⑤正确；⑥托里拆利通过实验测出了大气压强的数值，标准大气压的数值约为$1.013\times 10^{5}\mathrm{Pa}$，但大气压会随高度、天气等因素变化，不是总是等于$1.013\times 10^{5}\mathrm{Pa}$，故⑥错误。综上所述，只有①、④、⑤正确，故B符合题意，ACD不符合题意。故选B。</x:v>
      </x:c>
      <x:c r="N144" s="63" t="str">
        <x:v>https://k12static.xdf.cn/k12/image/externalized/88dd7e1f-9071-4633-b87d-c38c1b1bdb13.png</x:v>
      </x:c>
      <x:c r="O144" s="63" t="str">
        <x:v>https://k12static.xdf.cn/k12/image/externalized/d79c4384-ac85-4655-913a-7cab5d292871.png</x:v>
      </x:c>
      <x:c r="P144" s="63" t="str">
        <x:v>1-2步</x:v>
      </x:c>
      <x:c r="Q144" s="63" t="str">
        <x:v>概念判断</x:v>
      </x:c>
      <x:c r="R144" s="63" t="str">
        <x:v>单状态</x:v>
      </x:c>
      <x:c r="S144" s="63" t="str">
        <x:v>无约束</x:v>
      </x:c>
      <x:c r="T144" s="63" t="str">
        <x:v>无</x:v>
      </x:c>
      <x:c r="U144" s="63" t="str">
        <x:v>无</x:v>
      </x:c>
      <x:c r="V144" s="63" t="str">
        <x:v>直接套用</x:v>
      </x:c>
    </x:row>
    <x:row r="145">
      <x:c r="A145" s="64" t="str">
        <x:v>​3500965504629080064</x:v>
      </x:c>
      <x:c r="B145" s="65" t="str">
        <x:v>送分题</x:v>
      </x:c>
      <x:c r="C145" s="65" t="str">
        <x:v>送分题</x:v>
      </x:c>
      <x:c r="D145" s="65" t="str">
        <x:v>送分题|基础题</x:v>
      </x:c>
      <x:c r="E145" s="65" t="str">
        <x:v>保留主标签；相邻双档均可</x:v>
      </x:c>
      <x:c r="F145" s="65" t="str">
        <x:v>中</x:v>
      </x:c>
      <x:c r="G145" s="65" t="str">
        <x:v>送分题</x:v>
      </x:c>
      <x:c r="H145" s="65" t="str">
        <x:v>基础题</x:v>
      </x:c>
      <x:c r="I145" s="65" t="str">
        <x:v>只需识别一个熟悉教材模板，没有第二次物理决策。 题目证据：最长连续链仅1步有效判断，每个选项均为电磁波基础概念的直接检索，五维锚定送分档，属于单一章节内电磁波基础概念的直接检索束，无连续推理、模型转换或公式变形。</x:v>
      </x:c>
      <x:c r="J145" s="65" t="str">
        <x:v>三次运行错题并集逐题复核</x:v>
      </x:c>
      <x:c r="K145" s="63" t="str">
        <x:v>关于电磁波，下列说法正确的是（ ）</x:v>
      </x:c>
      <x:c r="L145" s="63" t="str">
        <x:v>A. 电磁波在真空中的传播速度是340m/s B. 电磁波的频率越高，波长越长 C. 光不是电磁波 D. 无线电波、红外线、紫外线都是电磁波</x:v>
      </x:c>
      <x:c r="M145" s="63" t="str">
        <x:v>A．电磁波在真空中的传播速度为$3\times 10^{8}\mathrm{m}/\mathrm{s}$，故A错误。B．电磁波的波速$c$为定值，满足公式$c=\lambda f$，频率$f$越高，波长$\lambda$越短，故B错误。C．光属于电磁波，故C错误D．无线电波、红外线、紫外线都属于电磁波，故D正确。故选D 。</x:v>
      </x:c>
      <x:c r="N145" s="63" t="str">
        <x:v>https://k12static.xdf.cn/k12/image/externalized/625c99ab-6176-4fec-9217-23cac968e747.png</x:v>
      </x:c>
      <x:c r="O145" s="63" t="str">
        <x:v>https://k12static.xdf.cn/k12/image/externalized/90fb7be7-8e8d-4290-a21c-cb68f0cb6775.png</x:v>
      </x:c>
      <x:c r="P145" s="63" t="str">
        <x:v>1-2步</x:v>
      </x:c>
      <x:c r="Q145" s="63" t="str">
        <x:v>概念判断</x:v>
      </x:c>
      <x:c r="R145" s="63" t="str">
        <x:v>单状态</x:v>
      </x:c>
      <x:c r="S145" s="63" t="str">
        <x:v>无约束</x:v>
      </x:c>
      <x:c r="T145" s="63" t="str">
        <x:v>无</x:v>
      </x:c>
      <x:c r="U145" s="63" t="str">
        <x:v>无</x:v>
      </x:c>
      <x:c r="V145" s="63" t="str">
        <x:v>简单因果推理</x:v>
      </x:c>
    </x:row>
    <x:row r="146">
      <x:c r="A146" s="64" t="str">
        <x:v>​3650594412187418624</x:v>
      </x:c>
      <x:c r="B146" s="65" t="str">
        <x:v>拔高题</x:v>
      </x:c>
      <x:c r="C146" s="65" t="str">
        <x:v>拔高题</x:v>
      </x:c>
      <x:c r="D146" s="65" t="str">
        <x:v>中等题|拔高题</x:v>
      </x:c>
      <x:c r="E146" s="65" t="str">
        <x:v>保留主标签；相邻双档均可</x:v>
      </x:c>
      <x:c r="F146" s="65" t="str">
        <x:v>中</x:v>
      </x:c>
      <x:c r="G146" s="65" t="str">
        <x:v>中等题</x:v>
      </x:c>
      <x:c r="H146" s="65" t="str">
        <x:v>拔高题</x:v>
      </x:c>
      <x:c r="I146" s="65" t="str">
        <x:v>最高难任务在标准实验流程、读数与数据归纳中包含图线反推、状态转换、误差评价、几何/等效转换、方程联立或参数反求等决定性卡点，整体约5—6个有效决策；尚未形成压轴所需的完整复杂约束网络。</x:v>
      </x:c>
      <x:c r="J146" s="65" t="str">
        <x:v>三次运行错题并集逐题复核</x:v>
      </x:c>
      <x:c r="K146" s="63" t="str">
        <x:v>实践活动中，某小组进行了测量海螺壳密度的实验。 过程·方法交流·评估</x:v>
      </x:c>
      <x:c r="L146" s="63" t="str"/>
      <x:c r="M146" s="63" t="str"/>
      <x:c r="N146" s="63" t="str">
        <x:v>https://k12static.xdf.cn/k12/image/externalized/1e6e57ec-898a-43f6-b2b0-a9507d3e92f2.png</x:v>
      </x:c>
      <x:c r="O146" s="63" t="str">
        <x:v>https://k12static.xdf.cn/k12/image/externalized/c5d10e73-2bf9-4543-873f-bd9f90e3e44e.png</x:v>
      </x:c>
      <x:c r="P146" s="63" t="str">
        <x:v>3-5步</x:v>
      </x:c>
      <x:c r="Q146" s="63" t="str">
        <x:v>实验探究</x:v>
      </x:c>
      <x:c r="R146" s="63" t="str">
        <x:v>单状态</x:v>
      </x:c>
      <x:c r="S146" s="63" t="str">
        <x:v>单一约束</x:v>
      </x:c>
      <x:c r="T146" s="63" t="str">
        <x:v>方案设计或误差评价</x:v>
      </x:c>
      <x:c r="U146" s="63" t="str">
        <x:v>无</x:v>
      </x:c>
      <x:c r="V146" s="63" t="str">
        <x:v>多层因果推理</x:v>
      </x:c>
    </x:row>
    <x:row r="147">
      <x:c r="A147" s="64" t="str">
        <x:v>​3659087277290700800</x:v>
      </x:c>
      <x:c r="B147" s="65" t="str">
        <x:v>中等题</x:v>
      </x:c>
      <x:c r="C147" s="65" t="str">
        <x:v>中等题</x:v>
      </x:c>
      <x:c r="D147" s="65" t="str">
        <x:v>基础题|中等题</x:v>
      </x:c>
      <x:c r="E147" s="65" t="str">
        <x:v>保留主标签；相邻双档均可</x:v>
      </x:c>
      <x:c r="F147" s="65" t="str">
        <x:v>中</x:v>
      </x:c>
      <x:c r="G147" s="65" t="str">
        <x:v>中等题</x:v>
      </x:c>
      <x:c r="H147" s="65" t="str">
        <x:v>基础题</x:v>
      </x:c>
      <x:c r="I147" s="65" t="str">
        <x:v>存在约3—4步常规连续分析、共享过程或完整标准实验任务，关系仍显性。 题目证据：最长连续链实际有3个有效物理决策：先区分有用功和总功的对应对象与做功，再分别代入功的公式计算，最后代入机械效率公式求解。五维锚定：知识量为同模块2个关联知识点，过程为单状态常规机械效率模型，数学工具为多步简单笔算，情境为常见健身器械不额外增难，思维层次为常规应用分析。</x:v>
      </x:c>
      <x:c r="J147" s="65" t="str">
        <x:v>三次运行错题并集逐题复核</x:v>
      </x:c>
      <x:c r="K147" s="63" t="str">
        <x:v>如图所示的健身器械，横梁的A点上连接300N的配重，小闽在横梁B点施加竖直向下、大小为200N的力，使B点高度下降0.5m,配重竖直向上提升0.3m,此过程小闽做的有用功为 J，器械的机械效率为 。</x:v>
      </x:c>
      <x:c r="L147" s="63" t="str"/>
      <x:c r="M147" s="63" t="str">
        <x:v>解：提升物体做的有用功为W有用=Gh=300N×0.3m=90J； 总功W总=Fs=200N×0.5m=100J； 机械效率η=$\frac{{W}_{有用}}{{W}_{总}}$=$\frac{90J}{100J}$×100%=90%。 故答案为：90；90%。</x:v>
      </x:c>
      <x:c r="N147" s="63" t="str">
        <x:v>https://k12static.xdf.cn/k12/image/externalized/ccb5ee64-a714-4c56-91f3-4fea5e07effa.png</x:v>
      </x:c>
      <x:c r="O147" s="63" t="str">
        <x:v>https://k12static.xdf.cn/k12/image/externalized/764cd9e8-22be-439f-bb9a-00c9791573f7.png</x:v>
      </x:c>
      <x:c r="P147" s="63" t="str">
        <x:v>3-5步</x:v>
      </x:c>
      <x:c r="Q147" s="63" t="str">
        <x:v>力学综合</x:v>
      </x:c>
      <x:c r="R147" s="63" t="str">
        <x:v>单状态</x:v>
      </x:c>
      <x:c r="S147" s="63" t="str">
        <x:v>无约束</x:v>
      </x:c>
      <x:c r="T147" s="63" t="str">
        <x:v>无</x:v>
      </x:c>
      <x:c r="U147" s="63" t="str">
        <x:v>无</x:v>
      </x:c>
      <x:c r="V147" s="63" t="str">
        <x:v>多层因果推理</x:v>
      </x:c>
    </x:row>
    <x:row r="148">
      <x:c r="A148" s="64" t="str">
        <x:v>​3659088702582308864</x:v>
      </x:c>
      <x:c r="B148" s="65" t="str">
        <x:v>中等题</x:v>
      </x:c>
      <x:c r="C148" s="65" t="str">
        <x:v>中等题</x:v>
      </x:c>
      <x:c r="D148" s="65" t="str">
        <x:v>中等题|拔高题</x:v>
      </x:c>
      <x:c r="E148" s="65" t="str">
        <x:v>保留主标签；相邻双档均可</x:v>
      </x:c>
      <x:c r="F148" s="65" t="str">
        <x:v>中</x:v>
      </x:c>
      <x:c r="G148" s="65" t="str">
        <x:v>拔高题</x:v>
      </x:c>
      <x:c r="H148" s="65" t="str">
        <x:v>中等题</x:v>
      </x:c>
      <x:c r="I148" s="65" t="str">
        <x:v>最高难任务在光路、成像条件与几何关系中包含图线反推、状态转换、误差评价、几何/等效转换、方程联立或参数反求等决定性卡点，整体约5—6个有效决策；尚未形成压轴所需的完整复杂约束网络。</x:v>
      </x:c>
      <x:c r="J148" s="65" t="str">
        <x:v>三次运行错题并集逐题复核</x:v>
      </x:c>
      <x:c r="K148" s="63" t="str">
        <x:v>北京天坛是著名的声学建筑奇观，天坛回音壁是一堵圆形高墙，在其内部，东西配殿对称分布在黄穹宇中轴线的两侧，三音石位于回音壁的圆心位置，图甲为其俯视图。当人在三音石中心P点处击掌，可以听到三个或更多清晰的回声，故名“三音石”。 某研究团队在一安静时段，于P点处击掌，通过仪器记录P点处接收到的声音信息，如图乙所示。请回答下列问题：</x:v>
      </x:c>
      <x:c r="L148" s="63" t="str"/>
      <x:c r="M148" s="63" t="str"/>
      <x:c r="N148" s="63" t="str">
        <x:v>https://k12static.xdf.cn/k12/image/externalized/da39883d-b66f-4889-b90d-e63ac6437ff6.png</x:v>
      </x:c>
      <x:c r="O148" s="63" t="str">
        <x:v>https://k12static.xdf.cn/k12/image/externalized/07d9dc14-fd8e-4b04-b789-ca964d481446.png</x:v>
      </x:c>
      <x:c r="P148" s="63" t="str">
        <x:v>1-2步</x:v>
      </x:c>
      <x:c r="Q148" s="63" t="str">
        <x:v>光学声学综合</x:v>
      </x:c>
      <x:c r="R148" s="63" t="str">
        <x:v>单状态</x:v>
      </x:c>
      <x:c r="S148" s="63" t="str">
        <x:v>无约束</x:v>
      </x:c>
      <x:c r="T148" s="63" t="str">
        <x:v>无</x:v>
      </x:c>
      <x:c r="U148" s="63" t="str">
        <x:v>无</x:v>
      </x:c>
      <x:c r="V148" s="63" t="str">
        <x:v>简单因果推理</x:v>
      </x:c>
    </x:row>
    <x:row r="149">
      <x:c r="A149" s="64" t="str">
        <x:v>​3661879842635517952</x:v>
      </x:c>
      <x:c r="B149" s="65" t="str">
        <x:v>送分题</x:v>
      </x:c>
      <x:c r="C149" s="65" t="str">
        <x:v>送分题</x:v>
      </x:c>
      <x:c r="D149" s="65" t="str">
        <x:v>送分题|基础题</x:v>
      </x:c>
      <x:c r="E149" s="65" t="str">
        <x:v>保留主标签；相邻双档均可</x:v>
      </x:c>
      <x:c r="F149" s="65" t="str">
        <x:v>中</x:v>
      </x:c>
      <x:c r="G149" s="65" t="str">
        <x:v>送分题</x:v>
      </x:c>
      <x:c r="H149" s="65" t="str">
        <x:v>基础题</x:v>
      </x:c>
      <x:c r="I149" s="65" t="str">
        <x:v>最高难任务属于教材概念与常规物理关系中的1—2步直接应用、规范操作或简单因果判断。需要理解/应用而非纯识记，但没有共享中间结论、完整连续过程或隐含转换。</x:v>
      </x:c>
      <x:c r="J149" s="65" t="str">
        <x:v>三次运行错题并集逐题复核</x:v>
      </x:c>
      <x:c r="K149" s="63" t="str">
        <x:v>如图所示为非物质文化遗产“茶百戏”,又称“水丹青”,是一种用清水在茶汤悬浮液的表面绘制图案的技艺。茶水烧开后,艺人关小火继续加热,锅内水沸腾的程度变小了,燃气燃烧释放的热量减少，此时燃气的热值 (选填“变大”“变小”或“不变”)。关火后绘制图案时，满屋飘香，表明分子在 。</x:v>
      </x:c>
      <x:c r="L149" s="63" t="str"/>
      <x:c r="M149" s="63" t="str">
        <x:v>热值是燃料的特性，其大小只与燃料的种类有关，与燃烧是否充分、释放热量多少无关，关小火加热时，燃气燃烧释放的热量减少，但燃气的热值不变； 绘制图案时满屋飘香是因为分子在不停地做无规则运动。</x:v>
      </x:c>
      <x:c r="N149" s="63" t="str">
        <x:v>https://k12static.xdf.cn/k12/image/externalized/8f839f4e-9834-4f70-a21b-bcfba7f578a1.png</x:v>
      </x:c>
      <x:c r="O149" s="63" t="str">
        <x:v>https://k12static.xdf.cn/k12/image/externalized/5826244a-0124-4bbd-a2c3-5e162406579e.png</x:v>
      </x:c>
      <x:c r="P149" s="63" t="str">
        <x:v>1-2步</x:v>
      </x:c>
      <x:c r="Q149" s="63" t="str">
        <x:v>概念判断</x:v>
      </x:c>
      <x:c r="R149" s="63" t="str">
        <x:v>单状态</x:v>
      </x:c>
      <x:c r="S149" s="63" t="str">
        <x:v>无约束</x:v>
      </x:c>
      <x:c r="T149" s="63" t="str">
        <x:v>无</x:v>
      </x:c>
      <x:c r="U149" s="63" t="str">
        <x:v>无</x:v>
      </x:c>
      <x:c r="V149" s="63" t="str">
        <x:v>直接套用</x:v>
      </x:c>
    </x:row>
    <x:row r="150">
      <x:c r="A150" s="64" t="str">
        <x:v>​3665218973699756032</x:v>
      </x:c>
      <x:c r="B150" s="65" t="str">
        <x:v>基础题</x:v>
      </x:c>
      <x:c r="C150" s="65" t="str">
        <x:v>基础题</x:v>
      </x:c>
      <x:c r="D150" s="65" t="str">
        <x:v>送分题|基础题</x:v>
      </x:c>
      <x:c r="E150" s="65" t="str">
        <x:v>保留主标签；相邻双档均可</x:v>
      </x:c>
      <x:c r="F150" s="65" t="str">
        <x:v>中</x:v>
      </x:c>
      <x:c r="G150" s="65" t="str">
        <x:v>基础题</x:v>
      </x:c>
      <x:c r="H150" s="65" t="str">
        <x:v>送分题</x:v>
      </x:c>
      <x:c r="I150" s="65" t="str">
        <x:v>最高难任务为1—2步显性应用、规范操作或简单因果，没有连续模型转换。 题目证据：最长连续链为1个有效物理决策，五维锚定结果为基础档。核心任务是直接调用流体压强与流速的关系，将给定的流速大小关系对应到压强大小关系，模型完全显性，无多过程或多约束分析。</x:v>
      </x:c>
      <x:c r="J150" s="65" t="str">
        <x:v>三次运行错题并集逐题复核</x:v>
      </x:c>
      <x:c r="K150" s="63" t="str">
        <x:v>如图是某新型电吹风的风路示意图，空气被吸进内部风道，由出气口高速喷出。图中各点风速大小满足$v_{a}&gt; v_{b}&gt; v_{c}&gt; v_{d}$，其中气体压强最大的是（ ）</x:v>
      </x:c>
      <x:c r="L150" s="63" t="str">
        <x:v>A. a点 B. b点 C. c点 D. d点</x:v>
      </x:c>
      <x:c r="M150" s="63" t="str">
        <x:v>在流体中，流速越小的位置，压强越大；流速越大的位置，压强越小；图中各点风速大小满足$v_{a}&gt; v_{b}&gt; v_{c}&gt; v_{d}$，即d点流速最小，因此压强最大，故选D。</x:v>
      </x:c>
      <x:c r="N150" s="63" t="str">
        <x:v>https://k12static.xdf.cn/k12/image/externalized/d60f1afd-0fd6-4063-a795-1638b1b70b4e.png</x:v>
      </x:c>
      <x:c r="O150" s="63" t="str">
        <x:v>https://k12static.xdf.cn/k12/image/externalized/3e129b0b-ebf5-4e14-8b31-7e54d40cc612.png</x:v>
      </x:c>
      <x:c r="P150" s="63" t="str">
        <x:v>1-2步</x:v>
      </x:c>
      <x:c r="Q150" s="63" t="str">
        <x:v>概念判断</x:v>
      </x:c>
      <x:c r="R150" s="63" t="str">
        <x:v>单状态</x:v>
      </x:c>
      <x:c r="S150" s="63" t="str">
        <x:v>无约束</x:v>
      </x:c>
      <x:c r="T150" s="63" t="str">
        <x:v>无</x:v>
      </x:c>
      <x:c r="U150" s="63" t="str">
        <x:v>无</x:v>
      </x:c>
      <x:c r="V150" s="63" t="str">
        <x:v>简单因果推理</x:v>
      </x:c>
    </x:row>
    <x:row r="151">
      <x:c r="A151" s="64" t="str">
        <x:v>​3665219145129349120</x:v>
      </x:c>
      <x:c r="B151" s="65" t="str">
        <x:v>中等题</x:v>
      </x:c>
      <x:c r="C151" s="65" t="str">
        <x:v>中等题</x:v>
      </x:c>
      <x:c r="D151" s="65" t="str">
        <x:v>中等题|拔高题</x:v>
      </x:c>
      <x:c r="E151" s="65" t="str">
        <x:v>保留主标签；相邻双档均可</x:v>
      </x:c>
      <x:c r="F151" s="65" t="str">
        <x:v>中</x:v>
      </x:c>
      <x:c r="G151" s="65" t="str">
        <x:v>中等题</x:v>
      </x:c>
      <x:c r="H151" s="65" t="str">
        <x:v>拔高题</x:v>
      </x:c>
      <x:c r="I151" s="65" t="str">
        <x:v>最高问通过三次称量和体积变化分别推导二氧化碳与空气密度表达式，需识别排开空气质量这一隐含关系，属于实验设计与等效反推的拔高任务。</x:v>
      </x:c>
      <x:c r="J151" s="65" t="str">
        <x:v>三次运行错题并集逐题复核</x:v>
      </x:c>
      <x:c r="K151" s="63" t="str">
        <x:v>冷链物流公司常用干冰（固态二氧化碳）保存冷冻食品，某同学利用干冰开展了以下研究。</x:v>
      </x:c>
      <x:c r="L151" s="63" t="str"/>
      <x:c r="M151" s="63" t="str"/>
      <x:c r="N151" s="63" t="str">
        <x:v>https://k12static.xdf.cn/k12/image/externalized/e2012dfc-bfc2-46b9-a6d6-93e12fbb7070.png</x:v>
      </x:c>
      <x:c r="O151" s="63" t="str">
        <x:v>https://k12static.xdf.cn/k12/image/externalized/daa9cfc3-559b-4989-b077-fb4a79c4807d.png</x:v>
      </x:c>
      <x:c r="P151" s="63" t="str">
        <x:v>3-5步</x:v>
      </x:c>
      <x:c r="Q151" s="63" t="str">
        <x:v>实验探究</x:v>
      </x:c>
      <x:c r="R151" s="63" t="str">
        <x:v>单状态</x:v>
      </x:c>
      <x:c r="S151" s="63" t="str">
        <x:v>单一约束</x:v>
      </x:c>
      <x:c r="T151" s="63" t="str">
        <x:v>无</x:v>
      </x:c>
      <x:c r="U151" s="63" t="str">
        <x:v>直接读数</x:v>
      </x:c>
      <x:c r="V151" s="63" t="str">
        <x:v>多层因果推理</x:v>
      </x:c>
    </x:row>
    <x:row r="152">
      <x:c r="A152" s="64" t="str">
        <x:v>​3672832361842675712</x:v>
      </x:c>
      <x:c r="B152" s="65" t="str">
        <x:v>中等题</x:v>
      </x:c>
      <x:c r="C152" s="65" t="str">
        <x:v>中等题</x:v>
      </x:c>
      <x:c r="D152" s="65" t="str">
        <x:v>中等题|拔高题</x:v>
      </x:c>
      <x:c r="E152" s="65" t="str">
        <x:v>保留主标签；相邻双档均可</x:v>
      </x:c>
      <x:c r="F152" s="65" t="str">
        <x:v>中</x:v>
      </x:c>
      <x:c r="G152" s="65" t="str">
        <x:v>中等题</x:v>
      </x:c>
      <x:c r="H152" s="65" t="str">
        <x:v>中等题</x:v>
      </x:c>
      <x:c r="I152" s="65" t="str">
        <x:v>存在约3—4步常规连续分析、共享过程或完整标准实验任务，关系仍显性。 题目证据：最高难小问（第三问）实际有效物理决策约3步，五维锚定在基础/中等区间；整题多问层层递进，前两问为基础计算，第三问涉及浸入深度、重力变化与警戒水位的关联分析，无决定性转换或全链耦合。任务台账：1. 研究对象B，调用结论F压=F浮-GB；2. 分析B高度变化引起的重力、所需浮力、浸入深度的变化关系；3. 比较高度增加量与浸入深度增加量的大小，得出警戒水位变化结论。</x:v>
      </x:c>
      <x:c r="J152" s="65" t="str">
        <x:v>三次运行错题并集逐题复核</x:v>
      </x:c>
      <x:c r="K152" s="63" t="str">
        <x:v>科创小组设计了水库自动泄洪控制装置，其简易模型如图所示：$\mathrm{A}$为压力传感器，$\mathrm{B}$为密度小于水且不吸水的实心均匀圆柱体，并可在管径稍大的竖直管道内自由地上下移动，其质量为2.5kg，高度为0.4m，底面积为$0.01\mathrm{m}^{2}$。圆柱体$\mathrm{B}$放置在模型底板上，此时水位恰与圆柱体$\mathrm{B}$底面平齐，水位离压力传感器$\mathrm{A}$底端的距离为1m。当压力传感器受到的压力达到设定值时触发预警，原设计中触发时圆柱体B刚好全部浸没，压力传感器触发预警并自动打开出水口进行泄洪。（$g$取$10\mathrm{N}/\mathrm{kg}$）</x:v>
      </x:c>
      <x:c r="L152" s="63" t="str"/>
      <x:c r="M152" s="63" t="str"/>
      <x:c r="N152" s="63" t="str">
        <x:v>https://k12static.xdf.cn/k12/image/externalized/91199e8a-708e-4138-b0f2-4eb04563f2b7.png</x:v>
      </x:c>
      <x:c r="O152" s="63" t="str">
        <x:v>https://k12static.xdf.cn/k12/image/externalized/0c38f4ce-891b-4da0-9af6-af8e01976af8.png</x:v>
      </x:c>
      <x:c r="P152" s="63" t="str">
        <x:v>3-5步</x:v>
      </x:c>
      <x:c r="Q152" s="63" t="str">
        <x:v>力学综合</x:v>
      </x:c>
      <x:c r="R152" s="63" t="str">
        <x:v>双状态</x:v>
      </x:c>
      <x:c r="S152" s="63" t="str">
        <x:v>单一约束</x:v>
      </x:c>
      <x:c r="T152" s="63" t="str">
        <x:v>无</x:v>
      </x:c>
      <x:c r="U152" s="63" t="str">
        <x:v>无</x:v>
      </x:c>
      <x:c r="V152" s="63" t="str">
        <x:v>多层因果推理</x:v>
      </x:c>
    </x:row>
    <x:row r="153">
      <x:c r="A153" s="64" t="str">
        <x:v>​3673088780818554880</x:v>
      </x:c>
      <x:c r="B153" s="65" t="str">
        <x:v>送分题</x:v>
      </x:c>
      <x:c r="C153" s="65" t="str">
        <x:v>送分题</x:v>
      </x:c>
      <x:c r="D153" s="65" t="str">
        <x:v>送分题|基础题</x:v>
      </x:c>
      <x:c r="E153" s="65" t="str">
        <x:v>保留主标签；相邻双档均可</x:v>
      </x:c>
      <x:c r="F153" s="65" t="str">
        <x:v>中</x:v>
      </x:c>
      <x:c r="G153" s="65" t="str">
        <x:v>基础题</x:v>
      </x:c>
      <x:c r="H153" s="65" t="str">
        <x:v>送分题</x:v>
      </x:c>
      <x:c r="I153" s="65" t="str">
        <x:v>两个空分别考查分子间隔变化和分子间作用力，调用两条不同教材结论；局部简单但不再是唯一模板，基础题更合适。</x:v>
      </x:c>
      <x:c r="J153" s="65" t="str">
        <x:v>三次运行错题并集逐题复核</x:v>
      </x:c>
      <x:c r="K153" s="63" t="str">
        <x:v>用肥皂膜套在空瓶口上(瓶中为空气)，然后把瓶子放在盛有热水的容器中，其变化如图所示。将瓶子放入热水后，瓶内气体分子的 （选填“体积”或“间隔”）变大。肥皂膜没有破裂，说明了分子之间存在 。</x:v>
      </x:c>
      <x:c r="L153" s="63" t="str"/>
      <x:c r="M153" s="63" t="str">
        <x:v>将瓶子放入热水后，瓶内气体温度升高，分子热运动加剧，分子间的间隔变大，而分子本身的体积不变。 肥皂膜受热膨胀拉伸但没有破裂，说明肥皂膜分子之间存在相互作用的引力。</x:v>
      </x:c>
      <x:c r="N153" s="63" t="str">
        <x:v>https://k12static.xdf.cn/k12/image/externalized/17924127-9567-4a4f-b5cc-713590153a84.png</x:v>
      </x:c>
      <x:c r="O153" s="63" t="str">
        <x:v>https://k12static.xdf.cn/k12/image/externalized/9d0f16dd-94ae-4902-9ae6-6c4de1eee6a2.png</x:v>
      </x:c>
      <x:c r="P153" s="63" t="str">
        <x:v>1-2步</x:v>
      </x:c>
      <x:c r="Q153" s="63" t="str">
        <x:v>概念判断</x:v>
      </x:c>
      <x:c r="R153" s="63" t="str">
        <x:v>单状态</x:v>
      </x:c>
      <x:c r="S153" s="63" t="str">
        <x:v>无约束</x:v>
      </x:c>
      <x:c r="T153" s="63" t="str">
        <x:v>无</x:v>
      </x:c>
      <x:c r="U153" s="63" t="str">
        <x:v>无</x:v>
      </x:c>
      <x:c r="V153" s="63" t="str">
        <x:v>直接套用</x:v>
      </x:c>
    </x:row>
    <x:row r="154">
      <x:c r="A154" s="64" t="str">
        <x:v>​3673096986324992000</x:v>
      </x:c>
      <x:c r="B154" s="65" t="str">
        <x:v>基础题</x:v>
      </x:c>
      <x:c r="C154" s="65" t="str">
        <x:v>基础题</x:v>
      </x:c>
      <x:c r="D154" s="65" t="str">
        <x:v>基础题|中等题</x:v>
      </x:c>
      <x:c r="E154" s="65" t="str">
        <x:v>保留主标签；相邻双档均可</x:v>
      </x:c>
      <x:c r="F154" s="65" t="str">
        <x:v>中</x:v>
      </x:c>
      <x:c r="G154" s="65" t="str">
        <x:v>中等题</x:v>
      </x:c>
      <x:c r="H154" s="65" t="str">
        <x:v>基础题</x:v>
      </x:c>
      <x:c r="I154" s="65" t="str">
        <x:v>最高难任务为1—2步显性应用、规范操作或简单因果，没有连续模型转换。 题目证据：四个独立小题均为单个实验知识点的直接识别，最长连续链仅1步有效决策；五维中知识量虽然覆盖四个不同实验，但每个小题均为单一基础概念，过程/对象均为单状态，无计算，情境为教材标准实验原型，思维层次为识记再现；各小题相互独立，均为教材实验基础事实的直接检索。</x:v>
      </x:c>
      <x:c r="J154" s="65" t="str">
        <x:v>三次运行错题并集逐题复核</x:v>
      </x:c>
      <x:c r="K154" s="63" t="str">
        <x:v>亲爱的同学，请你运用所学的物理知识解答下列问题。</x:v>
      </x:c>
      <x:c r="L154" s="63" t="str"/>
      <x:c r="M154" s="63" t="str"/>
      <x:c r="N154" s="63" t="str">
        <x:v>https://k12static.xdf.cn/k12/image/externalized/dc96d932-6ac7-4095-ac1a-1638bd1a2052.png</x:v>
      </x:c>
      <x:c r="O154" s="63" t="str">
        <x:v>https://k12static.xdf.cn/k12/image/externalized/bfbb62d3-bc25-4faa-b6a9-fba1aa5d904e.png</x:v>
      </x:c>
      <x:c r="P154" s="63" t="str">
        <x:v>1-2步</x:v>
      </x:c>
      <x:c r="Q154" s="63" t="str">
        <x:v>实验探究</x:v>
      </x:c>
      <x:c r="R154" s="63" t="str">
        <x:v>单状态</x:v>
      </x:c>
      <x:c r="S154" s="63" t="str">
        <x:v>无约束</x:v>
      </x:c>
      <x:c r="T154" s="63" t="str">
        <x:v>基础操作或读数</x:v>
      </x:c>
      <x:c r="U154" s="63" t="str">
        <x:v>直接读数</x:v>
      </x:c>
      <x:c r="V154" s="63" t="str">
        <x:v>直接套用</x:v>
      </x:c>
    </x:row>
    <x:row r="155">
      <x:c r="A155" s="64" t="str">
        <x:v>​3673861217903460352</x:v>
      </x:c>
      <x:c r="B155" s="65" t="str">
        <x:v>拔高题</x:v>
      </x:c>
      <x:c r="C155" s="65" t="str">
        <x:v>拔高题</x:v>
      </x:c>
      <x:c r="D155" s="65" t="str">
        <x:v>中等题|拔高题</x:v>
      </x:c>
      <x:c r="E155" s="65" t="str">
        <x:v>保留主标签；相邻双档均可</x:v>
      </x:c>
      <x:c r="F155" s="65" t="str">
        <x:v>中</x:v>
      </x:c>
      <x:c r="G155" s="65" t="str">
        <x:v>压轴题</x:v>
      </x:c>
      <x:c r="H155" s="65" t="str">
        <x:v>拔高题</x:v>
      </x:c>
      <x:c r="I155" s="65" t="str">
        <x:v>存在决定性反推/等效/误差/几何转换，或同一装置中的5—6步高密度综合链。 题目证据：最高难小问实际有效物理决策约5步。五维中知识量为2-3个关联力学知识点，过程/对象为两个连续状态，数学工具为多公式串联计算，情境为经典打捞模型无额外理解难度，思维层次为综合分析，初判进入拔高区间。整题三个小问层层递进，后两问均依赖前一问的结果，最长连续链需要先完成漂浮水杯浮力计算、正方体边长与上表面压力计算，再对取出铁砂后的受力平衡进行分析，推导正方体重力和密度，核心存在一个关键的受力平衡转换，即明确取出铁砂后水杯排开体积不变浮力不变，结合平衡条件得到细线拉力，再对正方体受力平衡分析得到重力。</x:v>
      </x:c>
      <x:c r="J155" s="65" t="str">
        <x:v>三次运行错题并集逐题复核</x:v>
      </x:c>
      <x:c r="K155" s="63" t="str">
        <x:v>学习小组模拟怀丙和尚利用浮力打捞铁牛，把正方体M放在架空水槽底部的方孔处（忽略M与水槽的接触面积），往水槽内装入适量的水，水上漂浮着底面积为$2\times 10^{-2}\mathrm{m}^{2}$的水杯，水杯的质量为100 g，水杯中装入质量适中的铁砂时，杯底到M上表面的距离等于M的边长，用细线连接水杯和M，使细线拉直且无拉力，再将铁砂从杯中取出，当铁砂取完后，M恰好可被拉起，完成打捞（$\rho _{\mathrm{水}}=1.0\times 10^{3}\mathrm{kg}/\mathrm{m}^{3}$）</x:v>
      </x:c>
      <x:c r="L155" s="63" t="str"/>
      <x:c r="M155" s="63" t="str"/>
      <x:c r="N155" s="63" t="str">
        <x:v>https://k12static.xdf.cn/k12/image/externalized/be3c3c77-38d1-402f-9e8f-5c31a2093a37.png</x:v>
      </x:c>
      <x:c r="O155" s="63" t="str">
        <x:v>https://k12static.xdf.cn/k12/image/externalized/dbaef1b3-703d-4540-8d31-24edde596231.png</x:v>
      </x:c>
      <x:c r="P155" s="63" t="str">
        <x:v>6-8步</x:v>
      </x:c>
      <x:c r="Q155" s="63" t="str">
        <x:v>力学综合</x:v>
      </x:c>
      <x:c r="R155" s="63" t="str">
        <x:v>双状态</x:v>
      </x:c>
      <x:c r="S155" s="63" t="str">
        <x:v>多约束</x:v>
      </x:c>
      <x:c r="T155" s="63" t="str">
        <x:v>无</x:v>
      </x:c>
      <x:c r="U155" s="63" t="str">
        <x:v>无</x:v>
      </x:c>
      <x:c r="V155" s="63" t="str">
        <x:v>逆向推理或临界分析</x:v>
      </x:c>
    </x:row>
    <x:row r="156">
      <x:c r="A156" s="64" t="str">
        <x:v>​3675930584471379968</x:v>
      </x:c>
      <x:c r="B156" s="65" t="str">
        <x:v>中等题</x:v>
      </x:c>
      <x:c r="C156" s="65" t="str">
        <x:v>中等题</x:v>
      </x:c>
      <x:c r="D156" s="65" t="str">
        <x:v>中等题|拔高题</x:v>
      </x:c>
      <x:c r="E156" s="65" t="str">
        <x:v>保留主标签；相邻双档均可</x:v>
      </x:c>
      <x:c r="F156" s="65" t="str">
        <x:v>中</x:v>
      </x:c>
      <x:c r="G156" s="65" t="str">
        <x:v>中等题</x:v>
      </x:c>
      <x:c r="H156" s="65" t="str">
        <x:v>拔高题</x:v>
      </x:c>
      <x:c r="I156" s="65" t="str">
        <x:v>需要围绕受力、浮力/压强与状态变化完成常规的3—4个有效决策，或完成一套完整标准实验/共享过程分析。关系仍显性、方法常规，没有决定性隐含转换、复杂边界筛选或多状态强耦合。</x:v>
      </x:c>
      <x:c r="J156" s="65" t="str">
        <x:v>三次运行错题并集逐题复核</x:v>
      </x:c>
      <x:c r="K156" s="63" t="str">
        <x:v>“奋斗者”号是中国研发的万米载人潜水器。如图甲所示，是“奋斗者”号完成任务出水后，用起重机将重$2.25\times 10^{5}\mathrm{N}$的潜水器吊起，回收到母船上的情形，我们将起吊装置简化为图乙所示的滑轮组。若“奋斗者”号的体积约为$10\mathrm{m}^{3}$，离开水面后吊起时，电动机对钢绳自由端的拉力F为$7.5\times 10^{4}\mathrm{N}$，用时200秒，“奋斗者”号匀速上升了10m。不计绳重及摩擦，$\rho _{\mathrm{水}}=1.0\times 10^{3}\mathrm{kg}/\mathrm{m}^{3}$，$g=10\mathrm{N}/\mathrm{kg}$，求此次回收“奋斗者”号的过程中：</x:v>
      </x:c>
      <x:c r="L156" s="63" t="str"/>
      <x:c r="M156" s="63" t="str"/>
      <x:c r="N156" s="63" t="str">
        <x:v>https://k12static.xdf.cn/k12/image/externalized/ae7250b5-86ca-4b54-acfc-0ba9664978a0.png</x:v>
      </x:c>
      <x:c r="O156" s="63" t="str">
        <x:v>https://k12static.xdf.cn/k12/image/externalized/2e3102db-f046-433f-be20-067ccfcb3c8b.png</x:v>
      </x:c>
      <x:c r="P156" s="63" t="str">
        <x:v>3-5步</x:v>
      </x:c>
      <x:c r="Q156" s="63" t="str">
        <x:v>力学综合</x:v>
      </x:c>
      <x:c r="R156" s="63" t="str">
        <x:v>双状态</x:v>
      </x:c>
      <x:c r="S156" s="63" t="str">
        <x:v>单一约束</x:v>
      </x:c>
      <x:c r="T156" s="63" t="str">
        <x:v>无</x:v>
      </x:c>
      <x:c r="U156" s="63" t="str">
        <x:v>无</x:v>
      </x:c>
      <x:c r="V156" s="63" t="str">
        <x:v>多层因果推理</x:v>
      </x:c>
    </x:row>
    <x:row r="157">
      <x:c r="A157" s="64" t="str">
        <x:v>​3677156677559853056</x:v>
      </x:c>
      <x:c r="B157" s="65" t="str">
        <x:v>拔高题</x:v>
      </x:c>
      <x:c r="C157" s="65" t="str">
        <x:v>拔高题</x:v>
      </x:c>
      <x:c r="D157" s="65" t="str">
        <x:v>中等题|拔高题</x:v>
      </x:c>
      <x:c r="E157" s="65" t="str">
        <x:v>保留主标签；相邻双档均可</x:v>
      </x:c>
      <x:c r="F157" s="65" t="str">
        <x:v>中</x:v>
      </x:c>
      <x:c r="G157" s="65" t="str">
        <x:v>压轴题</x:v>
      </x:c>
      <x:c r="H157" s="65" t="str">
        <x:v>拔高题</x:v>
      </x:c>
      <x:c r="I157" s="65" t="str">
        <x:v>最高难任务在实验方案、误差/评价或改进任务中包含图线反推、状态转换、误差评价、几何/等效转换、方程联立或参数反求等决定性卡点，整体约5—6个有效决策；尚未形成压轴所需的完整复杂约束网络。</x:v>
      </x:c>
      <x:c r="J157" s="65" t="str">
        <x:v>三次运行错题并集逐题复核</x:v>
      </x:c>
      <x:c r="K157" s="63" t="str">
        <x:v>考古学家在黄海海域发现甲午海战沉船“致远舰”的消息轰动了整个考古界，随着水下考古工作的进行，一些重要文物近日陆续出水重见天日，关于这艘在海水中沉睡了120余年的战舰是如何被打捞起的谜题也逐步解开。现某课外活动小组，照此设计了如图所示的简单机械，模拟打捞沉船，实验中用实心立方体A代替沉船，已知A的体积为0.1m3，质量为280kg，每个滑轮重600N（设整个过程A均为匀速直线运动状态，忽略钢缆绳重及滑轮摩擦，不考虑风浪、水流等因素的影响，（g取10N/kg，$\rho _{\mathrm{水}}$=1.0×103kg/m3）求：</x:v>
      </x:c>
      <x:c r="L157" s="63" t="str"/>
      <x:c r="M157" s="63" t="str"/>
      <x:c r="N157" s="63" t="str">
        <x:v>https://k12static.xdf.cn/k12/image/externalized/78415d20-bd94-4470-9686-60f45062739b.png</x:v>
      </x:c>
      <x:c r="O157" s="63" t="str">
        <x:v>https://k12static.xdf.cn/k12/image/externalized/af67c3ad-d844-4477-8ec4-b96460bf1590.png</x:v>
      </x:c>
      <x:c r="P157" s="63" t="str">
        <x:v>3-5步</x:v>
      </x:c>
      <x:c r="Q157" s="63" t="str">
        <x:v>力学综合</x:v>
      </x:c>
      <x:c r="R157" s="63" t="str">
        <x:v>双状态</x:v>
      </x:c>
      <x:c r="S157" s="63" t="str">
        <x:v>单一约束</x:v>
      </x:c>
      <x:c r="T157" s="63" t="str">
        <x:v>无</x:v>
      </x:c>
      <x:c r="U157" s="63" t="str">
        <x:v>无</x:v>
      </x:c>
      <x:c r="V157" s="63" t="str">
        <x:v>多层因果推理</x:v>
      </x:c>
    </x:row>
    <x:row r="158">
      <x:c r="A158" s="64" t="str">
        <x:v>​3678675453759729664</x:v>
      </x:c>
      <x:c r="B158" s="65" t="str">
        <x:v>中等题</x:v>
      </x:c>
      <x:c r="C158" s="65" t="str">
        <x:v>中等题</x:v>
      </x:c>
      <x:c r="D158" s="65" t="str">
        <x:v>中等题|拔高题</x:v>
      </x:c>
      <x:c r="E158" s="65" t="str">
        <x:v>保留主标签；相邻双档均可</x:v>
      </x:c>
      <x:c r="F158" s="65" t="str">
        <x:v>中</x:v>
      </x:c>
      <x:c r="G158" s="65" t="str">
        <x:v>中等题</x:v>
      </x:c>
      <x:c r="H158" s="65" t="str">
        <x:v>拔高题</x:v>
      </x:c>
      <x:c r="I158" s="65" t="str">
        <x:v>最高难任务在图表信息提取与关系反推中包含图线反推、状态转换、误差评价、几何/等效转换、方程联立或参数反求等决定性卡点，整体约5—6个有效决策；尚未形成压轴所需的完整复杂约束网络。</x:v>
      </x:c>
      <x:c r="J158" s="65" t="str">
        <x:v>三次运行错题并集逐题复核</x:v>
      </x:c>
      <x:c r="K158" s="63" t="str">
        <x:v>如图甲中，固定在铁架台横梁上的弹簧测力计下方悬挂圆柱体，盛有适量水的圆柱形容器放在升降台上。升降台缓慢上升，圆柱体逐渐浸入水中，整个过程中弹簧测力计示数F与升降台上升高度h变化关系的图像如图乙所示。已知$\rho _{\mathrm{水}}=1\times 10^{3}\mathrm{kg}/\mathrm{m}^{3}$，g取10N/kg。下列说法正确的是（ ）</x:v>
      </x:c>
      <x:c r="L158" s="63" t="str">
        <x:v>A. 圆柱体受到的重力是8N B. 圆柱体受到的最大浮力是4N C. 圆柱体的密度是$1.5\times 10^{3}\mathrm{kg}/\mathrm{m}^{3}$ D. 当圆柱体刚好全部浸没时、下表面受到水的压强为400Pa</x:v>
      </x:c>
      <x:c r="M158" s="63" t="str">
        <x:v>AB．由图乙可知，$h 时，$F=12\mathrm{N}$，则$G=12\mathrm{N}$，$h&gt; 7\mathrm{cm}$时，$F=4\mathrm{N}$，最大浮力$F_{\mathrm{浮}}=G-F=12\mathrm{N}-4\mathrm{N}=8\mathrm{N}$，故AB错误； C．圆柱体质量$m=\dfrac{G}{g}=\dfrac{12\mathrm{N}}{10\mathrm{N}/\mathrm{kg}}=1.2\mathrm{kg}$ 体积$V=V_{\mathrm{排}}=\dfrac{F_{\mathrm{浮}}}{\rho _{\mathrm{水}}g}=\dfrac{8\mathrm{N}}{1\times 10^{3}\mathrm{kg}/\mathrm{m}^{3}\times 10\mathrm{N}/\mathrm{kg}}=8\times 10^{-4}\mathrm{m}^{3}$ 密度$\rho =\dfrac{m}{V}=\dfrac{1.2\mathrm{kg}}{8\times 10^{-4}\mathrm{m}^{3}}=1.5\times 10^{3}\mathrm{kg}/\mathrm{m}^{3}$ ，故C正确； D．升降台上升 $\Delta h=7\mathrm{cm}-3\mathrm{cm}=4\mathrm{cm}=0.04\mathrm{m}$过程中圆柱体完全浸没，因圆柱体排开水使容器内液面升高，圆柱体高度 $H&gt; \Delta h=0.04\mathrm{m}$，刚好浸没时下表面深度 $h_{\mathrm{深}}=H&gt; 0.04\mathrm{m}$压强 $p=\rho _{\mathrm{水}}gh_{\mathrm{深}}&gt; 1\times 10^{3}\mathrm{kg}/\mathrm{m}^{3}\times 10\mathrm{N}/\mathrm{kg}\times 0.04\mathrm{m}=400\mathrm{Pa}$故D错误。 故选 C。</x:v>
      </x:c>
      <x:c r="N158" s="63" t="str">
        <x:v>https://k12static.xdf.cn/k12/image/externalized/0f8c661c-7446-4768-99d8-202fee1219db.png</x:v>
      </x:c>
      <x:c r="O158" s="63" t="str">
        <x:v>https://k12static.xdf.cn/k12/image/externalized/883586db-635f-4d92-be48-2bb25cf45f8e.png</x:v>
      </x:c>
      <x:c r="P158" s="63" t="str">
        <x:v>3-5步</x:v>
      </x:c>
      <x:c r="Q158" s="63" t="str">
        <x:v>力学综合</x:v>
      </x:c>
      <x:c r="R158" s="63" t="str">
        <x:v>双状态</x:v>
      </x:c>
      <x:c r="S158" s="63" t="str">
        <x:v>单一约束</x:v>
      </x:c>
      <x:c r="T158" s="63" t="str">
        <x:v>无</x:v>
      </x:c>
      <x:c r="U158" s="63" t="str">
        <x:v>直接读数</x:v>
      </x:c>
      <x:c r="V158" s="63" t="str">
        <x:v>多层因果推理</x:v>
      </x:c>
    </x:row>
    <x:row r="159">
      <x:c r="A159" s="64" t="str">
        <x:v>​3678692290750074880</x:v>
      </x:c>
      <x:c r="B159" s="65" t="str">
        <x:v>拔高题</x:v>
      </x:c>
      <x:c r="C159" s="65" t="str">
        <x:v>拔高题</x:v>
      </x:c>
      <x:c r="D159" s="65" t="str">
        <x:v>中等题|拔高题</x:v>
      </x:c>
      <x:c r="E159" s="65" t="str">
        <x:v>保留主标签；相邻双档均可</x:v>
      </x:c>
      <x:c r="F159" s="65" t="str">
        <x:v>中</x:v>
      </x:c>
      <x:c r="G159" s="65" t="str">
        <x:v>压轴题</x:v>
      </x:c>
      <x:c r="H159" s="65" t="str">
        <x:v>拔高题</x:v>
      </x:c>
      <x:c r="I159" s="65" t="str">
        <x:v>最高难任务在电路状态、图线/参数与安全约束中包含图线反推、状态转换、误差评价、几何/等效转换、方程联立或参数反求等决定性卡点，整体约5—6个有效决策；尚未形成压轴所需的完整复杂约束网络。</x:v>
      </x:c>
      <x:c r="J159" s="65" t="str">
        <x:v>三次运行错题并集逐题复核</x:v>
      </x:c>
      <x:c r="K159" s="63" t="str">
        <x:v>某小组设计了潜水器模型来模拟“掉深”（进入密度骤降水层急速下沉）及自救过程。模型壳体（含压载铁）质量为6.6kg，总体积为$8.0\times 10^{-3}\mathrm{m}^{3}$，底部压敏传感器$R_{0}$的底面积为$2.0\times 10^{-3}\mathrm{m}^{2}$。当遭遇“掉深”，压力达到压敏电阻的临界值时，系统自动抛弃压载铁紧急上浮。初始测试时，模型漂浮于水面，通过注水调整至恰好悬浮；随后将其放入密度为$0.8\times 10^{3}\mathrm{kg}/\mathrm{m}^{3}$的测试液中进行自救效果检测。（$g\mathrm{取}10\mathrm{N}/\mathrm{kg}$，$\rho _{\mathrm{水}}=1\times 10^{3}\mathrm{kg}/\mathrm{m}^{3}$）求：</x:v>
      </x:c>
      <x:c r="L159" s="63" t="str"/>
      <x:c r="M159" s="63" t="str"/>
      <x:c r="N159" s="63" t="str">
        <x:v>https://k12static.xdf.cn/k12/image/externalized/76990744-c749-44d6-88d6-5fc4c779638d.png</x:v>
      </x:c>
      <x:c r="O159" s="63" t="str">
        <x:v>https://k12static.xdf.cn/k12/image/externalized/af33cb0b-be07-4b4e-9df3-a9851888da4f.png</x:v>
      </x:c>
      <x:c r="P159" s="63" t="str">
        <x:v>3-5步</x:v>
      </x:c>
      <x:c r="Q159" s="63" t="str">
        <x:v>力学综合</x:v>
      </x:c>
      <x:c r="R159" s="63" t="str">
        <x:v>单状态</x:v>
      </x:c>
      <x:c r="S159" s="63" t="str">
        <x:v>单一约束</x:v>
      </x:c>
      <x:c r="T159" s="63" t="str">
        <x:v>无</x:v>
      </x:c>
      <x:c r="U159" s="63" t="str">
        <x:v>无</x:v>
      </x:c>
      <x:c r="V159" s="63" t="str">
        <x:v>多层因果推理</x:v>
      </x:c>
    </x:row>
  </x:sheetData>
  <x:mergeCells>
    <x:mergeCell ref="A1:V1"/>
  </x:mergeCells>
  <x:conditionalFormatting sqref="I3:I159">
    <x:cfRule type="containsText" dxfId="4" priority="1" operator="containsText" text="修订GPT主标签"/>
    <x:cfRule type="containsText" dxfId="5" priority="2" operator="containsText" text="边界"/>
  </x:conditionalFormatting>
  <x:pageMargins left="0.7" right="0.7" top="0.75" bottom="0.75" header="0.3" footer="0.3"/>
  <x:tableParts count="1">
    <x:tablePart xmlns:r="http://schemas.openxmlformats.org/officeDocument/2006/relationships" r:id="R553c74a98de3442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72" hidden="0" customWidth="1"/>
    <x:col min="3" max="3" width="32" hidden="0" customWidth="1"/>
  </x:cols>
  <x:sheetData>
    <x:row r="1" ht="34" customHeight="1">
      <x:c r="A1" s="3" t="str">
        <x:v>标签复核口径与使用说明</x:v>
      </x:c>
      <x:c r="B1" s="3" t="str">
        <x:v>标签复核口径与使用说明</x:v>
      </x:c>
      <x:c r="C1" s="3" t="str">
        <x:v>标签复核口径与使用说明</x:v>
      </x:c>
    </x:row>
    <x:row r="3" ht="28" customHeight="1">
      <x:c r="A3" s="10" t="str">
        <x:v>项目</x:v>
      </x:c>
      <x:c r="B3" s="23" t="str">
        <x:v>规则</x:v>
      </x:c>
      <x:c r="C3" s="11" t="str">
        <x:v>用途</x:v>
      </x:c>
    </x:row>
    <x:row r="4">
      <x:c r="A4" s="75" t="str">
        <x:v>主标签</x:v>
      </x:c>
      <x:c r="B4" s="76" t="str">
        <x:v>每题必须保留一个可用于严格评估的五档标签</x:v>
      </x:c>
      <x:c r="C4" s="77" t="str">
        <x:v>生产评估和混淆矩阵</x:v>
      </x:c>
    </x:row>
    <x:row r="5">
      <x:c r="A5" s="78" t="str">
        <x:v>可接受等级</x:v>
      </x:c>
      <x:c r="B5" s="79" t="str">
        <x:v>仅在相邻两档均有充分结构证据时记录双档</x:v>
      </x:c>
      <x:c r="C5" s="80" t="str">
        <x:v>边界容忍评估与人工仲裁</x:v>
      </x:c>
    </x:row>
    <x:row r="6">
      <x:c r="A6" s="78" t="str">
        <x:v>明确改标</x:v>
      </x:c>
      <x:c r="B6" s="79" t="str">
        <x:v>必须能依据题干与解析排除原档；模型多数票不能单独改标</x:v>
      </x:c>
      <x:c r="C6" s="80" t="str">
        <x:v>本次共20题</x:v>
      </x:c>
    </x:row>
    <x:row r="7">
      <x:c r="A7" s="78" t="str">
        <x:v>送分/基础</x:v>
      </x:c>
      <x:c r="B7" s="79" t="str">
        <x:v>看是否只有一个唯一熟悉模板和一次透明映射</x:v>
      </x:c>
      <x:c r="C7" s="80" t="str">
        <x:v>不按选项数量机械定档</x:v>
      </x:c>
    </x:row>
    <x:row r="8">
      <x:c r="A8" s="78" t="str">
        <x:v>基础/中等</x:v>
      </x:c>
      <x:c r="B8" s="79" t="str">
        <x:v>看是否形成3—4个连续决策、完整标准实验或共享过程</x:v>
      </x:c>
      <x:c r="C8" s="80" t="str">
        <x:v>独立基础判断不累加步骤</x:v>
      </x:c>
    </x:row>
    <x:row r="9">
      <x:c r="A9" s="78" t="str">
        <x:v>中等/拔高</x:v>
      </x:c>
      <x:c r="B9" s="79" t="str">
        <x:v>看决定性反推、隐含转换、误差评价或5—6步迁移链</x:v>
      </x:c>
      <x:c r="C9" s="80" t="str">
        <x:v>题长和项目背景不是证据</x:v>
      </x:c>
    </x:row>
    <x:row r="10">
      <x:c r="A10" s="81" t="str">
        <x:v>拔高/压轴</x:v>
      </x:c>
      <x:c r="B10" s="82" t="str">
        <x:v>看多对象、多状态、多约束是否在同一网络中耦合，并完成分类/边界筛选</x:v>
      </x:c>
      <x:c r="C10" s="83" t="str">
        <x:v>仅有范围或最大值不构成压轴</x:v>
      </x:c>
    </x:row>
  </x:sheetData>
  <x:mergeCells>
    <x:mergeCell ref="A1:C1"/>
  </x:mergeCells>
  <x:pageMargins left="0.7" right="0.7" top="0.75" bottom="0.75" header="0.3" footer="0.3"/>
</x:worksheet>
</file>